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op 20 Cidades" sheetId="2" state="visible" r:id="rId4"/>
    <sheet name="Faixa x Transportadora" sheetId="3" state="visible" r:id="rId5"/>
    <sheet name="Cidade x Faixa" sheetId="4" state="visible" r:id="rId6"/>
    <sheet name="Pedidos" sheetId="5" state="visible" r:id="rId7"/>
  </sheets>
  <definedNames>
    <definedName function="false" hidden="true" localSheetId="4" name="_xlnm._FilterDatabase" vbProcedure="false">Pedidos!$A$1:$X$2224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Altere para testar outro cenário de ICMS (ex.: 0 se a PROLOG confirmar que o ICMS já está embutido).</t>
        </r>
      </text>
    </comment>
  </commentList>
</comments>
</file>

<file path=xl/sharedStrings.xml><?xml version="1.0" encoding="utf-8"?>
<sst xmlns="http://schemas.openxmlformats.org/spreadsheetml/2006/main" count="13786" uniqueCount="2195">
  <si>
    <t xml:space="preserve">Simulação PROLOG FILIAL SP — Pedidos RJ com origem de cotação FILIAL SP (jul–set/2026)</t>
  </si>
  <si>
    <t xml:space="preserve">PREMISSAS</t>
  </si>
  <si>
    <t xml:space="preserve">Parâmetro</t>
  </si>
  <si>
    <t xml:space="preserve">Valor</t>
  </si>
  <si>
    <t xml:space="preserve">Fonte / observação</t>
  </si>
  <si>
    <t xml:space="preserve">Alíquota ICMS SP→RJ (gross-up, tabela marcada "ICMS já calculado? = N")</t>
  </si>
  <si>
    <t xml:space="preserve">Interestadual SP→RJ 12%. Intelipost soma o ICMS por dentro: total = subtotal / (1 − alíquota).</t>
  </si>
  <si>
    <t xml:space="preserve">Ad valorem (% NF)</t>
  </si>
  <si>
    <t xml:space="preserve">Da tabela: FRETE VALOR (%) = 0,1</t>
  </si>
  <si>
    <t xml:space="preserve">GRIS (% NF)</t>
  </si>
  <si>
    <t xml:space="preserve">Da tabela: GRIS (%) = 0,2</t>
  </si>
  <si>
    <t xml:space="preserve">TAS (R$ por pedido)</t>
  </si>
  <si>
    <t xml:space="preserve">Da tabela</t>
  </si>
  <si>
    <t xml:space="preserve">Pedágio (R$ por fração de 100 kg)</t>
  </si>
  <si>
    <t xml:space="preserve">Da tabela: 4,50 / faixa 100 kg</t>
  </si>
  <si>
    <t xml:space="preserve">CTe (R$ por kg)</t>
  </si>
  <si>
    <t xml:space="preserve">Da tabela: CTE FIXO 0,06 com faixa de 1 kg → cobrado por kg</t>
  </si>
  <si>
    <t xml:space="preserve">Outra taxa (R$ por kg)</t>
  </si>
  <si>
    <t xml:space="preserve">Da tabela: OUTRA TAXA FIXO 0,45 com faixa de 1 kg → cobrado por kg</t>
  </si>
  <si>
    <t xml:space="preserve">Cubagem</t>
  </si>
  <si>
    <t xml:space="preserve">Não aplicada</t>
  </si>
  <si>
    <t xml:space="preserve">Fator de cubagem = 0 na tabela; usado PESO ITENS</t>
  </si>
  <si>
    <t xml:space="preserve">Peso &gt; 250 kg</t>
  </si>
  <si>
    <t xml:space="preserve">Faixa 250 + excedente/kg</t>
  </si>
  <si>
    <t xml:space="preserve">Nenhum pedido no recorte passa de 250 kg</t>
  </si>
  <si>
    <t xml:space="preserve">Obs.: as taxas (exceto ICMS) estão calculadas por pedido na aba Pedidos (colunas K–Q); a célula C6 recalcula o total.</t>
  </si>
  <si>
    <t xml:space="preserve">VISÃO GERAL</t>
  </si>
  <si>
    <t xml:space="preserve">Indicador</t>
  </si>
  <si>
    <t xml:space="preserve">Atual (transportadoras cotadas)</t>
  </si>
  <si>
    <t xml:space="preserve">PROLOG FILIAL SP (simulado)</t>
  </si>
  <si>
    <t xml:space="preserve">Diferença</t>
  </si>
  <si>
    <t xml:space="preserve">Pedidos</t>
  </si>
  <si>
    <t xml:space="preserve">Custo total de frete</t>
  </si>
  <si>
    <t xml:space="preserve">Custo médio por pedido</t>
  </si>
  <si>
    <t xml:space="preserve">Valor de NF total</t>
  </si>
  <si>
    <t xml:space="preserve">Frete / NF (participação no custo)</t>
  </si>
  <si>
    <t xml:space="preserve">% de pedidos em que PROLOG seria mais barata</t>
  </si>
  <si>
    <t xml:space="preserve">DECOMPOSIÇÃO DO PREÇO MÉDIO PROLOG (por pedido)</t>
  </si>
  <si>
    <t xml:space="preserve">Componente</t>
  </si>
  <si>
    <t xml:space="preserve">R$ médio/pedido</t>
  </si>
  <si>
    <t xml:space="preserve">% do total PROLOG</t>
  </si>
  <si>
    <t xml:space="preserve">Frete peso</t>
  </si>
  <si>
    <t xml:space="preserve">Ad valorem</t>
  </si>
  <si>
    <t xml:space="preserve">GRIS</t>
  </si>
  <si>
    <t xml:space="preserve">TAS</t>
  </si>
  <si>
    <t xml:space="preserve">Pedágio</t>
  </si>
  <si>
    <t xml:space="preserve">CTe (R$/kg)</t>
  </si>
  <si>
    <t xml:space="preserve">Outra taxa (R$/kg)</t>
  </si>
  <si>
    <t xml:space="preserve">ICMS 12% (gross-up)</t>
  </si>
  <si>
    <t xml:space="preserve">TOTAL PROLOG</t>
  </si>
  <si>
    <t xml:space="preserve">Custo médio atual (comparação)</t>
  </si>
  <si>
    <t xml:space="preserve">SENSIBILIDADE — quanto cada premissa pesa (diferença do custo total PROLOG vs atual)</t>
  </si>
  <si>
    <t xml:space="preserve">Cenário</t>
  </si>
  <si>
    <t xml:space="preserve">Custo total PROLOG</t>
  </si>
  <si>
    <t xml:space="preserve">vs atual</t>
  </si>
  <si>
    <t xml:space="preserve">% pedidos PROLOG mais barata</t>
  </si>
  <si>
    <t xml:space="preserve">A) Tabela literal (taxas por kg + ICMS 12%)</t>
  </si>
  <si>
    <t xml:space="preserve">B) Sem ICMS gross-up</t>
  </si>
  <si>
    <t xml:space="preserve">C) Sem as taxas por kg (CTe e outra taxa) + ICMS</t>
  </si>
  <si>
    <t xml:space="preserve">D) Sem taxas por kg e sem ICMS</t>
  </si>
  <si>
    <t xml:space="preserve">E) Somente frete peso</t>
  </si>
  <si>
    <t xml:space="preserve">Top 20 cidades do RJ (por nº de pedidos) — custo atual x PROLOG FILIAL SP simulado</t>
  </si>
  <si>
    <t xml:space="preserve">#</t>
  </si>
  <si>
    <t xml:space="preserve">Cidade</t>
  </si>
  <si>
    <t xml:space="preserve">% dos pedidos RJ</t>
  </si>
  <si>
    <t xml:space="preserve">Peso médio (kg)</t>
  </si>
  <si>
    <t xml:space="preserve">NF média (R$)</t>
  </si>
  <si>
    <t xml:space="preserve">Custo médio atual (R$)</t>
  </si>
  <si>
    <t xml:space="preserve">PROLOG médio (R$)</t>
  </si>
  <si>
    <t xml:space="preserve">Diferença média (R$)</t>
  </si>
  <si>
    <t xml:space="preserve">PROLOG vs atual (%)</t>
  </si>
  <si>
    <t xml:space="preserve">Frete/NF atual</t>
  </si>
  <si>
    <t xml:space="preserve">Frete/NF PROLOG</t>
  </si>
  <si>
    <t xml:space="preserve">PROLOG só frete peso (R$)</t>
  </si>
  <si>
    <t xml:space="preserve">Frete peso vs atual (%)</t>
  </si>
  <si>
    <t xml:space="preserve">Desconto necessário p/ empatar</t>
  </si>
  <si>
    <t xml:space="preserve">Prazo PROLOG (du)</t>
  </si>
  <si>
    <t xml:space="preserve">Avaliação</t>
  </si>
  <si>
    <t xml:space="preserve">Rio de Janeiro</t>
  </si>
  <si>
    <t xml:space="preserve">São Gonçalo</t>
  </si>
  <si>
    <t xml:space="preserve">Duque de Caxias</t>
  </si>
  <si>
    <t xml:space="preserve">Nova Iguaçu</t>
  </si>
  <si>
    <t xml:space="preserve">Niterói</t>
  </si>
  <si>
    <t xml:space="preserve">Campos dos Goytacazes</t>
  </si>
  <si>
    <t xml:space="preserve">Belford Roxo</t>
  </si>
  <si>
    <t xml:space="preserve">Macaé</t>
  </si>
  <si>
    <t xml:space="preserve">São João de Meriti</t>
  </si>
  <si>
    <t xml:space="preserve">Volta Redonda</t>
  </si>
  <si>
    <t xml:space="preserve">Angra dos Reis</t>
  </si>
  <si>
    <t xml:space="preserve">Petrópolis</t>
  </si>
  <si>
    <t xml:space="preserve">Maricá</t>
  </si>
  <si>
    <t xml:space="preserve">Cabo Frio</t>
  </si>
  <si>
    <t xml:space="preserve">Araruama</t>
  </si>
  <si>
    <t xml:space="preserve">Itaboraí</t>
  </si>
  <si>
    <t xml:space="preserve">Mesquita</t>
  </si>
  <si>
    <t xml:space="preserve">Magé</t>
  </si>
  <si>
    <t xml:space="preserve">Nova Friburgo</t>
  </si>
  <si>
    <t xml:space="preserve">Rio das Ostras</t>
  </si>
  <si>
    <t xml:space="preserve">TOTAL TOP 20</t>
  </si>
  <si>
    <t xml:space="preserve">Avaliação (coluna R): "Muito bem" = PROLOG mais barata que o atual; "Melhor posição relativa" = até +32%; "Intermediária" = +32% a +45%; "Precisa melhorar" = acima de +45%. Faixas definidas pela distribuição observada (média RJ ≈ +43%).</t>
  </si>
  <si>
    <t xml:space="preserve">"PROLOG só frete peso" = valor da faixa de peso da tabela, sem ad valorem, GRIS, TAS, pedágio, taxas por kg e ICMS — mostra onde a base da tabela é competitiva e o peso das taxas adicionais.</t>
  </si>
  <si>
    <t xml:space="preserve">Top 20 cidades — por faixa de peso: transportadoras atuais x PROLOG simulado nos MESMOS pedidos</t>
  </si>
  <si>
    <t xml:space="preserve">Transportadora atual: TODAS</t>
  </si>
  <si>
    <t xml:space="preserve">Faixa (kg)</t>
  </si>
  <si>
    <t xml:space="preserve">Peso médio</t>
  </si>
  <si>
    <t xml:space="preserve">0-20</t>
  </si>
  <si>
    <t xml:space="preserve">20-35</t>
  </si>
  <si>
    <t xml:space="preserve">35-40</t>
  </si>
  <si>
    <t xml:space="preserve">40-50</t>
  </si>
  <si>
    <t xml:space="preserve">50-60</t>
  </si>
  <si>
    <t xml:space="preserve">60-70</t>
  </si>
  <si>
    <t xml:space="preserve">70-80</t>
  </si>
  <si>
    <t xml:space="preserve">80-100</t>
  </si>
  <si>
    <t xml:space="preserve">100-120</t>
  </si>
  <si>
    <t xml:space="preserve">120-150</t>
  </si>
  <si>
    <t xml:space="preserve">150-170</t>
  </si>
  <si>
    <t xml:space="preserve">170-200</t>
  </si>
  <si>
    <t xml:space="preserve">200-250</t>
  </si>
  <si>
    <t xml:space="preserve">&gt;250</t>
  </si>
  <si>
    <t xml:space="preserve">TOTAL</t>
  </si>
  <si>
    <t xml:space="preserve">Transportadora atual: Tsl Filial Sp</t>
  </si>
  <si>
    <t xml:space="preserve">Transportadora atual: Tsl Transportes</t>
  </si>
  <si>
    <t xml:space="preserve">Transportadora atual: Jadlog Standard</t>
  </si>
  <si>
    <t xml:space="preserve">Transportadora atual: Prolog Transportes</t>
  </si>
  <si>
    <t xml:space="preserve">Top 20 cidades × faixa de peso — PROLOG vs custo atual (%)  |  verde = PROLOG mais competitiva, vermelho = precisa melhorar</t>
  </si>
  <si>
    <t xml:space="preserve">1) Quantidade de pedidos</t>
  </si>
  <si>
    <t xml:space="preserve">Total</t>
  </si>
  <si>
    <t xml:space="preserve">2) PROLOG total simulado vs custo atual (%) — preço completo com taxas e ICMS</t>
  </si>
  <si>
    <t xml:space="preserve">3) Somente frete peso PROLOG vs custo atual (%) — onde a BASE da tabela já é competitiva</t>
  </si>
  <si>
    <t xml:space="preserve">4) Custo médio atual (R$)</t>
  </si>
  <si>
    <t xml:space="preserve">5) PROLOG total simulado médio (R$)</t>
  </si>
  <si>
    <t xml:space="preserve">Pedido HUB</t>
  </si>
  <si>
    <t xml:space="preserve">Data pagamento</t>
  </si>
  <si>
    <t xml:space="preserve">Canal</t>
  </si>
  <si>
    <t xml:space="preserve">CEP</t>
  </si>
  <si>
    <t xml:space="preserve">Faixa PROLOG (kg)</t>
  </si>
  <si>
    <t xml:space="preserve">Peso (kg)</t>
  </si>
  <si>
    <t xml:space="preserve">Valor NF (R$)</t>
  </si>
  <si>
    <t xml:space="preserve">Transportadora cotada</t>
  </si>
  <si>
    <t xml:space="preserve">Custo atual (R$)</t>
  </si>
  <si>
    <t xml:space="preserve">PROLOG frete peso</t>
  </si>
  <si>
    <t xml:space="preserve">PROLOG ad valorem</t>
  </si>
  <si>
    <t xml:space="preserve">PROLOG GRIS</t>
  </si>
  <si>
    <t xml:space="preserve">PROLOG TAS</t>
  </si>
  <si>
    <t xml:space="preserve">PROLOG pedágio</t>
  </si>
  <si>
    <t xml:space="preserve">PROLOG CTe (R$/kg)</t>
  </si>
  <si>
    <t xml:space="preserve">PROLOG outra taxa (R$/kg)</t>
  </si>
  <si>
    <t xml:space="preserve">PROLOG subtotal s/ ICMS</t>
  </si>
  <si>
    <t xml:space="preserve">PROLOG total c/ ICMS</t>
  </si>
  <si>
    <t xml:space="preserve">Diferença (R$)</t>
  </si>
  <si>
    <t xml:space="preserve">Diferença %</t>
  </si>
  <si>
    <t xml:space="preserve">PROLOG mais barata?</t>
  </si>
  <si>
    <t xml:space="preserve">Top 20?</t>
  </si>
  <si>
    <t xml:space="preserve">Shopee</t>
  </si>
  <si>
    <t xml:space="preserve">28913240</t>
  </si>
  <si>
    <t xml:space="preserve">Tsl Filial Sp</t>
  </si>
  <si>
    <t xml:space="preserve">SIM</t>
  </si>
  <si>
    <t xml:space="preserve">21032000</t>
  </si>
  <si>
    <t xml:space="preserve">Mercado Livre Principal</t>
  </si>
  <si>
    <t xml:space="preserve">26545580</t>
  </si>
  <si>
    <t xml:space="preserve">Nilópolis</t>
  </si>
  <si>
    <t xml:space="preserve">NÃO</t>
  </si>
  <si>
    <t xml:space="preserve">22471150</t>
  </si>
  <si>
    <t xml:space="preserve">26325100</t>
  </si>
  <si>
    <t xml:space="preserve">Queimados</t>
  </si>
  <si>
    <t xml:space="preserve">21044020</t>
  </si>
  <si>
    <t xml:space="preserve">28025537</t>
  </si>
  <si>
    <t xml:space="preserve">25555570</t>
  </si>
  <si>
    <t xml:space="preserve">25947790</t>
  </si>
  <si>
    <t xml:space="preserve">Guapimirim</t>
  </si>
  <si>
    <t xml:space="preserve">22790725</t>
  </si>
  <si>
    <t xml:space="preserve">25811005</t>
  </si>
  <si>
    <t xml:space="preserve">Três Rios</t>
  </si>
  <si>
    <t xml:space="preserve">24467575</t>
  </si>
  <si>
    <t xml:space="preserve">26116340</t>
  </si>
  <si>
    <t xml:space="preserve">24350042</t>
  </si>
  <si>
    <t xml:space="preserve">25945865</t>
  </si>
  <si>
    <t xml:space="preserve">23078415</t>
  </si>
  <si>
    <t xml:space="preserve">Casas Bahia</t>
  </si>
  <si>
    <t xml:space="preserve">20785224</t>
  </si>
  <si>
    <t xml:space="preserve">27948310</t>
  </si>
  <si>
    <t xml:space="preserve">21361190</t>
  </si>
  <si>
    <t xml:space="preserve">22050002</t>
  </si>
  <si>
    <t xml:space="preserve">Carrefour</t>
  </si>
  <si>
    <t xml:space="preserve">25530460</t>
  </si>
  <si>
    <t xml:space="preserve">26445140</t>
  </si>
  <si>
    <t xml:space="preserve">Japeri</t>
  </si>
  <si>
    <t xml:space="preserve">27120320</t>
  </si>
  <si>
    <t xml:space="preserve">Barra do Piraí</t>
  </si>
  <si>
    <t xml:space="preserve">21535590</t>
  </si>
  <si>
    <t xml:space="preserve">21041140</t>
  </si>
  <si>
    <t xml:space="preserve">Magazine Luiza 1</t>
  </si>
  <si>
    <t xml:space="preserve">26430020</t>
  </si>
  <si>
    <t xml:space="preserve">21021380</t>
  </si>
  <si>
    <t xml:space="preserve">Web Continental</t>
  </si>
  <si>
    <t xml:space="preserve">26060015</t>
  </si>
  <si>
    <t xml:space="preserve">24745630</t>
  </si>
  <si>
    <t xml:space="preserve">21770220</t>
  </si>
  <si>
    <t xml:space="preserve">Madeira Madeira</t>
  </si>
  <si>
    <t xml:space="preserve">21741060</t>
  </si>
  <si>
    <t xml:space="preserve">26298608</t>
  </si>
  <si>
    <t xml:space="preserve">26143290</t>
  </si>
  <si>
    <t xml:space="preserve">23893770</t>
  </si>
  <si>
    <t xml:space="preserve">Seropédica</t>
  </si>
  <si>
    <t xml:space="preserve">23036076</t>
  </si>
  <si>
    <t xml:space="preserve">Jadlog Standard</t>
  </si>
  <si>
    <t xml:space="preserve">21381009</t>
  </si>
  <si>
    <t xml:space="preserve">20541170</t>
  </si>
  <si>
    <t xml:space="preserve">21380090</t>
  </si>
  <si>
    <t xml:space="preserve">23056630</t>
  </si>
  <si>
    <t xml:space="preserve">24310005</t>
  </si>
  <si>
    <t xml:space="preserve">23820810</t>
  </si>
  <si>
    <t xml:space="preserve">Itaguaí</t>
  </si>
  <si>
    <t xml:space="preserve">22753031</t>
  </si>
  <si>
    <t xml:space="preserve">28735560</t>
  </si>
  <si>
    <t xml:space="preserve">Quissamã</t>
  </si>
  <si>
    <t xml:space="preserve">20950072</t>
  </si>
  <si>
    <t xml:space="preserve">26140110</t>
  </si>
  <si>
    <t xml:space="preserve">27525524</t>
  </si>
  <si>
    <t xml:space="preserve">Resende</t>
  </si>
  <si>
    <t xml:space="preserve">21730290</t>
  </si>
  <si>
    <t xml:space="preserve">23520400</t>
  </si>
  <si>
    <t xml:space="preserve">25085135</t>
  </si>
  <si>
    <t xml:space="preserve">28920015</t>
  </si>
  <si>
    <t xml:space="preserve">28976666</t>
  </si>
  <si>
    <t xml:space="preserve">21842553</t>
  </si>
  <si>
    <t xml:space="preserve">22735000</t>
  </si>
  <si>
    <t xml:space="preserve">21241300</t>
  </si>
  <si>
    <t xml:space="preserve">20251440</t>
  </si>
  <si>
    <t xml:space="preserve">26087230</t>
  </si>
  <si>
    <t xml:space="preserve">25710093</t>
  </si>
  <si>
    <t xml:space="preserve">21032060</t>
  </si>
  <si>
    <t xml:space="preserve">22733010</t>
  </si>
  <si>
    <t xml:space="preserve">20760020</t>
  </si>
  <si>
    <t xml:space="preserve">22795135</t>
  </si>
  <si>
    <t xml:space="preserve">21715195</t>
  </si>
  <si>
    <t xml:space="preserve">20211220</t>
  </si>
  <si>
    <t xml:space="preserve">24110310</t>
  </si>
  <si>
    <t xml:space="preserve">28680040</t>
  </si>
  <si>
    <t xml:space="preserve">Cachoeiras de Macacu</t>
  </si>
  <si>
    <t xml:space="preserve">25561211</t>
  </si>
  <si>
    <t xml:space="preserve">25846220</t>
  </si>
  <si>
    <t xml:space="preserve">Areal</t>
  </si>
  <si>
    <t xml:space="preserve">21060090</t>
  </si>
  <si>
    <t xml:space="preserve">23570084</t>
  </si>
  <si>
    <t xml:space="preserve">21852001</t>
  </si>
  <si>
    <t xml:space="preserve">26298373</t>
  </si>
  <si>
    <t xml:space="preserve">22230000</t>
  </si>
  <si>
    <t xml:space="preserve">22770330</t>
  </si>
  <si>
    <t xml:space="preserve">21675350</t>
  </si>
  <si>
    <t xml:space="preserve">24931415</t>
  </si>
  <si>
    <t xml:space="preserve">24451230</t>
  </si>
  <si>
    <t xml:space="preserve">22755155</t>
  </si>
  <si>
    <t xml:space="preserve">24878095</t>
  </si>
  <si>
    <t xml:space="preserve">28880000</t>
  </si>
  <si>
    <t xml:space="preserve">Casimiro de Abreu</t>
  </si>
  <si>
    <t xml:space="preserve">23900120</t>
  </si>
  <si>
    <t xml:space="preserve">23059039</t>
  </si>
  <si>
    <t xml:space="preserve">24727190</t>
  </si>
  <si>
    <t xml:space="preserve">25970077</t>
  </si>
  <si>
    <t xml:space="preserve">Teresópolis</t>
  </si>
  <si>
    <t xml:space="preserve">21750001</t>
  </si>
  <si>
    <t xml:space="preserve">27281640</t>
  </si>
  <si>
    <t xml:space="preserve">26177010</t>
  </si>
  <si>
    <t xml:space="preserve">21310030</t>
  </si>
  <si>
    <t xml:space="preserve">26480320</t>
  </si>
  <si>
    <t xml:space="preserve">24805900</t>
  </si>
  <si>
    <t xml:space="preserve">22641100</t>
  </si>
  <si>
    <t xml:space="preserve">26279240</t>
  </si>
  <si>
    <t xml:space="preserve">25937048</t>
  </si>
  <si>
    <t xml:space="preserve">25015045</t>
  </si>
  <si>
    <t xml:space="preserve">21221280</t>
  </si>
  <si>
    <t xml:space="preserve">22790550</t>
  </si>
  <si>
    <t xml:space="preserve">22790587</t>
  </si>
  <si>
    <t xml:space="preserve">21665001</t>
  </si>
  <si>
    <t xml:space="preserve">25995290</t>
  </si>
  <si>
    <t xml:space="preserve">20530003</t>
  </si>
  <si>
    <t xml:space="preserve">24744010</t>
  </si>
  <si>
    <t xml:space="preserve">24344487</t>
  </si>
  <si>
    <t xml:space="preserve">27602270</t>
  </si>
  <si>
    <t xml:space="preserve">Valença</t>
  </si>
  <si>
    <t xml:space="preserve">21381350</t>
  </si>
  <si>
    <t xml:space="preserve">28200000</t>
  </si>
  <si>
    <t xml:space="preserve">São João da Barra</t>
  </si>
  <si>
    <t xml:space="preserve">25251210</t>
  </si>
  <si>
    <t xml:space="preserve">21531450</t>
  </si>
  <si>
    <t xml:space="preserve">23891730</t>
  </si>
  <si>
    <t xml:space="preserve">28986330</t>
  </si>
  <si>
    <t xml:space="preserve">24750045</t>
  </si>
  <si>
    <t xml:space="preserve">25035770</t>
  </si>
  <si>
    <t xml:space="preserve">28024417</t>
  </si>
  <si>
    <t xml:space="preserve">24315000</t>
  </si>
  <si>
    <t xml:space="preserve">28430014</t>
  </si>
  <si>
    <t xml:space="preserve">Cambuci</t>
  </si>
  <si>
    <t xml:space="preserve">21041030</t>
  </si>
  <si>
    <t xml:space="preserve">21321620</t>
  </si>
  <si>
    <t xml:space="preserve">25271330</t>
  </si>
  <si>
    <t xml:space="preserve">20760110</t>
  </si>
  <si>
    <t xml:space="preserve">21911130</t>
  </si>
  <si>
    <t xml:space="preserve">24320200</t>
  </si>
  <si>
    <t xml:space="preserve">26116670</t>
  </si>
  <si>
    <t xml:space="preserve">23060612</t>
  </si>
  <si>
    <t xml:space="preserve">21830008</t>
  </si>
  <si>
    <t xml:space="preserve">22451010</t>
  </si>
  <si>
    <t xml:space="preserve">23575240</t>
  </si>
  <si>
    <t xml:space="preserve">23575216</t>
  </si>
  <si>
    <t xml:space="preserve">26262120</t>
  </si>
  <si>
    <t xml:space="preserve">20241320</t>
  </si>
  <si>
    <t xml:space="preserve">24935160</t>
  </si>
  <si>
    <t xml:space="preserve">26298698</t>
  </si>
  <si>
    <t xml:space="preserve">27276375</t>
  </si>
  <si>
    <t xml:space="preserve">26310340</t>
  </si>
  <si>
    <t xml:space="preserve">26445390</t>
  </si>
  <si>
    <t xml:space="preserve">24754190</t>
  </si>
  <si>
    <t xml:space="preserve">27933140</t>
  </si>
  <si>
    <t xml:space="preserve">28660000</t>
  </si>
  <si>
    <t xml:space="preserve">Bom Jardim</t>
  </si>
  <si>
    <t xml:space="preserve">22765240</t>
  </si>
  <si>
    <t xml:space="preserve">22763627</t>
  </si>
  <si>
    <t xml:space="preserve">20261040</t>
  </si>
  <si>
    <t xml:space="preserve">21735150</t>
  </si>
  <si>
    <t xml:space="preserve">26115490</t>
  </si>
  <si>
    <t xml:space="preserve">25011420</t>
  </si>
  <si>
    <t xml:space="preserve">24320570</t>
  </si>
  <si>
    <t xml:space="preserve">24110360</t>
  </si>
  <si>
    <t xml:space="preserve">23520132</t>
  </si>
  <si>
    <t xml:space="preserve">Ecommerce</t>
  </si>
  <si>
    <t xml:space="preserve">23065006</t>
  </si>
  <si>
    <t xml:space="preserve">24802370</t>
  </si>
  <si>
    <t xml:space="preserve">26021061</t>
  </si>
  <si>
    <t xml:space="preserve">28982360</t>
  </si>
  <si>
    <t xml:space="preserve">22710568</t>
  </si>
  <si>
    <t xml:space="preserve">23017440</t>
  </si>
  <si>
    <t xml:space="preserve">26065012</t>
  </si>
  <si>
    <t xml:space="preserve">21235112</t>
  </si>
  <si>
    <t xml:space="preserve">22611070</t>
  </si>
  <si>
    <t xml:space="preserve">23898081</t>
  </si>
  <si>
    <t xml:space="preserve">26280190</t>
  </si>
  <si>
    <t xml:space="preserve">24737475</t>
  </si>
  <si>
    <t xml:space="preserve">22795216</t>
  </si>
  <si>
    <t xml:space="preserve">23898033</t>
  </si>
  <si>
    <t xml:space="preserve">28943292</t>
  </si>
  <si>
    <t xml:space="preserve">São Pedro da Aldeia</t>
  </si>
  <si>
    <t xml:space="preserve">20060070</t>
  </si>
  <si>
    <t xml:space="preserve">21370290</t>
  </si>
  <si>
    <t xml:space="preserve">21310050</t>
  </si>
  <si>
    <t xml:space="preserve">27251340</t>
  </si>
  <si>
    <t xml:space="preserve">24751140</t>
  </si>
  <si>
    <t xml:space="preserve">21011460</t>
  </si>
  <si>
    <t xml:space="preserve">22770040</t>
  </si>
  <si>
    <t xml:space="preserve">Tsl Transportes</t>
  </si>
  <si>
    <t xml:space="preserve">21825320</t>
  </si>
  <si>
    <t xml:space="preserve">22780760</t>
  </si>
  <si>
    <t xml:space="preserve">25525670</t>
  </si>
  <si>
    <t xml:space="preserve">27940290</t>
  </si>
  <si>
    <t xml:space="preserve">25271550</t>
  </si>
  <si>
    <t xml:space="preserve">21330600</t>
  </si>
  <si>
    <t xml:space="preserve">23026260</t>
  </si>
  <si>
    <t xml:space="preserve">22783412</t>
  </si>
  <si>
    <t xml:space="preserve">20560001</t>
  </si>
  <si>
    <t xml:space="preserve">24130775</t>
  </si>
  <si>
    <t xml:space="preserve">21031700</t>
  </si>
  <si>
    <t xml:space="preserve">20931005</t>
  </si>
  <si>
    <t xml:space="preserve">21852580</t>
  </si>
  <si>
    <t xml:space="preserve">21235480</t>
  </si>
  <si>
    <t xml:space="preserve">27211670</t>
  </si>
  <si>
    <t xml:space="preserve">26041270</t>
  </si>
  <si>
    <t xml:space="preserve">20251060</t>
  </si>
  <si>
    <t xml:space="preserve">20397135</t>
  </si>
  <si>
    <t xml:space="preserve">Amazon</t>
  </si>
  <si>
    <t xml:space="preserve">26022821</t>
  </si>
  <si>
    <t xml:space="preserve">25225210</t>
  </si>
  <si>
    <t xml:space="preserve">21512070</t>
  </si>
  <si>
    <t xml:space="preserve">21911310</t>
  </si>
  <si>
    <t xml:space="preserve">20940060</t>
  </si>
  <si>
    <t xml:space="preserve">27963770</t>
  </si>
  <si>
    <t xml:space="preserve">25880000</t>
  </si>
  <si>
    <t xml:space="preserve">Sapucaia</t>
  </si>
  <si>
    <t xml:space="preserve">21010260</t>
  </si>
  <si>
    <t xml:space="preserve">28987608</t>
  </si>
  <si>
    <t xml:space="preserve">28380000</t>
  </si>
  <si>
    <t xml:space="preserve">Natividade</t>
  </si>
  <si>
    <t xml:space="preserve">25214410</t>
  </si>
  <si>
    <t xml:space="preserve">28470000</t>
  </si>
  <si>
    <t xml:space="preserve">Santo Antônio de Pádua</t>
  </si>
  <si>
    <t xml:space="preserve">Rapido Alem Paraiba - Standard</t>
  </si>
  <si>
    <t xml:space="preserve">23020722</t>
  </si>
  <si>
    <t xml:space="preserve">28540000</t>
  </si>
  <si>
    <t xml:space="preserve">Cordeiro</t>
  </si>
  <si>
    <t xml:space="preserve">20250500</t>
  </si>
  <si>
    <t xml:space="preserve">24370297</t>
  </si>
  <si>
    <t xml:space="preserve">25040240</t>
  </si>
  <si>
    <t xml:space="preserve">28623410</t>
  </si>
  <si>
    <t xml:space="preserve">25560440</t>
  </si>
  <si>
    <t xml:space="preserve">22725441</t>
  </si>
  <si>
    <t xml:space="preserve">23587610</t>
  </si>
  <si>
    <t xml:space="preserve">25985010</t>
  </si>
  <si>
    <t xml:space="preserve">23028050</t>
  </si>
  <si>
    <t xml:space="preserve">27113320</t>
  </si>
  <si>
    <t xml:space="preserve">21630310</t>
  </si>
  <si>
    <t xml:space="preserve">22451265</t>
  </si>
  <si>
    <t xml:space="preserve">21331690</t>
  </si>
  <si>
    <t xml:space="preserve">23585330</t>
  </si>
  <si>
    <t xml:space="preserve">23560660</t>
  </si>
  <si>
    <t xml:space="preserve">23036060</t>
  </si>
  <si>
    <t xml:space="preserve">27972109</t>
  </si>
  <si>
    <t xml:space="preserve">23010310</t>
  </si>
  <si>
    <t xml:space="preserve">21863430</t>
  </si>
  <si>
    <t xml:space="preserve">21610290</t>
  </si>
  <si>
    <t xml:space="preserve">27973410</t>
  </si>
  <si>
    <t xml:space="preserve">21830080</t>
  </si>
  <si>
    <t xml:space="preserve">27336410</t>
  </si>
  <si>
    <t xml:space="preserve">Barra Mansa</t>
  </si>
  <si>
    <t xml:space="preserve">27170650</t>
  </si>
  <si>
    <t xml:space="preserve">24425640</t>
  </si>
  <si>
    <t xml:space="preserve">27966803</t>
  </si>
  <si>
    <t xml:space="preserve">26515600</t>
  </si>
  <si>
    <t xml:space="preserve">23040400</t>
  </si>
  <si>
    <t xml:space="preserve">28611320</t>
  </si>
  <si>
    <t xml:space="preserve">26950000</t>
  </si>
  <si>
    <t xml:space="preserve">Paty do Alferes</t>
  </si>
  <si>
    <t xml:space="preserve">25515180</t>
  </si>
  <si>
    <t xml:space="preserve">24913350</t>
  </si>
  <si>
    <t xml:space="preserve">23565005</t>
  </si>
  <si>
    <t xml:space="preserve">22790430</t>
  </si>
  <si>
    <t xml:space="preserve">26250380</t>
  </si>
  <si>
    <t xml:space="preserve">27963834</t>
  </si>
  <si>
    <t xml:space="preserve">23030372</t>
  </si>
  <si>
    <t xml:space="preserve">27963738</t>
  </si>
  <si>
    <t xml:space="preserve">23894694</t>
  </si>
  <si>
    <t xml:space="preserve">22780070</t>
  </si>
  <si>
    <t xml:space="preserve">26298396</t>
  </si>
  <si>
    <t xml:space="preserve">22795006</t>
  </si>
  <si>
    <t xml:space="preserve">23895670</t>
  </si>
  <si>
    <t xml:space="preserve">24110556</t>
  </si>
  <si>
    <t xml:space="preserve">23970000</t>
  </si>
  <si>
    <t xml:space="preserve">Paraty</t>
  </si>
  <si>
    <t xml:space="preserve">26385030</t>
  </si>
  <si>
    <t xml:space="preserve">26160225</t>
  </si>
  <si>
    <t xml:space="preserve">22765590</t>
  </si>
  <si>
    <t xml:space="preserve">25730070</t>
  </si>
  <si>
    <t xml:space="preserve">21011250</t>
  </si>
  <si>
    <t xml:space="preserve">25261300</t>
  </si>
  <si>
    <t xml:space="preserve">24476720</t>
  </si>
  <si>
    <t xml:space="preserve">21532197</t>
  </si>
  <si>
    <t xml:space="preserve">24913090</t>
  </si>
  <si>
    <t xml:space="preserve">23092093</t>
  </si>
  <si>
    <t xml:space="preserve">27583864</t>
  </si>
  <si>
    <t xml:space="preserve">Itatiaia</t>
  </si>
  <si>
    <t xml:space="preserve">28925832</t>
  </si>
  <si>
    <t xml:space="preserve">21843040</t>
  </si>
  <si>
    <t xml:space="preserve">24736220</t>
  </si>
  <si>
    <t xml:space="preserve">22790661</t>
  </si>
  <si>
    <t xml:space="preserve">26050470</t>
  </si>
  <si>
    <t xml:space="preserve">25055625</t>
  </si>
  <si>
    <t xml:space="preserve">20972290</t>
  </si>
  <si>
    <t xml:space="preserve">23052320</t>
  </si>
  <si>
    <t xml:space="preserve">22783111</t>
  </si>
  <si>
    <t xml:space="preserve">20725050</t>
  </si>
  <si>
    <t xml:space="preserve">23045830</t>
  </si>
  <si>
    <t xml:space="preserve">27250800</t>
  </si>
  <si>
    <t xml:space="preserve">21331660</t>
  </si>
  <si>
    <t xml:space="preserve">27325310</t>
  </si>
  <si>
    <t xml:space="preserve">26130336</t>
  </si>
  <si>
    <t xml:space="preserve">21250620</t>
  </si>
  <si>
    <t xml:space="preserve">21675340</t>
  </si>
  <si>
    <t xml:space="preserve">22775033</t>
  </si>
  <si>
    <t xml:space="preserve">22780085</t>
  </si>
  <si>
    <t xml:space="preserve">24725060</t>
  </si>
  <si>
    <t xml:space="preserve">21770000</t>
  </si>
  <si>
    <t xml:space="preserve">23520560</t>
  </si>
  <si>
    <t xml:space="preserve">23016010</t>
  </si>
  <si>
    <t xml:space="preserve">22790735</t>
  </si>
  <si>
    <t xml:space="preserve">24230000</t>
  </si>
  <si>
    <t xml:space="preserve">23520660</t>
  </si>
  <si>
    <t xml:space="preserve">20755300</t>
  </si>
  <si>
    <t xml:space="preserve">26560540</t>
  </si>
  <si>
    <t xml:space="preserve">21655340</t>
  </si>
  <si>
    <t xml:space="preserve">21635100</t>
  </si>
  <si>
    <t xml:space="preserve">24910750</t>
  </si>
  <si>
    <t xml:space="preserve">20211350</t>
  </si>
  <si>
    <t xml:space="preserve">23510242</t>
  </si>
  <si>
    <t xml:space="preserve">22730305</t>
  </si>
  <si>
    <t xml:space="preserve">21670380</t>
  </si>
  <si>
    <t xml:space="preserve">20520160</t>
  </si>
  <si>
    <t xml:space="preserve">21235535</t>
  </si>
  <si>
    <t xml:space="preserve">26290198</t>
  </si>
  <si>
    <t xml:space="preserve">22230080</t>
  </si>
  <si>
    <t xml:space="preserve">25070330</t>
  </si>
  <si>
    <t xml:space="preserve">23076360</t>
  </si>
  <si>
    <t xml:space="preserve">28050003</t>
  </si>
  <si>
    <t xml:space="preserve">24230253</t>
  </si>
  <si>
    <t xml:space="preserve">23860000</t>
  </si>
  <si>
    <t xml:space="preserve">Mangaratiba</t>
  </si>
  <si>
    <t xml:space="preserve">21921000</t>
  </si>
  <si>
    <t xml:space="preserve">27281270</t>
  </si>
  <si>
    <t xml:space="preserve">24241002</t>
  </si>
  <si>
    <t xml:space="preserve">22740361</t>
  </si>
  <si>
    <t xml:space="preserve">26553390</t>
  </si>
  <si>
    <t xml:space="preserve">21852413</t>
  </si>
  <si>
    <t xml:space="preserve">21555080</t>
  </si>
  <si>
    <t xml:space="preserve">22793075</t>
  </si>
  <si>
    <t xml:space="preserve">22783123</t>
  </si>
  <si>
    <t xml:space="preserve">26295607</t>
  </si>
  <si>
    <t xml:space="preserve">22723391</t>
  </si>
  <si>
    <t xml:space="preserve">22783200</t>
  </si>
  <si>
    <t xml:space="preserve">23020230</t>
  </si>
  <si>
    <t xml:space="preserve">24465531</t>
  </si>
  <si>
    <t xml:space="preserve">24445790</t>
  </si>
  <si>
    <t xml:space="preserve">24750070</t>
  </si>
  <si>
    <t xml:space="preserve">24461290</t>
  </si>
  <si>
    <t xml:space="preserve">25975450</t>
  </si>
  <si>
    <t xml:space="preserve">28927410</t>
  </si>
  <si>
    <t xml:space="preserve">22451263</t>
  </si>
  <si>
    <t xml:space="preserve">25035520</t>
  </si>
  <si>
    <t xml:space="preserve">24715532</t>
  </si>
  <si>
    <t xml:space="preserve">24753600</t>
  </si>
  <si>
    <t xml:space="preserve">22790880</t>
  </si>
  <si>
    <t xml:space="preserve">22290140</t>
  </si>
  <si>
    <t xml:space="preserve">28983036</t>
  </si>
  <si>
    <t xml:space="preserve">28890133</t>
  </si>
  <si>
    <t xml:space="preserve">21530000</t>
  </si>
  <si>
    <t xml:space="preserve">24924465</t>
  </si>
  <si>
    <t xml:space="preserve">21710200</t>
  </si>
  <si>
    <t xml:space="preserve">28300000</t>
  </si>
  <si>
    <t xml:space="preserve">Itaperuna</t>
  </si>
  <si>
    <t xml:space="preserve">28920060</t>
  </si>
  <si>
    <t xml:space="preserve">26265190</t>
  </si>
  <si>
    <t xml:space="preserve">24050330</t>
  </si>
  <si>
    <t xml:space="preserve">23525002</t>
  </si>
  <si>
    <t xml:space="preserve">20931060</t>
  </si>
  <si>
    <t xml:space="preserve">20756070</t>
  </si>
  <si>
    <t xml:space="preserve">25710193</t>
  </si>
  <si>
    <t xml:space="preserve">23812720</t>
  </si>
  <si>
    <t xml:space="preserve">26084185</t>
  </si>
  <si>
    <t xml:space="preserve">25056360</t>
  </si>
  <si>
    <t xml:space="preserve">28400000</t>
  </si>
  <si>
    <t xml:space="preserve">São Fidélis</t>
  </si>
  <si>
    <t xml:space="preserve">20911250</t>
  </si>
  <si>
    <t xml:space="preserve">23092080</t>
  </si>
  <si>
    <t xml:space="preserve">24861008</t>
  </si>
  <si>
    <t xml:space="preserve">28020197</t>
  </si>
  <si>
    <t xml:space="preserve">28928524</t>
  </si>
  <si>
    <t xml:space="preserve">23028210</t>
  </si>
  <si>
    <t xml:space="preserve">26155040</t>
  </si>
  <si>
    <t xml:space="preserve">21830360</t>
  </si>
  <si>
    <t xml:space="preserve">21775370</t>
  </si>
  <si>
    <t xml:space="preserve">25065210</t>
  </si>
  <si>
    <t xml:space="preserve">22775045</t>
  </si>
  <si>
    <t xml:space="preserve">26291368</t>
  </si>
  <si>
    <t xml:space="preserve">20920410</t>
  </si>
  <si>
    <t xml:space="preserve">26554220</t>
  </si>
  <si>
    <t xml:space="preserve">20785000</t>
  </si>
  <si>
    <t xml:space="preserve">23587617</t>
  </si>
  <si>
    <t xml:space="preserve">20775000</t>
  </si>
  <si>
    <t xml:space="preserve">22641190</t>
  </si>
  <si>
    <t xml:space="preserve">22452100</t>
  </si>
  <si>
    <t xml:space="preserve">20261004</t>
  </si>
  <si>
    <t xml:space="preserve">23025070</t>
  </si>
  <si>
    <t xml:space="preserve">22730521</t>
  </si>
  <si>
    <t xml:space="preserve">21331050</t>
  </si>
  <si>
    <t xml:space="preserve">27130050</t>
  </si>
  <si>
    <t xml:space="preserve">25025237</t>
  </si>
  <si>
    <t xml:space="preserve">21715421</t>
  </si>
  <si>
    <t xml:space="preserve">23912440</t>
  </si>
  <si>
    <t xml:space="preserve">23555090</t>
  </si>
  <si>
    <t xml:space="preserve">25268410</t>
  </si>
  <si>
    <t xml:space="preserve">21745310</t>
  </si>
  <si>
    <t xml:space="preserve">26425320</t>
  </si>
  <si>
    <t xml:space="preserve">22753005</t>
  </si>
  <si>
    <t xml:space="preserve">24310340</t>
  </si>
  <si>
    <t xml:space="preserve">27211560</t>
  </si>
  <si>
    <t xml:space="preserve">28928788</t>
  </si>
  <si>
    <t xml:space="preserve">24350405</t>
  </si>
  <si>
    <t xml:space="preserve">24452005</t>
  </si>
  <si>
    <t xml:space="preserve">22240004</t>
  </si>
  <si>
    <t xml:space="preserve">21250150</t>
  </si>
  <si>
    <t xml:space="preserve">28630590</t>
  </si>
  <si>
    <t xml:space="preserve">22031112</t>
  </si>
  <si>
    <t xml:space="preserve">27320710</t>
  </si>
  <si>
    <t xml:space="preserve">21321740</t>
  </si>
  <si>
    <t xml:space="preserve">21920070</t>
  </si>
  <si>
    <t xml:space="preserve">24322535</t>
  </si>
  <si>
    <t xml:space="preserve">22051002</t>
  </si>
  <si>
    <t xml:space="preserve">23075067</t>
  </si>
  <si>
    <t xml:space="preserve">23903602</t>
  </si>
  <si>
    <t xml:space="preserve">21073190</t>
  </si>
  <si>
    <t xml:space="preserve">22471210</t>
  </si>
  <si>
    <t xml:space="preserve">27521071</t>
  </si>
  <si>
    <t xml:space="preserve">26190420</t>
  </si>
  <si>
    <t xml:space="preserve">25035060</t>
  </si>
  <si>
    <t xml:space="preserve">21740170</t>
  </si>
  <si>
    <t xml:space="preserve">20911300</t>
  </si>
  <si>
    <t xml:space="preserve">28455130</t>
  </si>
  <si>
    <t xml:space="preserve">São José de Ubá</t>
  </si>
  <si>
    <t xml:space="preserve">23028340</t>
  </si>
  <si>
    <t xml:space="preserve">22775002</t>
  </si>
  <si>
    <t xml:space="preserve">21340120</t>
  </si>
  <si>
    <t xml:space="preserve">23075470</t>
  </si>
  <si>
    <t xml:space="preserve">22610050</t>
  </si>
  <si>
    <t xml:space="preserve">28650000</t>
  </si>
  <si>
    <t xml:space="preserve">Duas Barras</t>
  </si>
  <si>
    <t xml:space="preserve">25253650</t>
  </si>
  <si>
    <t xml:space="preserve">20220007</t>
  </si>
  <si>
    <t xml:space="preserve">21853410</t>
  </si>
  <si>
    <t xml:space="preserve">28983712</t>
  </si>
  <si>
    <t xml:space="preserve">21370260</t>
  </si>
  <si>
    <t xml:space="preserve">27963452</t>
  </si>
  <si>
    <t xml:space="preserve">25270550</t>
  </si>
  <si>
    <t xml:space="preserve">23891755</t>
  </si>
  <si>
    <t xml:space="preserve">23092190</t>
  </si>
  <si>
    <t xml:space="preserve">20920460</t>
  </si>
  <si>
    <t xml:space="preserve">24210470</t>
  </si>
  <si>
    <t xml:space="preserve">21853340</t>
  </si>
  <si>
    <t xml:space="preserve">22765390</t>
  </si>
  <si>
    <t xml:space="preserve">26183490</t>
  </si>
  <si>
    <t xml:space="preserve">23550375</t>
  </si>
  <si>
    <t xml:space="preserve">24755420</t>
  </si>
  <si>
    <t xml:space="preserve">27961804</t>
  </si>
  <si>
    <t xml:space="preserve">24916125</t>
  </si>
  <si>
    <t xml:space="preserve">24470030</t>
  </si>
  <si>
    <t xml:space="preserve">23944040</t>
  </si>
  <si>
    <t xml:space="preserve">22420004</t>
  </si>
  <si>
    <t xml:space="preserve">24466142</t>
  </si>
  <si>
    <t xml:space="preserve">21046210</t>
  </si>
  <si>
    <t xml:space="preserve">20051070</t>
  </si>
  <si>
    <t xml:space="preserve">26291003</t>
  </si>
  <si>
    <t xml:space="preserve">26381368</t>
  </si>
  <si>
    <t xml:space="preserve">28941412</t>
  </si>
  <si>
    <t xml:space="preserve">20931350</t>
  </si>
  <si>
    <t xml:space="preserve">23520286</t>
  </si>
  <si>
    <t xml:space="preserve">24412560</t>
  </si>
  <si>
    <t xml:space="preserve">28350190</t>
  </si>
  <si>
    <t xml:space="preserve">Laje do Muriaé</t>
  </si>
  <si>
    <t xml:space="preserve">23932405</t>
  </si>
  <si>
    <t xml:space="preserve">24809230</t>
  </si>
  <si>
    <t xml:space="preserve">27931173</t>
  </si>
  <si>
    <t xml:space="preserve">23914465</t>
  </si>
  <si>
    <t xml:space="preserve">23094140</t>
  </si>
  <si>
    <t xml:space="preserve">20561098</t>
  </si>
  <si>
    <t xml:space="preserve">24425480</t>
  </si>
  <si>
    <t xml:space="preserve">26160630</t>
  </si>
  <si>
    <t xml:space="preserve">26180150</t>
  </si>
  <si>
    <t xml:space="preserve">25680502</t>
  </si>
  <si>
    <t xml:space="preserve">22713320</t>
  </si>
  <si>
    <t xml:space="preserve">26297120</t>
  </si>
  <si>
    <t xml:space="preserve">20230194</t>
  </si>
  <si>
    <t xml:space="preserve">26155480</t>
  </si>
  <si>
    <t xml:space="preserve">28681375</t>
  </si>
  <si>
    <t xml:space="preserve">28956710</t>
  </si>
  <si>
    <t xml:space="preserve">Armação dos Búzios</t>
  </si>
  <si>
    <t xml:space="preserve">21911325</t>
  </si>
  <si>
    <t xml:space="preserve">21610460</t>
  </si>
  <si>
    <t xml:space="preserve">26070760</t>
  </si>
  <si>
    <t xml:space="preserve">28921799</t>
  </si>
  <si>
    <t xml:space="preserve">22783410</t>
  </si>
  <si>
    <t xml:space="preserve">26172144</t>
  </si>
  <si>
    <t xml:space="preserve">28035301</t>
  </si>
  <si>
    <t xml:space="preserve">24813564</t>
  </si>
  <si>
    <t xml:space="preserve">28637000</t>
  </si>
  <si>
    <t xml:space="preserve">Sumidouro</t>
  </si>
  <si>
    <t xml:space="preserve">26453230</t>
  </si>
  <si>
    <t xml:space="preserve">20511170</t>
  </si>
  <si>
    <t xml:space="preserve">28968770</t>
  </si>
  <si>
    <t xml:space="preserve">Iguaba Grande</t>
  </si>
  <si>
    <t xml:space="preserve">21073185</t>
  </si>
  <si>
    <t xml:space="preserve">20540218</t>
  </si>
  <si>
    <t xml:space="preserve">20550011</t>
  </si>
  <si>
    <t xml:space="preserve">28980000</t>
  </si>
  <si>
    <t xml:space="preserve">26587000</t>
  </si>
  <si>
    <t xml:space="preserve">21061020</t>
  </si>
  <si>
    <t xml:space="preserve">25545300</t>
  </si>
  <si>
    <t xml:space="preserve">25086296</t>
  </si>
  <si>
    <t xml:space="preserve">22773260</t>
  </si>
  <si>
    <t xml:space="preserve">21250540</t>
  </si>
  <si>
    <t xml:space="preserve">23076410</t>
  </si>
  <si>
    <t xml:space="preserve">26062320</t>
  </si>
  <si>
    <t xml:space="preserve">21040005</t>
  </si>
  <si>
    <t xml:space="preserve">24340100</t>
  </si>
  <si>
    <t xml:space="preserve">20750040</t>
  </si>
  <si>
    <t xml:space="preserve">25957025</t>
  </si>
  <si>
    <t xml:space="preserve">26900000</t>
  </si>
  <si>
    <t xml:space="preserve">Miguel Pereira</t>
  </si>
  <si>
    <t xml:space="preserve">25015280</t>
  </si>
  <si>
    <t xml:space="preserve">20720010</t>
  </si>
  <si>
    <t xml:space="preserve">25240170</t>
  </si>
  <si>
    <t xml:space="preserve">24241085</t>
  </si>
  <si>
    <t xml:space="preserve">21370500</t>
  </si>
  <si>
    <t xml:space="preserve">22785085</t>
  </si>
  <si>
    <t xml:space="preserve">23098006</t>
  </si>
  <si>
    <t xml:space="preserve">28050270</t>
  </si>
  <si>
    <t xml:space="preserve">26297222</t>
  </si>
  <si>
    <t xml:space="preserve">22620171</t>
  </si>
  <si>
    <t xml:space="preserve">27961068</t>
  </si>
  <si>
    <t xml:space="preserve">25035230</t>
  </si>
  <si>
    <t xml:space="preserve">23520131</t>
  </si>
  <si>
    <t xml:space="preserve">26265580</t>
  </si>
  <si>
    <t xml:space="preserve">21070590</t>
  </si>
  <si>
    <t xml:space="preserve">24735075</t>
  </si>
  <si>
    <t xml:space="preserve">26125450</t>
  </si>
  <si>
    <t xml:space="preserve">26515035</t>
  </si>
  <si>
    <t xml:space="preserve">23550265</t>
  </si>
  <si>
    <t xml:space="preserve">24940505</t>
  </si>
  <si>
    <t xml:space="preserve">23050180</t>
  </si>
  <si>
    <t xml:space="preserve">21050690</t>
  </si>
  <si>
    <t xml:space="preserve">21340510</t>
  </si>
  <si>
    <t xml:space="preserve">21650002</t>
  </si>
  <si>
    <t xml:space="preserve">21635350</t>
  </si>
  <si>
    <t xml:space="preserve">21512040</t>
  </si>
  <si>
    <t xml:space="preserve">22010050</t>
  </si>
  <si>
    <t xml:space="preserve">20972010</t>
  </si>
  <si>
    <t xml:space="preserve">20930430</t>
  </si>
  <si>
    <t xml:space="preserve">21862170</t>
  </si>
  <si>
    <t xml:space="preserve">21361470</t>
  </si>
  <si>
    <t xml:space="preserve">24342805</t>
  </si>
  <si>
    <t xml:space="preserve">24802695</t>
  </si>
  <si>
    <t xml:space="preserve">23835005</t>
  </si>
  <si>
    <t xml:space="preserve">21832150</t>
  </si>
  <si>
    <t xml:space="preserve">20770160</t>
  </si>
  <si>
    <t xml:space="preserve">24756151</t>
  </si>
  <si>
    <t xml:space="preserve">25271390</t>
  </si>
  <si>
    <t xml:space="preserve">21012190</t>
  </si>
  <si>
    <t xml:space="preserve">25585021</t>
  </si>
  <si>
    <t xml:space="preserve">25561202</t>
  </si>
  <si>
    <t xml:space="preserve">27353420</t>
  </si>
  <si>
    <t xml:space="preserve">25510170</t>
  </si>
  <si>
    <t xml:space="preserve">28915120</t>
  </si>
  <si>
    <t xml:space="preserve">26183250</t>
  </si>
  <si>
    <t xml:space="preserve">20960070</t>
  </si>
  <si>
    <t xml:space="preserve">25635530</t>
  </si>
  <si>
    <t xml:space="preserve">22291050</t>
  </si>
  <si>
    <t xml:space="preserve">25270438</t>
  </si>
  <si>
    <t xml:space="preserve">23812040</t>
  </si>
  <si>
    <t xml:space="preserve">24466540</t>
  </si>
  <si>
    <t xml:space="preserve">25251039</t>
  </si>
  <si>
    <t xml:space="preserve">21341180</t>
  </si>
  <si>
    <t xml:space="preserve">21240270</t>
  </si>
  <si>
    <t xml:space="preserve">25916060</t>
  </si>
  <si>
    <t xml:space="preserve">28360000</t>
  </si>
  <si>
    <t xml:space="preserve">Bom Jesus do Itabapoana</t>
  </si>
  <si>
    <t xml:space="preserve">23946105</t>
  </si>
  <si>
    <t xml:space="preserve">24330325</t>
  </si>
  <si>
    <t xml:space="preserve">26112250</t>
  </si>
  <si>
    <t xml:space="preserve">23525180</t>
  </si>
  <si>
    <t xml:space="preserve">26600000</t>
  </si>
  <si>
    <t xml:space="preserve">Paracambi</t>
  </si>
  <si>
    <t xml:space="preserve">26291320</t>
  </si>
  <si>
    <t xml:space="preserve">26265090</t>
  </si>
  <si>
    <t xml:space="preserve">20710350</t>
  </si>
  <si>
    <t xml:space="preserve">21862390</t>
  </si>
  <si>
    <t xml:space="preserve">28941013</t>
  </si>
  <si>
    <t xml:space="preserve">27325110</t>
  </si>
  <si>
    <t xml:space="preserve">25964005</t>
  </si>
  <si>
    <t xml:space="preserve">28920030</t>
  </si>
  <si>
    <t xml:space="preserve">28930000</t>
  </si>
  <si>
    <t xml:space="preserve">Arraial do Cabo</t>
  </si>
  <si>
    <t xml:space="preserve">26032060</t>
  </si>
  <si>
    <t xml:space="preserve">23010095</t>
  </si>
  <si>
    <t xml:space="preserve">21920370</t>
  </si>
  <si>
    <t xml:space="preserve">25635340</t>
  </si>
  <si>
    <t xml:space="preserve">22740362</t>
  </si>
  <si>
    <t xml:space="preserve">26278535</t>
  </si>
  <si>
    <t xml:space="preserve">28926596</t>
  </si>
  <si>
    <t xml:space="preserve">25946148</t>
  </si>
  <si>
    <t xml:space="preserve">26562421</t>
  </si>
  <si>
    <t xml:space="preserve">26582220</t>
  </si>
  <si>
    <t xml:space="preserve">24812280</t>
  </si>
  <si>
    <t xml:space="preserve">20550210</t>
  </si>
  <si>
    <t xml:space="preserve">25214415</t>
  </si>
  <si>
    <t xml:space="preserve">21341270</t>
  </si>
  <si>
    <t xml:space="preserve">21853054</t>
  </si>
  <si>
    <t xml:space="preserve">25215285</t>
  </si>
  <si>
    <t xml:space="preserve">23570490</t>
  </si>
  <si>
    <t xml:space="preserve">25850000</t>
  </si>
  <si>
    <t xml:space="preserve">Paraíba do Sul</t>
  </si>
  <si>
    <t xml:space="preserve">26293384</t>
  </si>
  <si>
    <t xml:space="preserve">26082005</t>
  </si>
  <si>
    <t xml:space="preserve">26110323</t>
  </si>
  <si>
    <t xml:space="preserve">22753053</t>
  </si>
  <si>
    <t xml:space="preserve">22070011</t>
  </si>
  <si>
    <t xml:space="preserve">25270270</t>
  </si>
  <si>
    <t xml:space="preserve">22753501</t>
  </si>
  <si>
    <t xml:space="preserve">25267320</t>
  </si>
  <si>
    <t xml:space="preserve">28027150</t>
  </si>
  <si>
    <t xml:space="preserve">25545201</t>
  </si>
  <si>
    <t xml:space="preserve">21715190</t>
  </si>
  <si>
    <t xml:space="preserve">26515401</t>
  </si>
  <si>
    <t xml:space="preserve">22061020</t>
  </si>
  <si>
    <t xml:space="preserve">27935170</t>
  </si>
  <si>
    <t xml:space="preserve">27330660</t>
  </si>
  <si>
    <t xml:space="preserve">26383560</t>
  </si>
  <si>
    <t xml:space="preserve">22770360</t>
  </si>
  <si>
    <t xml:space="preserve">24738834</t>
  </si>
  <si>
    <t xml:space="preserve">21031752</t>
  </si>
  <si>
    <t xml:space="preserve">22753050</t>
  </si>
  <si>
    <t xml:space="preserve">28944042</t>
  </si>
  <si>
    <t xml:space="preserve">25025086</t>
  </si>
  <si>
    <t xml:space="preserve">23042500</t>
  </si>
  <si>
    <t xml:space="preserve">22210050</t>
  </si>
  <si>
    <t xml:space="preserve">27197249</t>
  </si>
  <si>
    <t xml:space="preserve">Pinheiral</t>
  </si>
  <si>
    <t xml:space="preserve">25555091</t>
  </si>
  <si>
    <t xml:space="preserve">26083460</t>
  </si>
  <si>
    <t xml:space="preserve">24421021</t>
  </si>
  <si>
    <t xml:space="preserve">24804700</t>
  </si>
  <si>
    <t xml:space="preserve">21721480</t>
  </si>
  <si>
    <t xml:space="preserve">20750120</t>
  </si>
  <si>
    <t xml:space="preserve">22783325</t>
  </si>
  <si>
    <t xml:space="preserve">24436000</t>
  </si>
  <si>
    <t xml:space="preserve">21640260</t>
  </si>
  <si>
    <t xml:space="preserve">20765171</t>
  </si>
  <si>
    <t xml:space="preserve">24754007</t>
  </si>
  <si>
    <t xml:space="preserve">28994500</t>
  </si>
  <si>
    <t xml:space="preserve">Saquarema</t>
  </si>
  <si>
    <t xml:space="preserve">24436807</t>
  </si>
  <si>
    <t xml:space="preserve">21843110</t>
  </si>
  <si>
    <t xml:space="preserve">21920120</t>
  </si>
  <si>
    <t xml:space="preserve">21230354</t>
  </si>
  <si>
    <t xml:space="preserve">20766721</t>
  </si>
  <si>
    <t xml:space="preserve">21775410</t>
  </si>
  <si>
    <t xml:space="preserve">25261470</t>
  </si>
  <si>
    <t xml:space="preserve">21760001</t>
  </si>
  <si>
    <t xml:space="preserve">26381411</t>
  </si>
  <si>
    <t xml:space="preserve">28990051</t>
  </si>
  <si>
    <t xml:space="preserve">24325020</t>
  </si>
  <si>
    <t xml:space="preserve">28972872</t>
  </si>
  <si>
    <t xml:space="preserve">25525720</t>
  </si>
  <si>
    <t xml:space="preserve">23555220</t>
  </si>
  <si>
    <t xml:space="preserve">28985225</t>
  </si>
  <si>
    <t xml:space="preserve">21740030</t>
  </si>
  <si>
    <t xml:space="preserve">23030300</t>
  </si>
  <si>
    <t xml:space="preserve">26042450</t>
  </si>
  <si>
    <t xml:space="preserve">24440440</t>
  </si>
  <si>
    <t xml:space="preserve">23058150</t>
  </si>
  <si>
    <t xml:space="preserve">21215060</t>
  </si>
  <si>
    <t xml:space="preserve">25264480</t>
  </si>
  <si>
    <t xml:space="preserve">22775598</t>
  </si>
  <si>
    <t xml:space="preserve">24813093</t>
  </si>
  <si>
    <t xml:space="preserve">23520521</t>
  </si>
  <si>
    <t xml:space="preserve">20771631</t>
  </si>
  <si>
    <t xml:space="preserve">24900155</t>
  </si>
  <si>
    <t xml:space="preserve">27255005</t>
  </si>
  <si>
    <t xml:space="preserve">23063152</t>
  </si>
  <si>
    <t xml:space="preserve">21042070</t>
  </si>
  <si>
    <t xml:space="preserve">23914215</t>
  </si>
  <si>
    <t xml:space="preserve">24725229</t>
  </si>
  <si>
    <t xml:space="preserve">25213152</t>
  </si>
  <si>
    <t xml:space="preserve">27262470</t>
  </si>
  <si>
    <t xml:space="preserve">21211740</t>
  </si>
  <si>
    <t xml:space="preserve">28030350</t>
  </si>
  <si>
    <t xml:space="preserve">24472160</t>
  </si>
  <si>
    <t xml:space="preserve">25015005</t>
  </si>
  <si>
    <t xml:space="preserve">21555150</t>
  </si>
  <si>
    <t xml:space="preserve">23061200</t>
  </si>
  <si>
    <t xml:space="preserve">22790873</t>
  </si>
  <si>
    <t xml:space="preserve">24230090</t>
  </si>
  <si>
    <t xml:space="preserve">28989520</t>
  </si>
  <si>
    <t xml:space="preserve">26033310</t>
  </si>
  <si>
    <t xml:space="preserve">27935365</t>
  </si>
  <si>
    <t xml:space="preserve">23587076</t>
  </si>
  <si>
    <t xml:space="preserve">25220340</t>
  </si>
  <si>
    <t xml:space="preserve">24425290</t>
  </si>
  <si>
    <t xml:space="preserve">21770100</t>
  </si>
  <si>
    <t xml:space="preserve">26190520</t>
  </si>
  <si>
    <t xml:space="preserve">27283040</t>
  </si>
  <si>
    <t xml:space="preserve">24460170</t>
  </si>
  <si>
    <t xml:space="preserve">20973900</t>
  </si>
  <si>
    <t xml:space="preserve">28120000</t>
  </si>
  <si>
    <t xml:space="preserve">25535120</t>
  </si>
  <si>
    <t xml:space="preserve">26165340</t>
  </si>
  <si>
    <t xml:space="preserve">25575080</t>
  </si>
  <si>
    <t xml:space="preserve">21050424</t>
  </si>
  <si>
    <t xml:space="preserve">24461590</t>
  </si>
  <si>
    <t xml:space="preserve">23042330</t>
  </si>
  <si>
    <t xml:space="preserve">25225660</t>
  </si>
  <si>
    <t xml:space="preserve">26515020</t>
  </si>
  <si>
    <t xml:space="preserve">23092002</t>
  </si>
  <si>
    <t xml:space="preserve">26178200</t>
  </si>
  <si>
    <t xml:space="preserve">23025150</t>
  </si>
  <si>
    <t xml:space="preserve">24425190</t>
  </si>
  <si>
    <t xml:space="preserve">26110250</t>
  </si>
  <si>
    <t xml:space="preserve">28948008</t>
  </si>
  <si>
    <t xml:space="preserve">22783124</t>
  </si>
  <si>
    <t xml:space="preserve">23032180</t>
  </si>
  <si>
    <t xml:space="preserve">21910170</t>
  </si>
  <si>
    <t xml:space="preserve">21046415</t>
  </si>
  <si>
    <t xml:space="preserve">21072150</t>
  </si>
  <si>
    <t xml:space="preserve">24344121</t>
  </si>
  <si>
    <t xml:space="preserve">26297072</t>
  </si>
  <si>
    <t xml:space="preserve">23894658</t>
  </si>
  <si>
    <t xml:space="preserve">26116260</t>
  </si>
  <si>
    <t xml:space="preserve">24806686</t>
  </si>
  <si>
    <t xml:space="preserve">21060630</t>
  </si>
  <si>
    <t xml:space="preserve">28908105</t>
  </si>
  <si>
    <t xml:space="preserve">23811790</t>
  </si>
  <si>
    <t xml:space="preserve">21840102</t>
  </si>
  <si>
    <t xml:space="preserve">21040016</t>
  </si>
  <si>
    <t xml:space="preserve">21241430</t>
  </si>
  <si>
    <t xml:space="preserve">23580440</t>
  </si>
  <si>
    <t xml:space="preserve">25035030</t>
  </si>
  <si>
    <t xml:space="preserve">23075007</t>
  </si>
  <si>
    <t xml:space="preserve">24745170</t>
  </si>
  <si>
    <t xml:space="preserve">23535811</t>
  </si>
  <si>
    <t xml:space="preserve">23830080</t>
  </si>
  <si>
    <t xml:space="preserve">24921770</t>
  </si>
  <si>
    <t xml:space="preserve">24914100</t>
  </si>
  <si>
    <t xml:space="preserve">26376040</t>
  </si>
  <si>
    <t xml:space="preserve">21210260</t>
  </si>
  <si>
    <t xml:space="preserve">21545290</t>
  </si>
  <si>
    <t xml:space="preserve">21854002</t>
  </si>
  <si>
    <t xml:space="preserve">23070130</t>
  </si>
  <si>
    <t xml:space="preserve">23075078</t>
  </si>
  <si>
    <t xml:space="preserve">27274090</t>
  </si>
  <si>
    <t xml:space="preserve">26381736</t>
  </si>
  <si>
    <t xml:space="preserve">25230050</t>
  </si>
  <si>
    <t xml:space="preserve">28080095</t>
  </si>
  <si>
    <t xml:space="preserve">25235105</t>
  </si>
  <si>
    <t xml:space="preserve">28897174</t>
  </si>
  <si>
    <t xml:space="preserve">21665110</t>
  </si>
  <si>
    <t xml:space="preserve">22713587</t>
  </si>
  <si>
    <t xml:space="preserve">21616410</t>
  </si>
  <si>
    <t xml:space="preserve">22775118</t>
  </si>
  <si>
    <t xml:space="preserve">25266070</t>
  </si>
  <si>
    <t xml:space="preserve">25570290</t>
  </si>
  <si>
    <t xml:space="preserve">22775060</t>
  </si>
  <si>
    <t xml:space="preserve">23918510</t>
  </si>
  <si>
    <t xml:space="preserve">28022720</t>
  </si>
  <si>
    <t xml:space="preserve">26525131</t>
  </si>
  <si>
    <t xml:space="preserve">28948243</t>
  </si>
  <si>
    <t xml:space="preserve">22770590</t>
  </si>
  <si>
    <t xml:space="preserve">25243054</t>
  </si>
  <si>
    <t xml:space="preserve">23550570</t>
  </si>
  <si>
    <t xml:space="preserve">27511610</t>
  </si>
  <si>
    <t xml:space="preserve">23585245</t>
  </si>
  <si>
    <t xml:space="preserve">28415000</t>
  </si>
  <si>
    <t xml:space="preserve">26455365</t>
  </si>
  <si>
    <t xml:space="preserve">28770000</t>
  </si>
  <si>
    <t xml:space="preserve">Santa Maria Madalena</t>
  </si>
  <si>
    <t xml:space="preserve">28968345</t>
  </si>
  <si>
    <t xml:space="preserve">23068100</t>
  </si>
  <si>
    <t xml:space="preserve">22410001</t>
  </si>
  <si>
    <t xml:space="preserve">22270060</t>
  </si>
  <si>
    <t xml:space="preserve">23097640</t>
  </si>
  <si>
    <t xml:space="preserve">24436810</t>
  </si>
  <si>
    <t xml:space="preserve">24730090</t>
  </si>
  <si>
    <t xml:space="preserve">21530013</t>
  </si>
  <si>
    <t xml:space="preserve">21011290</t>
  </si>
  <si>
    <t xml:space="preserve">28994282</t>
  </si>
  <si>
    <t xml:space="preserve">24456150</t>
  </si>
  <si>
    <t xml:space="preserve">24320420</t>
  </si>
  <si>
    <t xml:space="preserve">20750030</t>
  </si>
  <si>
    <t xml:space="preserve">24723415</t>
  </si>
  <si>
    <t xml:space="preserve">22210030</t>
  </si>
  <si>
    <t xml:space="preserve">25046480</t>
  </si>
  <si>
    <t xml:space="preserve">20770180</t>
  </si>
  <si>
    <t xml:space="preserve">24753532</t>
  </si>
  <si>
    <t xml:space="preserve">23595020</t>
  </si>
  <si>
    <t xml:space="preserve">20740370</t>
  </si>
  <si>
    <t xml:space="preserve">24914420</t>
  </si>
  <si>
    <t xml:space="preserve">22041011</t>
  </si>
  <si>
    <t xml:space="preserve">20540106</t>
  </si>
  <si>
    <t xml:space="preserve">21042001</t>
  </si>
  <si>
    <t xml:space="preserve">28988892</t>
  </si>
  <si>
    <t xml:space="preserve">24415000</t>
  </si>
  <si>
    <t xml:space="preserve">24932855</t>
  </si>
  <si>
    <t xml:space="preserve">25555221</t>
  </si>
  <si>
    <t xml:space="preserve">22753710</t>
  </si>
  <si>
    <t xml:space="preserve">27923390</t>
  </si>
  <si>
    <t xml:space="preserve">22790714</t>
  </si>
  <si>
    <t xml:space="preserve">22740240</t>
  </si>
  <si>
    <t xml:space="preserve">26540130</t>
  </si>
  <si>
    <t xml:space="preserve">27273500</t>
  </si>
  <si>
    <t xml:space="preserve">20521030</t>
  </si>
  <si>
    <t xml:space="preserve">26293307</t>
  </si>
  <si>
    <t xml:space="preserve">26173140</t>
  </si>
  <si>
    <t xml:space="preserve">24722250</t>
  </si>
  <si>
    <t xml:space="preserve">26177110</t>
  </si>
  <si>
    <t xml:space="preserve">24455436</t>
  </si>
  <si>
    <t xml:space="preserve">23550105</t>
  </si>
  <si>
    <t xml:space="preserve">22011900</t>
  </si>
  <si>
    <t xml:space="preserve">23035600</t>
  </si>
  <si>
    <t xml:space="preserve">26553495</t>
  </si>
  <si>
    <t xml:space="preserve">24130247</t>
  </si>
  <si>
    <t xml:space="preserve">21230075</t>
  </si>
  <si>
    <t xml:space="preserve">21520050</t>
  </si>
  <si>
    <t xml:space="preserve">20730200</t>
  </si>
  <si>
    <t xml:space="preserve">21046020</t>
  </si>
  <si>
    <t xml:space="preserve">25035008</t>
  </si>
  <si>
    <t xml:space="preserve">21725180</t>
  </si>
  <si>
    <t xml:space="preserve">26278010</t>
  </si>
  <si>
    <t xml:space="preserve">22641004</t>
  </si>
  <si>
    <t xml:space="preserve">25212610</t>
  </si>
  <si>
    <t xml:space="preserve">23025033</t>
  </si>
  <si>
    <t xml:space="preserve">26030095</t>
  </si>
  <si>
    <t xml:space="preserve">26175240</t>
  </si>
  <si>
    <t xml:space="preserve">21515070</t>
  </si>
  <si>
    <t xml:space="preserve">24020320</t>
  </si>
  <si>
    <t xml:space="preserve">21341370</t>
  </si>
  <si>
    <t xml:space="preserve">23587460</t>
  </si>
  <si>
    <t xml:space="preserve">21520280</t>
  </si>
  <si>
    <t xml:space="preserve">28027040</t>
  </si>
  <si>
    <t xml:space="preserve">25071100</t>
  </si>
  <si>
    <t xml:space="preserve">22452770</t>
  </si>
  <si>
    <t xml:space="preserve">25010005</t>
  </si>
  <si>
    <t xml:space="preserve">25586030</t>
  </si>
  <si>
    <t xml:space="preserve">26311240</t>
  </si>
  <si>
    <t xml:space="preserve">21321035</t>
  </si>
  <si>
    <t xml:space="preserve">21545230</t>
  </si>
  <si>
    <t xml:space="preserve">28920050</t>
  </si>
  <si>
    <t xml:space="preserve">25070170</t>
  </si>
  <si>
    <t xml:space="preserve">22430070</t>
  </si>
  <si>
    <t xml:space="preserve">24744490</t>
  </si>
  <si>
    <t xml:space="preserve">20270231</t>
  </si>
  <si>
    <t xml:space="preserve">26294462</t>
  </si>
  <si>
    <t xml:space="preserve">25020085</t>
  </si>
  <si>
    <t xml:space="preserve">20541018</t>
  </si>
  <si>
    <t xml:space="preserve">21843070</t>
  </si>
  <si>
    <t xml:space="preserve">23547320</t>
  </si>
  <si>
    <t xml:space="preserve">28898024</t>
  </si>
  <si>
    <t xml:space="preserve">25056100</t>
  </si>
  <si>
    <t xml:space="preserve">26294300</t>
  </si>
  <si>
    <t xml:space="preserve">22723497</t>
  </si>
  <si>
    <t xml:space="preserve">26260035</t>
  </si>
  <si>
    <t xml:space="preserve">25035460</t>
  </si>
  <si>
    <t xml:space="preserve">25720142</t>
  </si>
  <si>
    <t xml:space="preserve">27276310</t>
  </si>
  <si>
    <t xml:space="preserve">28991406</t>
  </si>
  <si>
    <t xml:space="preserve">25030058</t>
  </si>
  <si>
    <t xml:space="preserve">25035200</t>
  </si>
  <si>
    <t xml:space="preserve">26040810</t>
  </si>
  <si>
    <t xml:space="preserve">28934815</t>
  </si>
  <si>
    <t xml:space="preserve">24931115</t>
  </si>
  <si>
    <t xml:space="preserve">21760140</t>
  </si>
  <si>
    <t xml:space="preserve">25235074</t>
  </si>
  <si>
    <t xml:space="preserve">28998320</t>
  </si>
  <si>
    <t xml:space="preserve">21215395</t>
  </si>
  <si>
    <t xml:space="preserve">Sicredi</t>
  </si>
  <si>
    <t xml:space="preserve">27516240</t>
  </si>
  <si>
    <t xml:space="preserve">22793400</t>
  </si>
  <si>
    <t xml:space="preserve">23575093</t>
  </si>
  <si>
    <t xml:space="preserve">21830005</t>
  </si>
  <si>
    <t xml:space="preserve">25565370</t>
  </si>
  <si>
    <t xml:space="preserve">25943377</t>
  </si>
  <si>
    <t xml:space="preserve">21043280</t>
  </si>
  <si>
    <t xml:space="preserve">24430460</t>
  </si>
  <si>
    <t xml:space="preserve">23530550</t>
  </si>
  <si>
    <t xml:space="preserve">21555480</t>
  </si>
  <si>
    <t xml:space="preserve">22250060</t>
  </si>
  <si>
    <t xml:space="preserve">23870000</t>
  </si>
  <si>
    <t xml:space="preserve">23040550</t>
  </si>
  <si>
    <t xml:space="preserve">28925071</t>
  </si>
  <si>
    <t xml:space="preserve">23520241</t>
  </si>
  <si>
    <t xml:space="preserve">22730150</t>
  </si>
  <si>
    <t xml:space="preserve">26087335</t>
  </si>
  <si>
    <t xml:space="preserve">21815030</t>
  </si>
  <si>
    <t xml:space="preserve">21755270</t>
  </si>
  <si>
    <t xml:space="preserve">22765455</t>
  </si>
  <si>
    <t xml:space="preserve">21833050</t>
  </si>
  <si>
    <t xml:space="preserve">22783116</t>
  </si>
  <si>
    <t xml:space="preserve">23093146</t>
  </si>
  <si>
    <t xml:space="preserve">22750300</t>
  </si>
  <si>
    <t xml:space="preserve">21236020</t>
  </si>
  <si>
    <t xml:space="preserve">23032310</t>
  </si>
  <si>
    <t xml:space="preserve">26562040</t>
  </si>
  <si>
    <t xml:space="preserve">20785342</t>
  </si>
  <si>
    <t xml:space="preserve">23585081</t>
  </si>
  <si>
    <t xml:space="preserve">27525847</t>
  </si>
  <si>
    <t xml:space="preserve">23935080</t>
  </si>
  <si>
    <t xml:space="preserve">24856232</t>
  </si>
  <si>
    <t xml:space="preserve">25620002</t>
  </si>
  <si>
    <t xml:space="preserve">22763550</t>
  </si>
  <si>
    <t xml:space="preserve">22753340</t>
  </si>
  <si>
    <t xml:space="preserve">21670450</t>
  </si>
  <si>
    <t xml:space="preserve">26587310</t>
  </si>
  <si>
    <t xml:space="preserve">23058070</t>
  </si>
  <si>
    <t xml:space="preserve">22793395</t>
  </si>
  <si>
    <t xml:space="preserve">28995211</t>
  </si>
  <si>
    <t xml:space="preserve">26535380</t>
  </si>
  <si>
    <t xml:space="preserve">24445210</t>
  </si>
  <si>
    <t xml:space="preserve">22793366</t>
  </si>
  <si>
    <t xml:space="preserve">27213050</t>
  </si>
  <si>
    <t xml:space="preserve">23061010</t>
  </si>
  <si>
    <t xml:space="preserve">24474295</t>
  </si>
  <si>
    <t xml:space="preserve">21210270</t>
  </si>
  <si>
    <t xml:space="preserve">23907205</t>
  </si>
  <si>
    <t xml:space="preserve">23082410</t>
  </si>
  <si>
    <t xml:space="preserve">25550500</t>
  </si>
  <si>
    <t xml:space="preserve">25555201</t>
  </si>
  <si>
    <t xml:space="preserve">24745120</t>
  </si>
  <si>
    <t xml:space="preserve">25272660</t>
  </si>
  <si>
    <t xml:space="preserve">24340105</t>
  </si>
  <si>
    <t xml:space="preserve">28990760</t>
  </si>
  <si>
    <t xml:space="preserve">26475040</t>
  </si>
  <si>
    <t xml:space="preserve">26525046</t>
  </si>
  <si>
    <t xml:space="preserve">26587390</t>
  </si>
  <si>
    <t xml:space="preserve">24800770</t>
  </si>
  <si>
    <t xml:space="preserve">28990542</t>
  </si>
  <si>
    <t xml:space="preserve">23040150</t>
  </si>
  <si>
    <t xml:space="preserve">26376070</t>
  </si>
  <si>
    <t xml:space="preserve">22753155</t>
  </si>
  <si>
    <t xml:space="preserve">20550220</t>
  </si>
  <si>
    <t xml:space="preserve">20211020</t>
  </si>
  <si>
    <t xml:space="preserve">28013025</t>
  </si>
  <si>
    <t xml:space="preserve">28890603</t>
  </si>
  <si>
    <t xml:space="preserve">28024492</t>
  </si>
  <si>
    <t xml:space="preserve">25935075</t>
  </si>
  <si>
    <t xml:space="preserve">22753200</t>
  </si>
  <si>
    <t xml:space="preserve">20751010</t>
  </si>
  <si>
    <t xml:space="preserve">21615410</t>
  </si>
  <si>
    <t xml:space="preserve">28925732</t>
  </si>
  <si>
    <t xml:space="preserve">25071220</t>
  </si>
  <si>
    <t xml:space="preserve">24724100</t>
  </si>
  <si>
    <t xml:space="preserve">21050060</t>
  </si>
  <si>
    <t xml:space="preserve">21330430</t>
  </si>
  <si>
    <t xml:space="preserve">26155070</t>
  </si>
  <si>
    <t xml:space="preserve">24457340</t>
  </si>
  <si>
    <t xml:space="preserve">28890868</t>
  </si>
  <si>
    <t xml:space="preserve">23515680</t>
  </si>
  <si>
    <t xml:space="preserve">26220060</t>
  </si>
  <si>
    <t xml:space="preserve">28983332</t>
  </si>
  <si>
    <t xml:space="preserve">24330180</t>
  </si>
  <si>
    <t xml:space="preserve">28699899</t>
  </si>
  <si>
    <t xml:space="preserve">26061810</t>
  </si>
  <si>
    <t xml:space="preserve">21630250</t>
  </si>
  <si>
    <t xml:space="preserve">22725031</t>
  </si>
  <si>
    <t xml:space="preserve">23032305</t>
  </si>
  <si>
    <t xml:space="preserve">25214300</t>
  </si>
  <si>
    <t xml:space="preserve">28060480</t>
  </si>
  <si>
    <t xml:space="preserve">24737540</t>
  </si>
  <si>
    <t xml:space="preserve">23898030</t>
  </si>
  <si>
    <t xml:space="preserve">20961050</t>
  </si>
  <si>
    <t xml:space="preserve">23510570</t>
  </si>
  <si>
    <t xml:space="preserve">25253554</t>
  </si>
  <si>
    <t xml:space="preserve">25645250</t>
  </si>
  <si>
    <t xml:space="preserve">28909460</t>
  </si>
  <si>
    <t xml:space="preserve">26510040</t>
  </si>
  <si>
    <t xml:space="preserve">26087095</t>
  </si>
  <si>
    <t xml:space="preserve">23595290</t>
  </si>
  <si>
    <t xml:space="preserve">21210002</t>
  </si>
  <si>
    <t xml:space="preserve">27580180</t>
  </si>
  <si>
    <t xml:space="preserve">21020160</t>
  </si>
  <si>
    <t xml:space="preserve">23066550</t>
  </si>
  <si>
    <t xml:space="preserve">24908780</t>
  </si>
  <si>
    <t xml:space="preserve">23098393</t>
  </si>
  <si>
    <t xml:space="preserve">22795355</t>
  </si>
  <si>
    <t xml:space="preserve">21020123</t>
  </si>
  <si>
    <t xml:space="preserve">27522130</t>
  </si>
  <si>
    <t xml:space="preserve">25946244</t>
  </si>
  <si>
    <t xml:space="preserve">26510608</t>
  </si>
  <si>
    <t xml:space="preserve">24425470</t>
  </si>
  <si>
    <t xml:space="preserve">24931740</t>
  </si>
  <si>
    <t xml:space="preserve">21921730</t>
  </si>
  <si>
    <t xml:space="preserve">21920001</t>
  </si>
  <si>
    <t xml:space="preserve">28040630</t>
  </si>
  <si>
    <t xml:space="preserve">24944232</t>
  </si>
  <si>
    <t xml:space="preserve">21720070</t>
  </si>
  <si>
    <t xml:space="preserve">21920115</t>
  </si>
  <si>
    <t xml:space="preserve">28090115</t>
  </si>
  <si>
    <t xml:space="preserve">22470230</t>
  </si>
  <si>
    <t xml:space="preserve">20761120</t>
  </si>
  <si>
    <t xml:space="preserve">28635360</t>
  </si>
  <si>
    <t xml:space="preserve">26554300</t>
  </si>
  <si>
    <t xml:space="preserve">27250005</t>
  </si>
  <si>
    <t xml:space="preserve">26215210</t>
  </si>
  <si>
    <t xml:space="preserve">23575275</t>
  </si>
  <si>
    <t xml:space="preserve">21745350</t>
  </si>
  <si>
    <t xml:space="preserve">21725020</t>
  </si>
  <si>
    <t xml:space="preserve">25071070</t>
  </si>
  <si>
    <t xml:space="preserve">23065004</t>
  </si>
  <si>
    <t xml:space="preserve">25935546</t>
  </si>
  <si>
    <t xml:space="preserve">24431720</t>
  </si>
  <si>
    <t xml:space="preserve">21540690</t>
  </si>
  <si>
    <t xml:space="preserve">23067438</t>
  </si>
  <si>
    <t xml:space="preserve">24310260</t>
  </si>
  <si>
    <t xml:space="preserve">22785276</t>
  </si>
  <si>
    <t xml:space="preserve">21710510</t>
  </si>
  <si>
    <t xml:space="preserve">26445270</t>
  </si>
  <si>
    <t xml:space="preserve">22795200</t>
  </si>
  <si>
    <t xml:space="preserve">21715075</t>
  </si>
  <si>
    <t xml:space="preserve">22770280</t>
  </si>
  <si>
    <t xml:space="preserve">26135300</t>
  </si>
  <si>
    <t xml:space="preserve">23898093</t>
  </si>
  <si>
    <t xml:space="preserve">25640550</t>
  </si>
  <si>
    <t xml:space="preserve">21046160</t>
  </si>
  <si>
    <t xml:space="preserve">21051020</t>
  </si>
  <si>
    <t xml:space="preserve">28961777</t>
  </si>
  <si>
    <t xml:space="preserve">26190281</t>
  </si>
  <si>
    <t xml:space="preserve">22713581</t>
  </si>
  <si>
    <t xml:space="preserve">23025500</t>
  </si>
  <si>
    <t xml:space="preserve">23040580</t>
  </si>
  <si>
    <t xml:space="preserve">24020240</t>
  </si>
  <si>
    <t xml:space="preserve">26112100</t>
  </si>
  <si>
    <t xml:space="preserve">23560050</t>
  </si>
  <si>
    <t xml:space="preserve">25235160</t>
  </si>
  <si>
    <t xml:space="preserve">24732660</t>
  </si>
  <si>
    <t xml:space="preserve">28899404</t>
  </si>
  <si>
    <t xml:space="preserve">27963812</t>
  </si>
  <si>
    <t xml:space="preserve">26271090</t>
  </si>
  <si>
    <t xml:space="preserve">26113660</t>
  </si>
  <si>
    <t xml:space="preserve">22460300</t>
  </si>
  <si>
    <t xml:space="preserve">21825183</t>
  </si>
  <si>
    <t xml:space="preserve">27532328</t>
  </si>
  <si>
    <t xml:space="preserve">26160165</t>
  </si>
  <si>
    <t xml:space="preserve">24130307</t>
  </si>
  <si>
    <t xml:space="preserve">25221424</t>
  </si>
  <si>
    <t xml:space="preserve">26032830</t>
  </si>
  <si>
    <t xml:space="preserve">25540540</t>
  </si>
  <si>
    <t xml:space="preserve">26553190</t>
  </si>
  <si>
    <t xml:space="preserve">28968485</t>
  </si>
  <si>
    <t xml:space="preserve">23075440</t>
  </si>
  <si>
    <t xml:space="preserve">24812022</t>
  </si>
  <si>
    <t xml:space="preserve">25780000</t>
  </si>
  <si>
    <t xml:space="preserve">São José do Vale do Rio Preto</t>
  </si>
  <si>
    <t xml:space="preserve">26176050</t>
  </si>
  <si>
    <t xml:space="preserve">23027290</t>
  </si>
  <si>
    <t xml:space="preserve">20261063</t>
  </si>
  <si>
    <t xml:space="preserve">26050610</t>
  </si>
  <si>
    <t xml:space="preserve">25650490</t>
  </si>
  <si>
    <t xml:space="preserve">22713570</t>
  </si>
  <si>
    <t xml:space="preserve">26130230</t>
  </si>
  <si>
    <t xml:space="preserve">25565430</t>
  </si>
  <si>
    <t xml:space="preserve">22743040</t>
  </si>
  <si>
    <t xml:space="preserve">23097692</t>
  </si>
  <si>
    <t xml:space="preserve">21230330</t>
  </si>
  <si>
    <t xml:space="preserve">23033020</t>
  </si>
  <si>
    <t xml:space="preserve">27135280</t>
  </si>
  <si>
    <t xml:space="preserve">27277210</t>
  </si>
  <si>
    <t xml:space="preserve">20960008</t>
  </si>
  <si>
    <t xml:space="preserve">21760360</t>
  </si>
  <si>
    <t xml:space="preserve">20071002</t>
  </si>
  <si>
    <t xml:space="preserve">25271755</t>
  </si>
  <si>
    <t xml:space="preserve">21660620</t>
  </si>
  <si>
    <t xml:space="preserve">24422400</t>
  </si>
  <si>
    <t xml:space="preserve">20961020</t>
  </si>
  <si>
    <t xml:space="preserve">21852540</t>
  </si>
  <si>
    <t xml:space="preserve">22270012</t>
  </si>
  <si>
    <t xml:space="preserve">22260040</t>
  </si>
  <si>
    <t xml:space="preserve">21380400</t>
  </si>
  <si>
    <t xml:space="preserve">21042120</t>
  </si>
  <si>
    <t xml:space="preserve">23535230</t>
  </si>
  <si>
    <t xml:space="preserve">24726460</t>
  </si>
  <si>
    <t xml:space="preserve">27343270</t>
  </si>
  <si>
    <t xml:space="preserve">24804141</t>
  </si>
  <si>
    <t xml:space="preserve">26041070</t>
  </si>
  <si>
    <t xml:space="preserve">26010390</t>
  </si>
  <si>
    <t xml:space="preserve">22730170</t>
  </si>
  <si>
    <t xml:space="preserve">22450130</t>
  </si>
  <si>
    <t xml:space="preserve">28942820</t>
  </si>
  <si>
    <t xml:space="preserve">22610001</t>
  </si>
  <si>
    <t xml:space="preserve">21862560</t>
  </si>
  <si>
    <t xml:space="preserve">25212672</t>
  </si>
  <si>
    <t xml:space="preserve">24430500</t>
  </si>
  <si>
    <t xml:space="preserve">21625060</t>
  </si>
  <si>
    <t xml:space="preserve">23933115</t>
  </si>
  <si>
    <t xml:space="preserve">21073160</t>
  </si>
  <si>
    <t xml:space="preserve">26296528</t>
  </si>
  <si>
    <t xml:space="preserve">25812742</t>
  </si>
  <si>
    <t xml:space="preserve">20920050</t>
  </si>
  <si>
    <t xml:space="preserve">26115460</t>
  </si>
  <si>
    <t xml:space="preserve">21330650</t>
  </si>
  <si>
    <t xml:space="preserve">24715330</t>
  </si>
  <si>
    <t xml:space="preserve">22753315</t>
  </si>
  <si>
    <t xml:space="preserve">25555150</t>
  </si>
  <si>
    <t xml:space="preserve">21620590</t>
  </si>
  <si>
    <t xml:space="preserve">22785200</t>
  </si>
  <si>
    <t xml:space="preserve">23555100</t>
  </si>
  <si>
    <t xml:space="preserve">25212310</t>
  </si>
  <si>
    <t xml:space="preserve">21311281</t>
  </si>
  <si>
    <t xml:space="preserve">23092370</t>
  </si>
  <si>
    <t xml:space="preserve">28024731</t>
  </si>
  <si>
    <t xml:space="preserve">24725170</t>
  </si>
  <si>
    <t xml:space="preserve">21220410</t>
  </si>
  <si>
    <t xml:space="preserve">27971791</t>
  </si>
  <si>
    <t xml:space="preserve">21220220</t>
  </si>
  <si>
    <t xml:space="preserve">28908050</t>
  </si>
  <si>
    <t xml:space="preserve">24417180</t>
  </si>
  <si>
    <t xml:space="preserve">20251370</t>
  </si>
  <si>
    <t xml:space="preserve">28994172</t>
  </si>
  <si>
    <t xml:space="preserve">25884000</t>
  </si>
  <si>
    <t xml:space="preserve">24315571</t>
  </si>
  <si>
    <t xml:space="preserve">24456595</t>
  </si>
  <si>
    <t xml:space="preserve">22610020</t>
  </si>
  <si>
    <t xml:space="preserve">26275010</t>
  </si>
  <si>
    <t xml:space="preserve">21911430</t>
  </si>
  <si>
    <t xml:space="preserve">25956120</t>
  </si>
  <si>
    <t xml:space="preserve">28981446</t>
  </si>
  <si>
    <t xml:space="preserve">25571210</t>
  </si>
  <si>
    <t xml:space="preserve">20760120</t>
  </si>
  <si>
    <t xml:space="preserve">26435160</t>
  </si>
  <si>
    <t xml:space="preserve">23515162</t>
  </si>
  <si>
    <t xml:space="preserve">25245640</t>
  </si>
  <si>
    <t xml:space="preserve">28895622</t>
  </si>
  <si>
    <t xml:space="preserve">26510110</t>
  </si>
  <si>
    <t xml:space="preserve">25615061</t>
  </si>
  <si>
    <t xml:space="preserve">21853031</t>
  </si>
  <si>
    <t xml:space="preserve">28949460</t>
  </si>
  <si>
    <t xml:space="preserve">27995000</t>
  </si>
  <si>
    <t xml:space="preserve">23595200</t>
  </si>
  <si>
    <t xml:space="preserve">28634110</t>
  </si>
  <si>
    <t xml:space="preserve">24751000</t>
  </si>
  <si>
    <t xml:space="preserve">27240559</t>
  </si>
  <si>
    <t xml:space="preserve">24934275</t>
  </si>
  <si>
    <t xml:space="preserve">21875240</t>
  </si>
  <si>
    <t xml:space="preserve">25268376</t>
  </si>
  <si>
    <t xml:space="preserve">25268370</t>
  </si>
  <si>
    <t xml:space="preserve">22451264</t>
  </si>
  <si>
    <t xml:space="preserve">21720140</t>
  </si>
  <si>
    <t xml:space="preserve">23936170</t>
  </si>
  <si>
    <t xml:space="preserve">26115729</t>
  </si>
  <si>
    <t xml:space="preserve">23070221</t>
  </si>
  <si>
    <t xml:space="preserve">23025110</t>
  </si>
  <si>
    <t xml:space="preserve">21540440</t>
  </si>
  <si>
    <t xml:space="preserve">26298629</t>
  </si>
  <si>
    <t xml:space="preserve">28500000</t>
  </si>
  <si>
    <t xml:space="preserve">Cantagalo</t>
  </si>
  <si>
    <t xml:space="preserve">28634450</t>
  </si>
  <si>
    <t xml:space="preserve">24900485</t>
  </si>
  <si>
    <t xml:space="preserve">21735210</t>
  </si>
  <si>
    <t xml:space="preserve">22723535</t>
  </si>
  <si>
    <t xml:space="preserve">26215090</t>
  </si>
  <si>
    <t xml:space="preserve">25056130</t>
  </si>
  <si>
    <t xml:space="preserve">25555050</t>
  </si>
  <si>
    <t xml:space="preserve">26298611</t>
  </si>
  <si>
    <t xml:space="preserve">22211230</t>
  </si>
  <si>
    <t xml:space="preserve">27536220</t>
  </si>
  <si>
    <t xml:space="preserve">20250450</t>
  </si>
  <si>
    <t xml:space="preserve">28985445</t>
  </si>
  <si>
    <t xml:space="preserve">23085600</t>
  </si>
  <si>
    <t xml:space="preserve">24934510</t>
  </si>
  <si>
    <t xml:space="preserve">21540400</t>
  </si>
  <si>
    <t xml:space="preserve">27580001</t>
  </si>
  <si>
    <t xml:space="preserve">27943120</t>
  </si>
  <si>
    <t xml:space="preserve">24736120</t>
  </si>
  <si>
    <t xml:space="preserve">24860100</t>
  </si>
  <si>
    <t xml:space="preserve">21341332</t>
  </si>
  <si>
    <t xml:space="preserve">26175007</t>
  </si>
  <si>
    <t xml:space="preserve">24440670</t>
  </si>
  <si>
    <t xml:space="preserve">21675090</t>
  </si>
  <si>
    <t xml:space="preserve">21044340</t>
  </si>
  <si>
    <t xml:space="preserve">24813006</t>
  </si>
  <si>
    <t xml:space="preserve">21815340</t>
  </si>
  <si>
    <t xml:space="preserve">25015301</t>
  </si>
  <si>
    <t xml:space="preserve">28948878</t>
  </si>
  <si>
    <t xml:space="preserve">25223500</t>
  </si>
  <si>
    <t xml:space="preserve">28692600</t>
  </si>
  <si>
    <t xml:space="preserve">22221000</t>
  </si>
  <si>
    <t xml:space="preserve">27913260</t>
  </si>
  <si>
    <t xml:space="preserve">20740570</t>
  </si>
  <si>
    <t xml:space="preserve">25030040</t>
  </si>
  <si>
    <t xml:space="preserve">23036061</t>
  </si>
  <si>
    <t xml:space="preserve">26574391</t>
  </si>
  <si>
    <t xml:space="preserve">25575050</t>
  </si>
  <si>
    <t xml:space="preserve">24715392</t>
  </si>
  <si>
    <t xml:space="preserve">28899386</t>
  </si>
  <si>
    <t xml:space="preserve">21061500</t>
  </si>
  <si>
    <t xml:space="preserve">20961150</t>
  </si>
  <si>
    <t xml:space="preserve">21852330</t>
  </si>
  <si>
    <t xml:space="preserve">20950004</t>
  </si>
  <si>
    <t xml:space="preserve">24806100</t>
  </si>
  <si>
    <t xml:space="preserve">25930860</t>
  </si>
  <si>
    <t xml:space="preserve">24450170</t>
  </si>
  <si>
    <t xml:space="preserve">25225330</t>
  </si>
  <si>
    <t xml:space="preserve">25610011</t>
  </si>
  <si>
    <t xml:space="preserve">21740230</t>
  </si>
  <si>
    <t xml:space="preserve">21843790</t>
  </si>
  <si>
    <t xml:space="preserve">25576220</t>
  </si>
  <si>
    <t xml:space="preserve">25220005</t>
  </si>
  <si>
    <t xml:space="preserve">22770190</t>
  </si>
  <si>
    <t xml:space="preserve">24230541</t>
  </si>
  <si>
    <t xml:space="preserve">24422640</t>
  </si>
  <si>
    <t xml:space="preserve">24858500</t>
  </si>
  <si>
    <t xml:space="preserve">26010421</t>
  </si>
  <si>
    <t xml:space="preserve">22790710</t>
  </si>
  <si>
    <t xml:space="preserve">28570000</t>
  </si>
  <si>
    <t xml:space="preserve">Itaocara</t>
  </si>
  <si>
    <t xml:space="preserve">20540341</t>
  </si>
  <si>
    <t xml:space="preserve">25555490</t>
  </si>
  <si>
    <t xml:space="preserve">21520030</t>
  </si>
  <si>
    <t xml:space="preserve">21665090</t>
  </si>
  <si>
    <t xml:space="preserve">28982265</t>
  </si>
  <si>
    <t xml:space="preserve">24856660</t>
  </si>
  <si>
    <t xml:space="preserve">26553360</t>
  </si>
  <si>
    <t xml:space="preserve">28980816</t>
  </si>
  <si>
    <t xml:space="preserve">26110260</t>
  </si>
  <si>
    <t xml:space="preserve">28057290</t>
  </si>
  <si>
    <t xml:space="preserve">26510140</t>
  </si>
  <si>
    <t xml:space="preserve">28800101</t>
  </si>
  <si>
    <t xml:space="preserve">Rio Bonito</t>
  </si>
  <si>
    <t xml:space="preserve">21350250</t>
  </si>
  <si>
    <t xml:space="preserve">26086460</t>
  </si>
  <si>
    <t xml:space="preserve">28070406</t>
  </si>
  <si>
    <t xml:space="preserve">25035160</t>
  </si>
  <si>
    <t xml:space="preserve">22750443</t>
  </si>
  <si>
    <t xml:space="preserve">21020260</t>
  </si>
  <si>
    <t xml:space="preserve">27213250</t>
  </si>
  <si>
    <t xml:space="preserve">26042310</t>
  </si>
  <si>
    <t xml:space="preserve">22451030</t>
  </si>
  <si>
    <t xml:space="preserve">22420030</t>
  </si>
  <si>
    <t xml:space="preserve">22795255</t>
  </si>
  <si>
    <t xml:space="preserve">28950800</t>
  </si>
  <si>
    <t xml:space="preserve">26062025</t>
  </si>
  <si>
    <t xml:space="preserve">23820390</t>
  </si>
  <si>
    <t xml:space="preserve">20730430</t>
  </si>
  <si>
    <t xml:space="preserve">27971209</t>
  </si>
  <si>
    <t xml:space="preserve">24220120</t>
  </si>
  <si>
    <t xml:space="preserve">28090100</t>
  </si>
  <si>
    <t xml:space="preserve">21870220</t>
  </si>
  <si>
    <t xml:space="preserve">28630080</t>
  </si>
  <si>
    <t xml:space="preserve">25906890</t>
  </si>
  <si>
    <t xml:space="preserve">26290723</t>
  </si>
  <si>
    <t xml:space="preserve">26140450</t>
  </si>
  <si>
    <t xml:space="preserve">26157579</t>
  </si>
  <si>
    <t xml:space="preserve">26089225</t>
  </si>
  <si>
    <t xml:space="preserve">21511140</t>
  </si>
  <si>
    <t xml:space="preserve">25075240</t>
  </si>
  <si>
    <t xml:space="preserve">28890052</t>
  </si>
  <si>
    <t xml:space="preserve">22793580</t>
  </si>
  <si>
    <t xml:space="preserve">26263175</t>
  </si>
  <si>
    <t xml:space="preserve">20745040</t>
  </si>
  <si>
    <t xml:space="preserve">21770190</t>
  </si>
  <si>
    <t xml:space="preserve">25565040</t>
  </si>
  <si>
    <t xml:space="preserve">28623583</t>
  </si>
  <si>
    <t xml:space="preserve">23059318</t>
  </si>
  <si>
    <t xml:space="preserve">24740110</t>
  </si>
  <si>
    <t xml:space="preserve">24722315</t>
  </si>
  <si>
    <t xml:space="preserve">26278670</t>
  </si>
  <si>
    <t xml:space="preserve">28908120</t>
  </si>
  <si>
    <t xml:space="preserve">28250000</t>
  </si>
  <si>
    <t xml:space="preserve">Italva</t>
  </si>
  <si>
    <t xml:space="preserve">21341331</t>
  </si>
  <si>
    <t xml:space="preserve">24230131</t>
  </si>
  <si>
    <t xml:space="preserve">22793325</t>
  </si>
  <si>
    <t xml:space="preserve">26261130</t>
  </si>
  <si>
    <t xml:space="preserve">25730736</t>
  </si>
  <si>
    <t xml:space="preserve">24426410</t>
  </si>
  <si>
    <t xml:space="preserve">23575437</t>
  </si>
  <si>
    <t xml:space="preserve">27240440</t>
  </si>
  <si>
    <t xml:space="preserve">28943628</t>
  </si>
  <si>
    <t xml:space="preserve">27963111</t>
  </si>
  <si>
    <t xml:space="preserve">23934010</t>
  </si>
  <si>
    <t xml:space="preserve">25710130</t>
  </si>
  <si>
    <t xml:space="preserve">25030020</t>
  </si>
  <si>
    <t xml:space="preserve">26415190</t>
  </si>
  <si>
    <t xml:space="preserve">26080030</t>
  </si>
  <si>
    <t xml:space="preserve">22040021</t>
  </si>
  <si>
    <t xml:space="preserve">27283260</t>
  </si>
  <si>
    <t xml:space="preserve">22733510</t>
  </si>
  <si>
    <t xml:space="preserve">20770270</t>
  </si>
  <si>
    <t xml:space="preserve">23097604</t>
  </si>
  <si>
    <t xml:space="preserve">26280310</t>
  </si>
  <si>
    <t xml:space="preserve">27410180</t>
  </si>
  <si>
    <t xml:space="preserve">Quatis</t>
  </si>
  <si>
    <t xml:space="preserve">21843154</t>
  </si>
  <si>
    <t xml:space="preserve">28027130</t>
  </si>
  <si>
    <t xml:space="preserve">21241190</t>
  </si>
  <si>
    <t xml:space="preserve">20230014</t>
  </si>
  <si>
    <t xml:space="preserve">23918540</t>
  </si>
  <si>
    <t xml:space="preserve">21931383</t>
  </si>
  <si>
    <t xml:space="preserve">25960410</t>
  </si>
  <si>
    <t xml:space="preserve">24474770</t>
  </si>
  <si>
    <t xml:space="preserve">26293567</t>
  </si>
  <si>
    <t xml:space="preserve">20735320</t>
  </si>
  <si>
    <t xml:space="preserve">25975550</t>
  </si>
  <si>
    <t xml:space="preserve">23020590</t>
  </si>
  <si>
    <t xml:space="preserve">25086390</t>
  </si>
  <si>
    <t xml:space="preserve">22270016</t>
  </si>
  <si>
    <t xml:space="preserve">23025034</t>
  </si>
  <si>
    <t xml:space="preserve">25261100</t>
  </si>
  <si>
    <t xml:space="preserve">23068320</t>
  </si>
  <si>
    <t xml:space="preserve">24851564</t>
  </si>
  <si>
    <t xml:space="preserve">22763153</t>
  </si>
  <si>
    <t xml:space="preserve">23036053</t>
  </si>
  <si>
    <t xml:space="preserve">24457530</t>
  </si>
  <si>
    <t xml:space="preserve">26087390</t>
  </si>
  <si>
    <t xml:space="preserve">26553161</t>
  </si>
  <si>
    <t xml:space="preserve">22783210</t>
  </si>
  <si>
    <t xml:space="preserve">20745250</t>
  </si>
  <si>
    <t xml:space="preserve">20530400</t>
  </si>
  <si>
    <t xml:space="preserve">27971750</t>
  </si>
  <si>
    <t xml:space="preserve">21910100</t>
  </si>
  <si>
    <t xml:space="preserve">26052390</t>
  </si>
  <si>
    <t xml:space="preserve">20785130</t>
  </si>
  <si>
    <t xml:space="preserve">21215050</t>
  </si>
  <si>
    <t xml:space="preserve">22221020</t>
  </si>
  <si>
    <t xml:space="preserve">22011002</t>
  </si>
  <si>
    <t xml:space="preserve">25035800</t>
  </si>
  <si>
    <t xml:space="preserve">25963007</t>
  </si>
  <si>
    <t xml:space="preserve">23071180</t>
  </si>
  <si>
    <t xml:space="preserve">20730110</t>
  </si>
  <si>
    <t xml:space="preserve">24451840</t>
  </si>
  <si>
    <t xml:space="preserve">23031203</t>
  </si>
  <si>
    <t xml:space="preserve">25211300</t>
  </si>
  <si>
    <t xml:space="preserve">24470545</t>
  </si>
  <si>
    <t xml:space="preserve">22790877</t>
  </si>
  <si>
    <t xml:space="preserve">21321560</t>
  </si>
  <si>
    <t xml:space="preserve">24716570</t>
  </si>
  <si>
    <t xml:space="preserve">20211010</t>
  </si>
  <si>
    <t xml:space="preserve">26520020</t>
  </si>
  <si>
    <t xml:space="preserve">28020465</t>
  </si>
  <si>
    <t xml:space="preserve">21521360</t>
  </si>
  <si>
    <t xml:space="preserve">22621070</t>
  </si>
  <si>
    <t xml:space="preserve">25040335</t>
  </si>
  <si>
    <t xml:space="preserve">26554150</t>
  </si>
  <si>
    <t xml:space="preserve">22451262</t>
  </si>
  <si>
    <t xml:space="preserve">28981640</t>
  </si>
  <si>
    <t xml:space="preserve">28971530</t>
  </si>
  <si>
    <t xml:space="preserve">23050340</t>
  </si>
  <si>
    <t xml:space="preserve">26572280</t>
  </si>
  <si>
    <t xml:space="preserve">20725080</t>
  </si>
  <si>
    <t xml:space="preserve">21241050</t>
  </si>
  <si>
    <t xml:space="preserve">21775540</t>
  </si>
  <si>
    <t xml:space="preserve">21910280</t>
  </si>
  <si>
    <t xml:space="preserve">28053100</t>
  </si>
  <si>
    <t xml:space="preserve">28995639</t>
  </si>
  <si>
    <t xml:space="preserve">22031071</t>
  </si>
  <si>
    <t xml:space="preserve">22740360</t>
  </si>
  <si>
    <t xml:space="preserve">28013080</t>
  </si>
  <si>
    <t xml:space="preserve">27345220</t>
  </si>
  <si>
    <t xml:space="preserve">21072720</t>
  </si>
  <si>
    <t xml:space="preserve">28920803</t>
  </si>
  <si>
    <t xml:space="preserve">20020010</t>
  </si>
  <si>
    <t xml:space="preserve">28180000</t>
  </si>
  <si>
    <t xml:space="preserve">Cardoso Moreira</t>
  </si>
  <si>
    <t xml:space="preserve">25264180</t>
  </si>
  <si>
    <t xml:space="preserve">21371440</t>
  </si>
  <si>
    <t xml:space="preserve">28625570</t>
  </si>
  <si>
    <t xml:space="preserve">23035146</t>
  </si>
  <si>
    <t xml:space="preserve">24736210</t>
  </si>
  <si>
    <t xml:space="preserve">25651075</t>
  </si>
  <si>
    <t xml:space="preserve">22770580</t>
  </si>
  <si>
    <t xml:space="preserve">28220000</t>
  </si>
  <si>
    <t xml:space="preserve">28981070</t>
  </si>
  <si>
    <t xml:space="preserve">25650230</t>
  </si>
  <si>
    <t xml:space="preserve">21221420</t>
  </si>
  <si>
    <t xml:space="preserve">21870260</t>
  </si>
  <si>
    <t xml:space="preserve">22220040</t>
  </si>
  <si>
    <t xml:space="preserve">21755430</t>
  </si>
  <si>
    <t xml:space="preserve">28051320</t>
  </si>
  <si>
    <t xml:space="preserve">26551481</t>
  </si>
  <si>
    <t xml:space="preserve">25010350</t>
  </si>
  <si>
    <t xml:space="preserve">24470500</t>
  </si>
  <si>
    <t xml:space="preserve">24934350</t>
  </si>
  <si>
    <t xml:space="preserve">28941382</t>
  </si>
  <si>
    <t xml:space="preserve">22753211</t>
  </si>
  <si>
    <t xml:space="preserve">23082220</t>
  </si>
  <si>
    <t xml:space="preserve">26167570</t>
  </si>
  <si>
    <t xml:space="preserve">25040220</t>
  </si>
  <si>
    <t xml:space="preserve">22765430</t>
  </si>
  <si>
    <t xml:space="preserve">23575050</t>
  </si>
  <si>
    <t xml:space="preserve">25041130</t>
  </si>
  <si>
    <t xml:space="preserve">25931890</t>
  </si>
  <si>
    <t xml:space="preserve">25680000</t>
  </si>
  <si>
    <t xml:space="preserve">28623060</t>
  </si>
  <si>
    <t xml:space="preserve">28690430</t>
  </si>
  <si>
    <t xml:space="preserve">24724565</t>
  </si>
  <si>
    <t xml:space="preserve">27960186</t>
  </si>
  <si>
    <t xml:space="preserve">26271360</t>
  </si>
  <si>
    <t xml:space="preserve">23058001</t>
  </si>
  <si>
    <t xml:space="preserve">22710280</t>
  </si>
  <si>
    <t xml:space="preserve">25213160</t>
  </si>
  <si>
    <t xml:space="preserve">20230240</t>
  </si>
  <si>
    <t xml:space="preserve">23935013</t>
  </si>
  <si>
    <t xml:space="preserve">25932145</t>
  </si>
  <si>
    <t xml:space="preserve">26281010</t>
  </si>
  <si>
    <t xml:space="preserve">28230000</t>
  </si>
  <si>
    <t xml:space="preserve">São Francisco de Itabapoana</t>
  </si>
  <si>
    <t xml:space="preserve">27944751</t>
  </si>
  <si>
    <t xml:space="preserve">21866340</t>
  </si>
  <si>
    <t xml:space="preserve">21340230</t>
  </si>
  <si>
    <t xml:space="preserve">28035053</t>
  </si>
  <si>
    <t xml:space="preserve">23585126</t>
  </si>
  <si>
    <t xml:space="preserve">25045730</t>
  </si>
  <si>
    <t xml:space="preserve">26420000</t>
  </si>
  <si>
    <t xml:space="preserve">21370200</t>
  </si>
  <si>
    <t xml:space="preserve">22745270</t>
  </si>
  <si>
    <t xml:space="preserve">27321620</t>
  </si>
  <si>
    <t xml:space="preserve">28021340</t>
  </si>
  <si>
    <t xml:space="preserve">28613450</t>
  </si>
  <si>
    <t xml:space="preserve">23075006</t>
  </si>
  <si>
    <t xml:space="preserve">21863360</t>
  </si>
  <si>
    <t xml:space="preserve">21361132</t>
  </si>
  <si>
    <t xml:space="preserve">28020301</t>
  </si>
  <si>
    <t xml:space="preserve">22641514</t>
  </si>
  <si>
    <t xml:space="preserve">25810130</t>
  </si>
  <si>
    <t xml:space="preserve">23510535</t>
  </si>
  <si>
    <t xml:space="preserve">22795810</t>
  </si>
  <si>
    <t xml:space="preserve">24802660</t>
  </si>
  <si>
    <t xml:space="preserve">23058002</t>
  </si>
  <si>
    <t xml:space="preserve">28085140</t>
  </si>
  <si>
    <t xml:space="preserve">21250570</t>
  </si>
  <si>
    <t xml:space="preserve">26480350</t>
  </si>
  <si>
    <t xml:space="preserve">28623000</t>
  </si>
  <si>
    <t xml:space="preserve">26297234</t>
  </si>
  <si>
    <t xml:space="preserve">25745010</t>
  </si>
  <si>
    <t xml:space="preserve">25932110</t>
  </si>
  <si>
    <t xml:space="preserve">23010220</t>
  </si>
  <si>
    <t xml:space="preserve">28083170</t>
  </si>
  <si>
    <t xml:space="preserve">22715160</t>
  </si>
  <si>
    <t xml:space="preserve">20920370</t>
  </si>
  <si>
    <t xml:space="preserve">26040800</t>
  </si>
  <si>
    <t xml:space="preserve">21510500</t>
  </si>
  <si>
    <t xml:space="preserve">21530040</t>
  </si>
  <si>
    <t xml:space="preserve">24350340</t>
  </si>
  <si>
    <t xml:space="preserve">28030315</t>
  </si>
  <si>
    <t xml:space="preserve">23914243</t>
  </si>
  <si>
    <t xml:space="preserve">26295595</t>
  </si>
  <si>
    <t xml:space="preserve">21070050</t>
  </si>
  <si>
    <t xml:space="preserve">21221440</t>
  </si>
  <si>
    <t xml:space="preserve">24717200</t>
  </si>
  <si>
    <t xml:space="preserve">23020724</t>
  </si>
  <si>
    <t xml:space="preserve">23550230</t>
  </si>
  <si>
    <t xml:space="preserve">21853355</t>
  </si>
  <si>
    <t xml:space="preserve">25675050</t>
  </si>
  <si>
    <t xml:space="preserve">28941348</t>
  </si>
  <si>
    <t xml:space="preserve">20220150</t>
  </si>
  <si>
    <t xml:space="preserve">28995104</t>
  </si>
  <si>
    <t xml:space="preserve">28928420</t>
  </si>
  <si>
    <t xml:space="preserve">21760320</t>
  </si>
  <si>
    <t xml:space="preserve">24722045</t>
  </si>
  <si>
    <t xml:space="preserve">28899401</t>
  </si>
  <si>
    <t xml:space="preserve">25570681</t>
  </si>
  <si>
    <t xml:space="preserve">22245100</t>
  </si>
  <si>
    <t xml:space="preserve">26294312</t>
  </si>
  <si>
    <t xml:space="preserve">21615310</t>
  </si>
  <si>
    <t xml:space="preserve">28633630</t>
  </si>
  <si>
    <t xml:space="preserve">28499040</t>
  </si>
  <si>
    <t xml:space="preserve">Aperibé</t>
  </si>
  <si>
    <t xml:space="preserve">22790693</t>
  </si>
  <si>
    <t xml:space="preserve">25935330</t>
  </si>
  <si>
    <t xml:space="preserve">25815560</t>
  </si>
  <si>
    <t xml:space="preserve">21932220</t>
  </si>
  <si>
    <t xml:space="preserve">21865320</t>
  </si>
  <si>
    <t xml:space="preserve">27525502</t>
  </si>
  <si>
    <t xml:space="preserve">23060720</t>
  </si>
  <si>
    <t xml:space="preserve">27971805</t>
  </si>
  <si>
    <t xml:space="preserve">24813126</t>
  </si>
  <si>
    <t xml:space="preserve">22790147</t>
  </si>
  <si>
    <t xml:space="preserve">26535350</t>
  </si>
  <si>
    <t xml:space="preserve">26021560</t>
  </si>
  <si>
    <t xml:space="preserve">28895679</t>
  </si>
  <si>
    <t xml:space="preserve">22790682</t>
  </si>
  <si>
    <t xml:space="preserve">26423400</t>
  </si>
  <si>
    <t xml:space="preserve">20541125</t>
  </si>
  <si>
    <t xml:space="preserve">24344150</t>
  </si>
  <si>
    <t xml:space="preserve">22780081</t>
  </si>
  <si>
    <t xml:space="preserve">22220060</t>
  </si>
  <si>
    <t xml:space="preserve">Prolog Transportes</t>
  </si>
  <si>
    <t xml:space="preserve">23073356</t>
  </si>
  <si>
    <t xml:space="preserve">22790180</t>
  </si>
  <si>
    <t xml:space="preserve">24340080</t>
  </si>
  <si>
    <t xml:space="preserve">23013420</t>
  </si>
  <si>
    <t xml:space="preserve">28021245</t>
  </si>
  <si>
    <t xml:space="preserve">25660004</t>
  </si>
  <si>
    <t xml:space="preserve">27321320</t>
  </si>
  <si>
    <t xml:space="preserve">23020110</t>
  </si>
  <si>
    <t xml:space="preserve">25936110</t>
  </si>
  <si>
    <t xml:space="preserve">21831445</t>
  </si>
  <si>
    <t xml:space="preserve">24435140</t>
  </si>
  <si>
    <t xml:space="preserve">21010570</t>
  </si>
  <si>
    <t xml:space="preserve">20765240</t>
  </si>
  <si>
    <t xml:space="preserve">28928368</t>
  </si>
  <si>
    <t xml:space="preserve">21775420</t>
  </si>
  <si>
    <t xml:space="preserve">21044550</t>
  </si>
  <si>
    <t xml:space="preserve">28920225</t>
  </si>
  <si>
    <t xml:space="preserve">23935105</t>
  </si>
  <si>
    <t xml:space="preserve">23047530</t>
  </si>
  <si>
    <t xml:space="preserve">22221140</t>
  </si>
  <si>
    <t xml:space="preserve">27603051</t>
  </si>
  <si>
    <t xml:space="preserve">22783360</t>
  </si>
  <si>
    <t xml:space="preserve">22250040</t>
  </si>
  <si>
    <t xml:space="preserve">28922470</t>
  </si>
  <si>
    <t xml:space="preserve">23587415</t>
  </si>
  <si>
    <t xml:space="preserve">24710210</t>
  </si>
  <si>
    <t xml:space="preserve">23935172</t>
  </si>
  <si>
    <t xml:space="preserve">23067430</t>
  </si>
  <si>
    <t xml:space="preserve">26270100</t>
  </si>
  <si>
    <t xml:space="preserve">26377300</t>
  </si>
  <si>
    <t xml:space="preserve">28893513</t>
  </si>
  <si>
    <t xml:space="preserve">25804130</t>
  </si>
  <si>
    <t xml:space="preserve">23933600</t>
  </si>
  <si>
    <t xml:space="preserve">21361140</t>
  </si>
  <si>
    <t xml:space="preserve">23058281</t>
  </si>
  <si>
    <t xml:space="preserve">23085570</t>
  </si>
  <si>
    <t xml:space="preserve">24916000</t>
  </si>
  <si>
    <t xml:space="preserve">21012351</t>
  </si>
  <si>
    <t xml:space="preserve">28928510</t>
  </si>
  <si>
    <t xml:space="preserve">22471270</t>
  </si>
  <si>
    <t xml:space="preserve">22631030</t>
  </si>
  <si>
    <t xml:space="preserve">21340440</t>
  </si>
  <si>
    <t xml:space="preserve">20560050</t>
  </si>
  <si>
    <t xml:space="preserve">28740000</t>
  </si>
  <si>
    <t xml:space="preserve">Conceição de Macabu</t>
  </si>
  <si>
    <t xml:space="preserve">21820097</t>
  </si>
  <si>
    <t xml:space="preserve">22735020</t>
  </si>
  <si>
    <t xml:space="preserve">28110000</t>
  </si>
  <si>
    <t xml:space="preserve">22723002</t>
  </si>
  <si>
    <t xml:space="preserve">24350242</t>
  </si>
  <si>
    <t xml:space="preserve">24744720</t>
  </si>
  <si>
    <t xml:space="preserve">26195140</t>
  </si>
  <si>
    <t xml:space="preserve">24430210</t>
  </si>
  <si>
    <t xml:space="preserve">27925396</t>
  </si>
  <si>
    <t xml:space="preserve">25221124</t>
  </si>
  <si>
    <t xml:space="preserve">28692632</t>
  </si>
  <si>
    <t xml:space="preserve">21042431</t>
  </si>
  <si>
    <t xml:space="preserve">23565450</t>
  </si>
  <si>
    <t xml:space="preserve">22790495</t>
  </si>
  <si>
    <t xml:space="preserve">21832310</t>
  </si>
  <si>
    <t xml:space="preserve">23955385</t>
  </si>
  <si>
    <t xml:space="preserve">22710125</t>
  </si>
  <si>
    <t xml:space="preserve">22251050</t>
  </si>
  <si>
    <t xml:space="preserve">23035090</t>
  </si>
  <si>
    <t xml:space="preserve">24140590</t>
  </si>
  <si>
    <t xml:space="preserve">23075640</t>
  </si>
  <si>
    <t xml:space="preserve">28960289</t>
  </si>
  <si>
    <t xml:space="preserve">28620310</t>
  </si>
  <si>
    <t xml:space="preserve">21231020</t>
  </si>
  <si>
    <t xml:space="preserve">24921452</t>
  </si>
  <si>
    <t xml:space="preserve">25665400</t>
  </si>
  <si>
    <t xml:space="preserve">23560510</t>
  </si>
  <si>
    <t xml:space="preserve">24240415</t>
  </si>
  <si>
    <t xml:space="preserve">25645260</t>
  </si>
  <si>
    <t xml:space="preserve">24742160</t>
  </si>
  <si>
    <t xml:space="preserve">28085450</t>
  </si>
  <si>
    <t xml:space="preserve">27277030</t>
  </si>
  <si>
    <t xml:space="preserve">23028055</t>
  </si>
  <si>
    <t xml:space="preserve">21012200</t>
  </si>
  <si>
    <t xml:space="preserve">24715631</t>
  </si>
  <si>
    <t xml:space="preserve">21842596</t>
  </si>
  <si>
    <t xml:space="preserve">24440900</t>
  </si>
  <si>
    <t xml:space="preserve">27966690</t>
  </si>
  <si>
    <t xml:space="preserve">27963795</t>
  </si>
  <si>
    <t xml:space="preserve">23914325</t>
  </si>
  <si>
    <t xml:space="preserve">23078001</t>
  </si>
  <si>
    <t xml:space="preserve">24467000</t>
  </si>
  <si>
    <t xml:space="preserve">21321020</t>
  </si>
  <si>
    <t xml:space="preserve">28979801</t>
  </si>
  <si>
    <t xml:space="preserve">21341140</t>
  </si>
  <si>
    <t xml:space="preserve">24751160</t>
  </si>
  <si>
    <t xml:space="preserve">27966610</t>
  </si>
  <si>
    <t xml:space="preserve">25655363</t>
  </si>
  <si>
    <t xml:space="preserve">23943120</t>
  </si>
  <si>
    <t xml:space="preserve">27140290</t>
  </si>
  <si>
    <t xml:space="preserve">24474215</t>
  </si>
  <si>
    <t xml:space="preserve">24730530</t>
  </si>
  <si>
    <t xml:space="preserve">25936840</t>
  </si>
  <si>
    <t xml:space="preserve">21046630</t>
  </si>
  <si>
    <t xml:space="preserve">28943770</t>
  </si>
  <si>
    <t xml:space="preserve">21250391</t>
  </si>
  <si>
    <t xml:space="preserve">21625130</t>
  </si>
  <si>
    <t xml:space="preserve">21535330</t>
  </si>
  <si>
    <t xml:space="preserve">24456050</t>
  </si>
  <si>
    <t xml:space="preserve">20541200</t>
  </si>
  <si>
    <t xml:space="preserve">24931410</t>
  </si>
  <si>
    <t xml:space="preserve">23587565</t>
  </si>
  <si>
    <t xml:space="preserve">24901640</t>
  </si>
  <si>
    <t xml:space="preserve">27930805</t>
  </si>
  <si>
    <t xml:space="preserve">28983816</t>
  </si>
  <si>
    <t xml:space="preserve">27946010</t>
  </si>
  <si>
    <t xml:space="preserve">27276385</t>
  </si>
  <si>
    <t xml:space="preserve">28165000</t>
  </si>
  <si>
    <t xml:space="preserve">25802250</t>
  </si>
  <si>
    <t xml:space="preserve">25665442</t>
  </si>
  <si>
    <t xml:space="preserve">21645521</t>
  </si>
  <si>
    <t xml:space="preserve">27214615</t>
  </si>
  <si>
    <t xml:space="preserve">24130345</t>
  </si>
  <si>
    <t xml:space="preserve">25060140</t>
  </si>
  <si>
    <t xml:space="preserve">24943255</t>
  </si>
  <si>
    <t xml:space="preserve">24802245</t>
  </si>
  <si>
    <t xml:space="preserve">26053200</t>
  </si>
  <si>
    <t xml:space="preserve">21046035</t>
  </si>
  <si>
    <t xml:space="preserve">21775490</t>
  </si>
  <si>
    <t xml:space="preserve">21370650</t>
  </si>
  <si>
    <t xml:space="preserve">28962284</t>
  </si>
  <si>
    <t xml:space="preserve">21073230</t>
  </si>
  <si>
    <t xml:space="preserve">28994816</t>
  </si>
  <si>
    <t xml:space="preserve">27240110</t>
  </si>
  <si>
    <t xml:space="preserve">27276000</t>
  </si>
  <si>
    <t xml:space="preserve">20750310</t>
  </si>
  <si>
    <t xml:space="preserve">22240006</t>
  </si>
  <si>
    <t xml:space="preserve">20961130</t>
  </si>
  <si>
    <t xml:space="preserve">22715090</t>
  </si>
  <si>
    <t xml:space="preserve">24350105</t>
  </si>
  <si>
    <t xml:space="preserve">25847140</t>
  </si>
  <si>
    <t xml:space="preserve">27197868</t>
  </si>
  <si>
    <t xml:space="preserve">28148000</t>
  </si>
  <si>
    <t xml:space="preserve">24241001</t>
  </si>
  <si>
    <t xml:space="preserve">28897364</t>
  </si>
  <si>
    <t xml:space="preserve">20972450</t>
  </si>
  <si>
    <t xml:space="preserve">24360005</t>
  </si>
  <si>
    <t xml:space="preserve">23062220</t>
  </si>
  <si>
    <t xml:space="preserve">21941480</t>
  </si>
  <si>
    <t xml:space="preserve">21610520</t>
  </si>
  <si>
    <t xml:space="preserve">21250392</t>
  </si>
  <si>
    <t xml:space="preserve">27212050</t>
  </si>
  <si>
    <t xml:space="preserve">26520332</t>
  </si>
  <si>
    <t xml:space="preserve">24715316</t>
  </si>
  <si>
    <t xml:space="preserve">27273480</t>
  </si>
  <si>
    <t xml:space="preserve">27943210</t>
  </si>
  <si>
    <t xml:space="preserve">27948075</t>
  </si>
  <si>
    <t xml:space="preserve">27251085</t>
  </si>
  <si>
    <t xml:space="preserve">22723320</t>
  </si>
  <si>
    <t xml:space="preserve">20770150</t>
  </si>
  <si>
    <t xml:space="preserve">20031204</t>
  </si>
  <si>
    <t xml:space="preserve">25015370</t>
  </si>
  <si>
    <t xml:space="preserve">22790728</t>
  </si>
  <si>
    <t xml:space="preserve">21750320</t>
  </si>
  <si>
    <t xml:space="preserve">28800000</t>
  </si>
  <si>
    <t xml:space="preserve">27935070</t>
  </si>
  <si>
    <t xml:space="preserve">23895340</t>
  </si>
  <si>
    <t xml:space="preserve">27940700</t>
  </si>
  <si>
    <t xml:space="preserve">24724310</t>
  </si>
  <si>
    <t xml:space="preserve">27347370</t>
  </si>
  <si>
    <t xml:space="preserve">20960045</t>
  </si>
  <si>
    <t xml:space="preserve">24330060</t>
  </si>
  <si>
    <t xml:space="preserve">24460310</t>
  </si>
  <si>
    <t xml:space="preserve">21921525</t>
  </si>
  <si>
    <t xml:space="preserve">24717070</t>
  </si>
  <si>
    <t xml:space="preserve">22710092</t>
  </si>
  <si>
    <t xml:space="preserve">20760005</t>
  </si>
  <si>
    <t xml:space="preserve">20943000</t>
  </si>
  <si>
    <t xml:space="preserve">26053440</t>
  </si>
  <si>
    <t xml:space="preserve">27185000</t>
  </si>
  <si>
    <t xml:space="preserve">Piraí</t>
  </si>
  <si>
    <t xml:space="preserve">27460000</t>
  </si>
  <si>
    <t xml:space="preserve">Rio Claro</t>
  </si>
  <si>
    <t xml:space="preserve">28943784</t>
  </si>
  <si>
    <t xml:space="preserve">23020240</t>
  </si>
  <si>
    <t xml:space="preserve">21725500</t>
  </si>
  <si>
    <t xml:space="preserve">24410230</t>
  </si>
  <si>
    <t xml:space="preserve">21050320</t>
  </si>
  <si>
    <t xml:space="preserve">20720011</t>
  </si>
  <si>
    <t xml:space="preserve">25953600</t>
  </si>
  <si>
    <t xml:space="preserve">20715010</t>
  </si>
  <si>
    <t xml:space="preserve">25044030</t>
  </si>
  <si>
    <t xml:space="preserve">22790703</t>
  </si>
  <si>
    <t xml:space="preserve">21930135</t>
  </si>
  <si>
    <t xml:space="preserve">23068155</t>
  </si>
  <si>
    <t xml:space="preserve">23050360</t>
  </si>
  <si>
    <t xml:space="preserve">21931242</t>
  </si>
  <si>
    <t xml:space="preserve">23020715</t>
  </si>
  <si>
    <t xml:space="preserve">28750000</t>
  </si>
  <si>
    <t xml:space="preserve">Trajano de Moraes</t>
  </si>
  <si>
    <t xml:space="preserve">27581714</t>
  </si>
  <si>
    <t xml:space="preserve">22220030</t>
  </si>
  <si>
    <t xml:space="preserve">28635000</t>
  </si>
  <si>
    <t xml:space="preserve">24210130</t>
  </si>
  <si>
    <t xml:space="preserve">21021422</t>
  </si>
  <si>
    <t xml:space="preserve">20920350</t>
  </si>
  <si>
    <t xml:space="preserve">20521060</t>
  </si>
  <si>
    <t xml:space="preserve">25931858</t>
  </si>
  <si>
    <t xml:space="preserve">27525500</t>
  </si>
  <si>
    <t xml:space="preserve">27240050</t>
  </si>
  <si>
    <t xml:space="preserve">20745110</t>
  </si>
  <si>
    <t xml:space="preserve">21755380</t>
  </si>
  <si>
    <t xml:space="preserve">23575920</t>
  </si>
  <si>
    <t xml:space="preserve">27603830</t>
  </si>
  <si>
    <t xml:space="preserve">27175000</t>
  </si>
  <si>
    <t xml:space="preserve">21250520</t>
  </si>
  <si>
    <t xml:space="preserve">23943140</t>
  </si>
  <si>
    <t xml:space="preserve">20940010</t>
  </si>
  <si>
    <t xml:space="preserve">22793105</t>
  </si>
  <si>
    <t xml:space="preserve">23933630</t>
  </si>
  <si>
    <t xml:space="preserve">20750130</t>
  </si>
  <si>
    <t xml:space="preserve">28956144</t>
  </si>
  <si>
    <t xml:space="preserve">24240460</t>
  </si>
  <si>
    <t xml:space="preserve">25922144</t>
  </si>
  <si>
    <t xml:space="preserve">23595250</t>
  </si>
  <si>
    <t xml:space="preserve">22773200</t>
  </si>
  <si>
    <t xml:space="preserve">22790701</t>
  </si>
  <si>
    <t xml:space="preserve">23575000</t>
  </si>
  <si>
    <t xml:space="preserve">25959195</t>
  </si>
  <si>
    <t xml:space="preserve">21351080</t>
  </si>
  <si>
    <t xml:space="preserve">21755370</t>
  </si>
  <si>
    <t xml:space="preserve">28979476</t>
  </si>
  <si>
    <t xml:space="preserve">24110007</t>
  </si>
  <si>
    <t xml:space="preserve">26022136</t>
  </si>
  <si>
    <t xml:space="preserve">27525662</t>
  </si>
  <si>
    <t xml:space="preserve">28860000</t>
  </si>
  <si>
    <t xml:space="preserve">21311050</t>
  </si>
  <si>
    <t xml:space="preserve">27115270</t>
  </si>
  <si>
    <t xml:space="preserve">24726123</t>
  </si>
  <si>
    <t xml:space="preserve">27343430</t>
  </si>
  <si>
    <t xml:space="preserve">28997710</t>
  </si>
  <si>
    <t xml:space="preserve">Outro</t>
  </si>
  <si>
    <t xml:space="preserve">20770290</t>
  </si>
  <si>
    <t xml:space="preserve">21510014</t>
  </si>
  <si>
    <t xml:space="preserve">21710000</t>
  </si>
  <si>
    <t xml:space="preserve">26290672</t>
  </si>
  <si>
    <t xml:space="preserve">23062410</t>
  </si>
  <si>
    <t xml:space="preserve">23016480</t>
  </si>
  <si>
    <t xml:space="preserve">24350068</t>
  </si>
  <si>
    <t xml:space="preserve">23065620</t>
  </si>
  <si>
    <t xml:space="preserve">25075300</t>
  </si>
  <si>
    <t xml:space="preserve">21665062</t>
  </si>
  <si>
    <t xml:space="preserve">21060060</t>
  </si>
  <si>
    <t xml:space="preserve">21061520</t>
  </si>
  <si>
    <t xml:space="preserve">22743370</t>
  </si>
  <si>
    <t xml:space="preserve">23028620</t>
  </si>
  <si>
    <t xml:space="preserve">24416170</t>
  </si>
  <si>
    <t xml:space="preserve">27910060</t>
  </si>
  <si>
    <t xml:space="preserve">24410100</t>
  </si>
  <si>
    <t xml:space="preserve">21850510</t>
  </si>
  <si>
    <t xml:space="preserve">22715410</t>
  </si>
  <si>
    <t xml:space="preserve">22783551</t>
  </si>
  <si>
    <t xml:space="preserve">25650390</t>
  </si>
  <si>
    <t xml:space="preserve">20530420</t>
  </si>
  <si>
    <t xml:space="preserve">26160455</t>
  </si>
  <si>
    <t xml:space="preserve">24130410</t>
  </si>
  <si>
    <t xml:space="preserve">28905165</t>
  </si>
  <si>
    <t xml:space="preserve">27197970</t>
  </si>
  <si>
    <t xml:space="preserve">28090230</t>
  </si>
  <si>
    <t xml:space="preserve">26210022</t>
  </si>
  <si>
    <t xml:space="preserve">28959880</t>
  </si>
  <si>
    <t xml:space="preserve">28635010</t>
  </si>
  <si>
    <t xml:space="preserve">21910160</t>
  </si>
  <si>
    <t xml:space="preserve">22471180</t>
  </si>
  <si>
    <t xml:space="preserve">20745230</t>
  </si>
  <si>
    <t xml:space="preserve">24070000</t>
  </si>
  <si>
    <t xml:space="preserve">21840096</t>
  </si>
  <si>
    <t xml:space="preserve">21030640</t>
  </si>
  <si>
    <t xml:space="preserve">22785050</t>
  </si>
  <si>
    <t xml:space="preserve">28920231</t>
  </si>
  <si>
    <t xml:space="preserve">24474655</t>
  </si>
  <si>
    <t xml:space="preserve">21555290</t>
  </si>
  <si>
    <t xml:space="preserve">24110026</t>
  </si>
  <si>
    <t xml:space="preserve">22783240</t>
  </si>
  <si>
    <t xml:space="preserve">27963788</t>
  </si>
  <si>
    <t xml:space="preserve">28053600</t>
  </si>
  <si>
    <t xml:space="preserve">22430190</t>
  </si>
  <si>
    <t xml:space="preserve">22280030</t>
  </si>
  <si>
    <t xml:space="preserve">21061600</t>
  </si>
  <si>
    <t xml:space="preserve">28982235</t>
  </si>
  <si>
    <t xml:space="preserve">21321624</t>
  </si>
  <si>
    <t xml:space="preserve">21842550</t>
  </si>
  <si>
    <t xml:space="preserve">28899314</t>
  </si>
  <si>
    <t xml:space="preserve">23032780</t>
  </si>
  <si>
    <t xml:space="preserve">23030360</t>
  </si>
  <si>
    <t xml:space="preserve">27323340</t>
  </si>
  <si>
    <t xml:space="preserve">21941598</t>
  </si>
  <si>
    <t xml:space="preserve">26275580</t>
  </si>
  <si>
    <t xml:space="preserve">23914250</t>
  </si>
  <si>
    <t xml:space="preserve">22610095</t>
  </si>
  <si>
    <t xml:space="preserve">26585400</t>
  </si>
  <si>
    <t xml:space="preserve">24475290</t>
  </si>
  <si>
    <t xml:space="preserve">22793084</t>
  </si>
  <si>
    <t xml:space="preserve">24930628</t>
  </si>
  <si>
    <t xml:space="preserve">20250460</t>
  </si>
  <si>
    <t xml:space="preserve">20973011</t>
  </si>
  <si>
    <t xml:space="preserve">24470270</t>
  </si>
  <si>
    <t xml:space="preserve">24921768</t>
  </si>
  <si>
    <t xml:space="preserve">27256005</t>
  </si>
  <si>
    <t xml:space="preserve">25730204</t>
  </si>
  <si>
    <t xml:space="preserve">21320080</t>
  </si>
  <si>
    <t xml:space="preserve">24736050</t>
  </si>
  <si>
    <t xml:space="preserve">21853470</t>
  </si>
  <si>
    <t xml:space="preserve">20745220</t>
  </si>
  <si>
    <t xml:space="preserve">24900798</t>
  </si>
  <si>
    <t xml:space="preserve">28143000</t>
  </si>
  <si>
    <t xml:space="preserve">23050200</t>
  </si>
  <si>
    <t xml:space="preserve">25808360</t>
  </si>
  <si>
    <t xml:space="preserve">23570020</t>
  </si>
  <si>
    <t xml:space="preserve">25086540</t>
  </si>
  <si>
    <t xml:space="preserve">20550160</t>
  </si>
  <si>
    <t xml:space="preserve">24431580</t>
  </si>
  <si>
    <t xml:space="preserve">24472090</t>
  </si>
  <si>
    <t xml:space="preserve">27258180</t>
  </si>
  <si>
    <t xml:space="preserve">25821060</t>
  </si>
  <si>
    <t xml:space="preserve">25565071</t>
  </si>
  <si>
    <t xml:space="preserve">27288450</t>
  </si>
  <si>
    <t xml:space="preserve">22780510</t>
  </si>
  <si>
    <t xml:space="preserve">24346040</t>
  </si>
  <si>
    <t xml:space="preserve">28977010</t>
  </si>
  <si>
    <t xml:space="preserve">25919279</t>
  </si>
  <si>
    <t xml:space="preserve">21511200</t>
  </si>
  <si>
    <t xml:space="preserve">21361640</t>
  </si>
  <si>
    <t xml:space="preserve">22713460</t>
  </si>
  <si>
    <t xml:space="preserve">27264520</t>
  </si>
  <si>
    <t xml:space="preserve">Leroy Merlin</t>
  </si>
  <si>
    <t xml:space="preserve">22240005</t>
  </si>
  <si>
    <t xml:space="preserve">22723000</t>
  </si>
  <si>
    <t xml:space="preserve">20931003</t>
  </si>
  <si>
    <t xml:space="preserve">22750006</t>
  </si>
  <si>
    <t xml:space="preserve">23575080</t>
  </si>
  <si>
    <t xml:space="preserve">26050803</t>
  </si>
  <si>
    <t xml:space="preserve">21842340</t>
  </si>
  <si>
    <t xml:space="preserve">21046425</t>
  </si>
  <si>
    <t xml:space="preserve">24725040</t>
  </si>
  <si>
    <t xml:space="preserve">27966031</t>
  </si>
  <si>
    <t xml:space="preserve">21381070</t>
  </si>
  <si>
    <t xml:space="preserve">23050170</t>
  </si>
  <si>
    <t xml:space="preserve">25051020</t>
  </si>
  <si>
    <t xml:space="preserve">24715562</t>
  </si>
  <si>
    <t xml:space="preserve">27966843</t>
  </si>
  <si>
    <t xml:space="preserve">25908713</t>
  </si>
  <si>
    <t xml:space="preserve">20766200</t>
  </si>
  <si>
    <t xml:space="preserve">28620075</t>
  </si>
  <si>
    <t xml:space="preserve">28010801</t>
  </si>
  <si>
    <t xml:space="preserve">28894330</t>
  </si>
  <si>
    <t xml:space="preserve">25685050</t>
  </si>
  <si>
    <t xml:space="preserve">20040001</t>
  </si>
  <si>
    <t xml:space="preserve">22641005</t>
  </si>
  <si>
    <t xml:space="preserve">28020822</t>
  </si>
  <si>
    <t xml:space="preserve">21381140</t>
  </si>
  <si>
    <t xml:space="preserve">20720230</t>
  </si>
  <si>
    <t xml:space="preserve">28963050</t>
  </si>
  <si>
    <t xml:space="preserve">28140000</t>
  </si>
  <si>
    <t xml:space="preserve">27143460</t>
  </si>
  <si>
    <t xml:space="preserve">28175000</t>
  </si>
  <si>
    <t xml:space="preserve">25635142</t>
  </si>
  <si>
    <t xml:space="preserve">21745291</t>
  </si>
  <si>
    <t xml:space="preserve">28894030</t>
  </si>
  <si>
    <t xml:space="preserve">20755010</t>
  </si>
  <si>
    <t xml:space="preserve">26086195</t>
  </si>
  <si>
    <t xml:space="preserve">28804254</t>
  </si>
  <si>
    <t xml:space="preserve">23057700</t>
  </si>
  <si>
    <t xml:space="preserve">23082350</t>
  </si>
  <si>
    <t xml:space="preserve">21843780</t>
  </si>
  <si>
    <t xml:space="preserve">22620172</t>
  </si>
  <si>
    <t xml:space="preserve">28956048</t>
  </si>
  <si>
    <t xml:space="preserve">22631004</t>
  </si>
  <si>
    <t xml:space="preserve">28895620</t>
  </si>
  <si>
    <t xml:space="preserve">22783117</t>
  </si>
  <si>
    <t xml:space="preserve">25685132</t>
  </si>
  <si>
    <t xml:space="preserve">22770235</t>
  </si>
  <si>
    <t xml:space="preserve">28664000</t>
  </si>
  <si>
    <t xml:space="preserve">25560581</t>
  </si>
  <si>
    <t xml:space="preserve">20540140</t>
  </si>
  <si>
    <t xml:space="preserve">26291212</t>
  </si>
  <si>
    <t xml:space="preserve">27520270</t>
  </si>
  <si>
    <t xml:space="preserve">20921260</t>
  </si>
  <si>
    <t xml:space="preserve">25911279</t>
  </si>
  <si>
    <t xml:space="preserve">21921420</t>
  </si>
  <si>
    <t xml:space="preserve">23895160</t>
  </si>
  <si>
    <t xml:space="preserve">25233289</t>
  </si>
  <si>
    <t xml:space="preserve">20910063</t>
  </si>
  <si>
    <t xml:space="preserve">21931574</t>
  </si>
  <si>
    <t xml:space="preserve">27770000</t>
  </si>
  <si>
    <t xml:space="preserve">Vassouras</t>
  </si>
  <si>
    <t xml:space="preserve">27966780</t>
  </si>
  <si>
    <t xml:space="preserve">21321250</t>
  </si>
  <si>
    <t xml:space="preserve">25520430</t>
  </si>
  <si>
    <t xml:space="preserve">22630010</t>
  </si>
  <si>
    <t xml:space="preserve">21310310</t>
  </si>
  <si>
    <t xml:space="preserve">27281422</t>
  </si>
  <si>
    <t xml:space="preserve">24731070</t>
  </si>
  <si>
    <t xml:space="preserve">23028255</t>
  </si>
  <si>
    <t xml:space="preserve">28375000</t>
  </si>
  <si>
    <t xml:space="preserve">Varre-Sai</t>
  </si>
  <si>
    <t xml:space="preserve">22765595</t>
  </si>
  <si>
    <t xml:space="preserve">20230011</t>
  </si>
  <si>
    <t xml:space="preserve">25040080</t>
  </si>
  <si>
    <t xml:space="preserve">26195020</t>
  </si>
  <si>
    <t xml:space="preserve">26582020</t>
  </si>
  <si>
    <t xml:space="preserve">25040005</t>
  </si>
  <si>
    <t xml:space="preserve">28022670</t>
  </si>
  <si>
    <t xml:space="preserve">22451510</t>
  </si>
  <si>
    <t xml:space="preserve">20725220</t>
  </si>
  <si>
    <t xml:space="preserve">22080002</t>
  </si>
  <si>
    <t xml:space="preserve">25060000</t>
  </si>
  <si>
    <t xml:space="preserve">25943518</t>
  </si>
  <si>
    <t xml:space="preserve">20531420</t>
  </si>
  <si>
    <t xml:space="preserve">22795780</t>
  </si>
  <si>
    <t xml:space="preserve">28994807</t>
  </si>
  <si>
    <t xml:space="preserve">25545430</t>
  </si>
  <si>
    <t xml:space="preserve">25821370</t>
  </si>
  <si>
    <t xml:space="preserve">21230165</t>
  </si>
  <si>
    <t xml:space="preserve">24710150</t>
  </si>
  <si>
    <t xml:space="preserve">28980014</t>
  </si>
  <si>
    <t xml:space="preserve">26700000</t>
  </si>
  <si>
    <t xml:space="preserve">Mendes</t>
  </si>
  <si>
    <t xml:space="preserve">25963140</t>
  </si>
  <si>
    <t xml:space="preserve">26290069</t>
  </si>
  <si>
    <t xml:space="preserve">28907000</t>
  </si>
  <si>
    <t xml:space="preserve">27323540</t>
  </si>
  <si>
    <t xml:space="preserve">25250530</t>
  </si>
  <si>
    <t xml:space="preserve">24355020</t>
  </si>
  <si>
    <t xml:space="preserve">21044725</t>
  </si>
  <si>
    <t xml:space="preserve">21831300</t>
  </si>
  <si>
    <t xml:space="preserve">22790851</t>
  </si>
  <si>
    <t xml:space="preserve">20241110</t>
  </si>
  <si>
    <t xml:space="preserve">21911270</t>
  </si>
  <si>
    <t xml:space="preserve">26155090</t>
  </si>
  <si>
    <t xml:space="preserve">27250100</t>
  </si>
  <si>
    <t xml:space="preserve">23575330</t>
  </si>
  <si>
    <t xml:space="preserve">21825330</t>
  </si>
  <si>
    <t xml:space="preserve">25085132</t>
  </si>
  <si>
    <t xml:space="preserve">23555024</t>
  </si>
  <si>
    <t xml:space="preserve">20720310</t>
  </si>
  <si>
    <t xml:space="preserve">24933440</t>
  </si>
  <si>
    <t xml:space="preserve">26110180</t>
  </si>
  <si>
    <t xml:space="preserve">24451785</t>
  </si>
  <si>
    <t xml:space="preserve">23943138</t>
  </si>
  <si>
    <t xml:space="preserve">25036160</t>
  </si>
  <si>
    <t xml:space="preserve">27700000</t>
  </si>
  <si>
    <t xml:space="preserve">21031690</t>
  </si>
  <si>
    <t xml:space="preserve">23933216</t>
  </si>
  <si>
    <t xml:space="preserve">21862755</t>
  </si>
  <si>
    <t xml:space="preserve">25847020</t>
  </si>
  <si>
    <t xml:space="preserve">23595475</t>
  </si>
  <si>
    <t xml:space="preserve">21550610</t>
  </si>
  <si>
    <t xml:space="preserve">22061010</t>
  </si>
  <si>
    <t xml:space="preserve">23914020</t>
  </si>
  <si>
    <t xml:space="preserve">25943521</t>
  </si>
  <si>
    <t xml:space="preserve">20730390</t>
  </si>
  <si>
    <t xml:space="preserve">22221010</t>
  </si>
  <si>
    <t xml:space="preserve">26327210</t>
  </si>
  <si>
    <t xml:space="preserve">23570510</t>
  </si>
  <si>
    <t xml:space="preserve">21044650</t>
  </si>
  <si>
    <t xml:space="preserve">21930410</t>
  </si>
  <si>
    <t xml:space="preserve">24723190</t>
  </si>
  <si>
    <t xml:space="preserve">24456060</t>
  </si>
  <si>
    <t xml:space="preserve">22241000</t>
  </si>
  <si>
    <t xml:space="preserve">20261030</t>
  </si>
  <si>
    <t xml:space="preserve">28013602</t>
  </si>
  <si>
    <t xml:space="preserve">28897036</t>
  </si>
  <si>
    <t xml:space="preserve">25953003</t>
  </si>
  <si>
    <t xml:space="preserve">20771580</t>
  </si>
  <si>
    <t xml:space="preserve">24451001</t>
  </si>
  <si>
    <t xml:space="preserve">22740050</t>
  </si>
  <si>
    <t xml:space="preserve">26293552</t>
  </si>
  <si>
    <t xml:space="preserve">27525260</t>
  </si>
  <si>
    <t xml:space="preserve">21380010</t>
  </si>
  <si>
    <t xml:space="preserve">28988804</t>
  </si>
  <si>
    <t xml:space="preserve">25954205</t>
  </si>
  <si>
    <t xml:space="preserve">25935426</t>
  </si>
  <si>
    <t xml:space="preserve">23059001</t>
  </si>
  <si>
    <t xml:space="preserve">24465000</t>
  </si>
  <si>
    <t xml:space="preserve">21060110</t>
  </si>
  <si>
    <t xml:space="preserve">22793261</t>
  </si>
  <si>
    <t xml:space="preserve">21620560</t>
  </si>
  <si>
    <t xml:space="preserve">21750210</t>
  </si>
  <si>
    <t xml:space="preserve">25250597</t>
  </si>
  <si>
    <t xml:space="preserve">24360380</t>
  </si>
  <si>
    <t xml:space="preserve">23092650</t>
  </si>
  <si>
    <t xml:space="preserve">23573340</t>
  </si>
  <si>
    <t xml:space="preserve">23954030</t>
  </si>
  <si>
    <t xml:space="preserve">25730050</t>
  </si>
  <si>
    <t xml:space="preserve">26087535</t>
  </si>
  <si>
    <t xml:space="preserve">27961086</t>
  </si>
  <si>
    <t xml:space="preserve">23885000</t>
  </si>
  <si>
    <t xml:space="preserve">20780370</t>
  </si>
  <si>
    <t xml:space="preserve">28625805</t>
  </si>
  <si>
    <t xml:space="preserve">24717241</t>
  </si>
  <si>
    <t xml:space="preserve">24120015</t>
  </si>
  <si>
    <t xml:space="preserve">27276367</t>
  </si>
  <si>
    <t xml:space="preserve">23015170</t>
  </si>
  <si>
    <t xml:space="preserve">21061340</t>
  </si>
  <si>
    <t xml:space="preserve">24425320</t>
  </si>
  <si>
    <t xml:space="preserve">23903500</t>
  </si>
  <si>
    <t xml:space="preserve">22260000</t>
  </si>
  <si>
    <t xml:space="preserve">25931422</t>
  </si>
  <si>
    <t xml:space="preserve">20520051</t>
  </si>
  <si>
    <t xml:space="preserve">23955210</t>
  </si>
  <si>
    <t xml:space="preserve">21061300</t>
  </si>
  <si>
    <t xml:space="preserve">28992678</t>
  </si>
  <si>
    <t xml:space="preserve">21510013</t>
  </si>
  <si>
    <t xml:space="preserve">23094205</t>
  </si>
  <si>
    <t xml:space="preserve">20560032</t>
  </si>
  <si>
    <t xml:space="preserve">22780500</t>
  </si>
  <si>
    <t xml:space="preserve">21341460</t>
  </si>
  <si>
    <t xml:space="preserve">21030040</t>
  </si>
  <si>
    <t xml:space="preserve">23587410</t>
  </si>
  <si>
    <t xml:space="preserve">24856152</t>
  </si>
  <si>
    <t xml:space="preserve">25804000</t>
  </si>
  <si>
    <t xml:space="preserve">20011030</t>
  </si>
  <si>
    <t xml:space="preserve">25922160</t>
  </si>
  <si>
    <t xml:space="preserve">23085260</t>
  </si>
  <si>
    <t xml:space="preserve">21725050</t>
  </si>
  <si>
    <t xml:space="preserve">21046385</t>
  </si>
  <si>
    <t xml:space="preserve">23017000</t>
  </si>
  <si>
    <t xml:space="preserve">21511000</t>
  </si>
  <si>
    <t xml:space="preserve">21540660</t>
  </si>
  <si>
    <t xml:space="preserve">20941150</t>
  </si>
  <si>
    <t xml:space="preserve">22743470</t>
  </si>
  <si>
    <t xml:space="preserve">22793060</t>
  </si>
  <si>
    <t xml:space="preserve">28020889</t>
  </si>
  <si>
    <t xml:space="preserve">25060210</t>
  </si>
  <si>
    <t xml:space="preserve">26313400</t>
  </si>
  <si>
    <t xml:space="preserve">22060030</t>
  </si>
  <si>
    <t xml:space="preserve">21235620</t>
  </si>
  <si>
    <t xml:space="preserve">26383493</t>
  </si>
  <si>
    <t xml:space="preserve">28909010</t>
  </si>
  <si>
    <t xml:space="preserve">27971221</t>
  </si>
  <si>
    <t xml:space="preserve">24457600</t>
  </si>
  <si>
    <t xml:space="preserve">27998000</t>
  </si>
  <si>
    <t xml:space="preserve">Carapebus</t>
  </si>
  <si>
    <t xml:space="preserve">28686645</t>
  </si>
  <si>
    <t xml:space="preserve">24467610</t>
  </si>
  <si>
    <t xml:space="preserve">21555490</t>
  </si>
  <si>
    <t xml:space="preserve">24936380</t>
  </si>
  <si>
    <t xml:space="preserve">23955135</t>
  </si>
  <si>
    <t xml:space="preserve">21550160</t>
  </si>
  <si>
    <t xml:space="preserve">23040573</t>
  </si>
  <si>
    <t xml:space="preserve">23071642</t>
  </si>
  <si>
    <t xml:space="preserve">27130360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</si>
</sst>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&quot;R$ &quot;#,##0.00;&quot;-R$ &quot;#,##0.00;\-"/>
    <numFmt numFmtId="167" formatCode="0"/>
    <numFmt numFmtId="168" formatCode="0.0%;\-0.0%;\-"/>
    <numFmt numFmtId="169" formatCode="\+0.0%;\-0.0%"/>
    <numFmt numFmtId="170" formatCode="0.0"/>
    <numFmt numFmtId="171" formatCode="0;\-0;&quot;&quot;"/>
    <numFmt numFmtId="172" formatCode="\+0%;\-0%"/>
    <numFmt numFmtId="173" formatCode="#,##0.00"/>
    <numFmt numFmtId="174" formatCode="dd/mm/yyyy"/>
    <numFmt numFmtId="17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9.5" hidden="false" customHeight="true" outlineLevel="0" collapsed="false">
      <c r="A5" s="4" t="s">
        <v>2</v>
      </c>
      <c r="B5" s="4"/>
      <c r="C5" s="4" t="s">
        <v>3</v>
      </c>
      <c r="D5" s="4" t="s">
        <v>4</v>
      </c>
      <c r="E5" s="2"/>
    </row>
    <row r="6" customFormat="false" ht="15" hidden="false" customHeight="false" outlineLevel="0" collapsed="false">
      <c r="A6" s="2" t="s">
        <v>5</v>
      </c>
      <c r="B6" s="2"/>
      <c r="C6" s="5" t="n">
        <v>0.12</v>
      </c>
      <c r="D6" s="2" t="s">
        <v>6</v>
      </c>
      <c r="E6" s="2"/>
    </row>
    <row r="7" customFormat="false" ht="15" hidden="false" customHeight="false" outlineLevel="0" collapsed="false">
      <c r="A7" s="2" t="s">
        <v>7</v>
      </c>
      <c r="B7" s="2"/>
      <c r="C7" s="6" t="n">
        <v>0.001</v>
      </c>
      <c r="D7" s="2" t="s">
        <v>8</v>
      </c>
      <c r="E7" s="2"/>
    </row>
    <row r="8" customFormat="false" ht="15" hidden="false" customHeight="false" outlineLevel="0" collapsed="false">
      <c r="A8" s="2" t="s">
        <v>9</v>
      </c>
      <c r="B8" s="2"/>
      <c r="C8" s="6" t="n">
        <v>0.002</v>
      </c>
      <c r="D8" s="2" t="s">
        <v>10</v>
      </c>
      <c r="E8" s="2"/>
    </row>
    <row r="9" customFormat="false" ht="15" hidden="false" customHeight="false" outlineLevel="0" collapsed="false">
      <c r="A9" s="2" t="s">
        <v>11</v>
      </c>
      <c r="B9" s="2"/>
      <c r="C9" s="7" t="n">
        <v>1</v>
      </c>
      <c r="D9" s="2" t="s">
        <v>12</v>
      </c>
      <c r="E9" s="2"/>
    </row>
    <row r="10" customFormat="false" ht="15" hidden="false" customHeight="false" outlineLevel="0" collapsed="false">
      <c r="A10" s="2" t="s">
        <v>13</v>
      </c>
      <c r="B10" s="2"/>
      <c r="C10" s="7" t="n">
        <v>4.5</v>
      </c>
      <c r="D10" s="2" t="s">
        <v>14</v>
      </c>
      <c r="E10" s="2"/>
    </row>
    <row r="11" customFormat="false" ht="15" hidden="false" customHeight="false" outlineLevel="0" collapsed="false">
      <c r="A11" s="2" t="s">
        <v>15</v>
      </c>
      <c r="B11" s="2"/>
      <c r="C11" s="7" t="n">
        <v>0.06</v>
      </c>
      <c r="D11" s="2" t="s">
        <v>16</v>
      </c>
      <c r="E11" s="2"/>
    </row>
    <row r="12" customFormat="false" ht="15" hidden="false" customHeight="false" outlineLevel="0" collapsed="false">
      <c r="A12" s="2" t="s">
        <v>17</v>
      </c>
      <c r="B12" s="2"/>
      <c r="C12" s="7" t="n">
        <v>0.45</v>
      </c>
      <c r="D12" s="2" t="s">
        <v>18</v>
      </c>
      <c r="E12" s="2"/>
    </row>
    <row r="13" customFormat="false" ht="15" hidden="false" customHeight="false" outlineLevel="0" collapsed="false">
      <c r="A13" s="2" t="s">
        <v>19</v>
      </c>
      <c r="B13" s="2"/>
      <c r="C13" s="8" t="s">
        <v>20</v>
      </c>
      <c r="D13" s="2" t="s">
        <v>21</v>
      </c>
      <c r="E13" s="2"/>
    </row>
    <row r="14" customFormat="false" ht="15" hidden="false" customHeight="false" outlineLevel="0" collapsed="false">
      <c r="A14" s="2" t="s">
        <v>22</v>
      </c>
      <c r="B14" s="2"/>
      <c r="C14" s="8" t="s">
        <v>23</v>
      </c>
      <c r="D14" s="2" t="s">
        <v>24</v>
      </c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9" t="s">
        <v>25</v>
      </c>
      <c r="B16" s="2"/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3" t="s">
        <v>26</v>
      </c>
      <c r="B18" s="2"/>
      <c r="C18" s="2"/>
      <c r="D18" s="2"/>
      <c r="E18" s="2"/>
    </row>
    <row r="19" customFormat="false" ht="39.55" hidden="false" customHeight="false" outlineLevel="0" collapsed="false">
      <c r="A19" s="4" t="s">
        <v>27</v>
      </c>
      <c r="B19" s="4"/>
      <c r="C19" s="4" t="s">
        <v>28</v>
      </c>
      <c r="D19" s="4" t="s">
        <v>29</v>
      </c>
      <c r="E19" s="4" t="s">
        <v>30</v>
      </c>
    </row>
    <row r="20" customFormat="false" ht="15" hidden="false" customHeight="false" outlineLevel="0" collapsed="false">
      <c r="A20" s="2" t="s">
        <v>31</v>
      </c>
      <c r="B20" s="2"/>
      <c r="C20" s="10" t="n">
        <f aca="false">COUNTA(Pedidos!$A$2:$A$2224)</f>
        <v>2223</v>
      </c>
      <c r="D20" s="10" t="n">
        <f aca="false">COUNTA(Pedidos!$A$2:$A$2224)</f>
        <v>2223</v>
      </c>
      <c r="E20" s="2"/>
    </row>
    <row r="21" customFormat="false" ht="15" hidden="false" customHeight="false" outlineLevel="0" collapsed="false">
      <c r="A21" s="2" t="s">
        <v>32</v>
      </c>
      <c r="B21" s="2"/>
      <c r="C21" s="11" t="n">
        <f aca="false">SUM(Pedidos!$J$2:$J$2224)</f>
        <v>269909.92</v>
      </c>
      <c r="D21" s="11" t="n">
        <f aca="false">SUM(Pedidos!$S$2:$S$2224)</f>
        <v>386659.696931818</v>
      </c>
      <c r="E21" s="12" t="n">
        <f aca="false">D21/C21-1</f>
        <v>0.432550893023191</v>
      </c>
    </row>
    <row r="22" customFormat="false" ht="15" hidden="false" customHeight="false" outlineLevel="0" collapsed="false">
      <c r="A22" s="2" t="s">
        <v>33</v>
      </c>
      <c r="B22" s="2"/>
      <c r="C22" s="11" t="n">
        <f aca="false">AVERAGE(Pedidos!$J$2:$J$2224)</f>
        <v>121.416968061179</v>
      </c>
      <c r="D22" s="11" t="n">
        <f aca="false">AVERAGE(Pedidos!$S$2:$S$2224)</f>
        <v>173.93598602421</v>
      </c>
      <c r="E22" s="12" t="n">
        <f aca="false">D22/C22-1</f>
        <v>0.432550893023191</v>
      </c>
    </row>
    <row r="23" customFormat="false" ht="15" hidden="false" customHeight="false" outlineLevel="0" collapsed="false">
      <c r="A23" s="2" t="s">
        <v>34</v>
      </c>
      <c r="B23" s="2"/>
      <c r="C23" s="11" t="n">
        <f aca="false">SUM(Pedidos!$H$2:$H$2224)</f>
        <v>1426798.05</v>
      </c>
      <c r="D23" s="11" t="n">
        <f aca="false">SUM(Pedidos!$H$2:$H$2224)</f>
        <v>1426798.05</v>
      </c>
      <c r="E23" s="2"/>
    </row>
    <row r="24" customFormat="false" ht="15" hidden="false" customHeight="false" outlineLevel="0" collapsed="false">
      <c r="A24" s="2" t="s">
        <v>35</v>
      </c>
      <c r="B24" s="2"/>
      <c r="C24" s="12" t="n">
        <f aca="false">C21/C23</f>
        <v>0.189171775220747</v>
      </c>
      <c r="D24" s="12" t="n">
        <f aca="false">D21/D23</f>
        <v>0.270998195527263</v>
      </c>
      <c r="E24" s="13" t="n">
        <f aca="false">D24-C24</f>
        <v>0.0818264203065165</v>
      </c>
    </row>
    <row r="25" customFormat="false" ht="15" hidden="false" customHeight="false" outlineLevel="0" collapsed="false">
      <c r="A25" s="2" t="s">
        <v>36</v>
      </c>
      <c r="B25" s="2"/>
      <c r="C25" s="2"/>
      <c r="D25" s="12" t="n">
        <f aca="false">COUNTIF(Pedidos!$V$2:$V$2224,"SIM")/C20</f>
        <v>0.0067476383265857</v>
      </c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3" t="s">
        <v>37</v>
      </c>
      <c r="B27" s="2"/>
      <c r="C27" s="2"/>
      <c r="D27" s="2"/>
      <c r="E27" s="2"/>
    </row>
    <row r="28" customFormat="false" ht="15" hidden="false" customHeight="false" outlineLevel="0" collapsed="false">
      <c r="A28" s="4" t="s">
        <v>38</v>
      </c>
      <c r="B28" s="4"/>
      <c r="C28" s="4" t="s">
        <v>39</v>
      </c>
      <c r="D28" s="4" t="s">
        <v>40</v>
      </c>
      <c r="E28" s="2"/>
    </row>
    <row r="29" customFormat="false" ht="15" hidden="false" customHeight="false" outlineLevel="0" collapsed="false">
      <c r="A29" s="2" t="s">
        <v>41</v>
      </c>
      <c r="B29" s="2"/>
      <c r="C29" s="11" t="n">
        <f aca="false">AVERAGE(Pedidos!$K$2:$K$2224)</f>
        <v>119.696806117859</v>
      </c>
      <c r="D29" s="12" t="n">
        <f aca="false">C29/$C$37</f>
        <v>0.688165852586701</v>
      </c>
      <c r="E29" s="2"/>
    </row>
    <row r="30" customFormat="false" ht="15" hidden="false" customHeight="false" outlineLevel="0" collapsed="false">
      <c r="A30" s="2" t="s">
        <v>42</v>
      </c>
      <c r="B30" s="2"/>
      <c r="C30" s="11" t="n">
        <f aca="false">AVERAGE(Pedidos!$L$2:$L$2224)</f>
        <v>0.641841970310391</v>
      </c>
      <c r="D30" s="12" t="n">
        <f aca="false">C30/$C$37</f>
        <v>0.00369010453202625</v>
      </c>
      <c r="E30" s="2"/>
    </row>
    <row r="31" customFormat="false" ht="15" hidden="false" customHeight="false" outlineLevel="0" collapsed="false">
      <c r="A31" s="2" t="s">
        <v>43</v>
      </c>
      <c r="B31" s="2"/>
      <c r="C31" s="11" t="n">
        <f aca="false">AVERAGE(Pedidos!$M$2:$M$2224)</f>
        <v>1.28368358074674</v>
      </c>
      <c r="D31" s="12" t="n">
        <f aca="false">C31/$C$37</f>
        <v>0.0073802069950497</v>
      </c>
      <c r="E31" s="2"/>
    </row>
    <row r="32" customFormat="false" ht="15" hidden="false" customHeight="false" outlineLevel="0" collapsed="false">
      <c r="A32" s="2" t="s">
        <v>44</v>
      </c>
      <c r="B32" s="2"/>
      <c r="C32" s="11" t="n">
        <f aca="false">AVERAGE(Pedidos!$N$2:$N$2224)</f>
        <v>1</v>
      </c>
      <c r="D32" s="12" t="n">
        <f aca="false">C32/$C$37</f>
        <v>0.00574924156212742</v>
      </c>
      <c r="E32" s="2"/>
    </row>
    <row r="33" customFormat="false" ht="15" hidden="false" customHeight="false" outlineLevel="0" collapsed="false">
      <c r="A33" s="2" t="s">
        <v>45</v>
      </c>
      <c r="B33" s="2"/>
      <c r="C33" s="11" t="n">
        <f aca="false">AVERAGE(Pedidos!$O$2:$O$2224)</f>
        <v>4.80161943319838</v>
      </c>
      <c r="D33" s="12" t="n">
        <f aca="false">C33/$C$37</f>
        <v>0.0276056700108628</v>
      </c>
      <c r="E33" s="2"/>
    </row>
    <row r="34" customFormat="false" ht="15" hidden="false" customHeight="false" outlineLevel="0" collapsed="false">
      <c r="A34" s="2" t="s">
        <v>46</v>
      </c>
      <c r="B34" s="2"/>
      <c r="C34" s="11" t="n">
        <f aca="false">AVERAGE(Pedidos!$P$2:$P$2224)</f>
        <v>3.01643724696356</v>
      </c>
      <c r="D34" s="12" t="n">
        <f aca="false">C34/$C$37</f>
        <v>0.0173422263897921</v>
      </c>
      <c r="E34" s="2"/>
    </row>
    <row r="35" customFormat="false" ht="15" hidden="false" customHeight="false" outlineLevel="0" collapsed="false">
      <c r="A35" s="2" t="s">
        <v>47</v>
      </c>
      <c r="B35" s="2"/>
      <c r="C35" s="11" t="n">
        <f aca="false">AVERAGE(Pedidos!$Q$2:$Q$2224)</f>
        <v>22.6232793522267</v>
      </c>
      <c r="D35" s="12" t="n">
        <f aca="false">C35/$C$37</f>
        <v>0.130066697923441</v>
      </c>
      <c r="E35" s="2"/>
    </row>
    <row r="36" customFormat="false" ht="15" hidden="false" customHeight="false" outlineLevel="0" collapsed="false">
      <c r="A36" s="2" t="s">
        <v>48</v>
      </c>
      <c r="B36" s="2"/>
      <c r="C36" s="11" t="n">
        <f aca="false">AVERAGE(Pedidos!$S$2:$S$2224)-AVERAGE(Pedidos!$R$2:$R$2224)</f>
        <v>20.8723183229051</v>
      </c>
      <c r="D36" s="12" t="n">
        <f aca="false">C36/$C$37</f>
        <v>0.12</v>
      </c>
      <c r="E36" s="2"/>
    </row>
    <row r="37" customFormat="false" ht="15" hidden="false" customHeight="false" outlineLevel="0" collapsed="false">
      <c r="A37" s="3" t="s">
        <v>49</v>
      </c>
      <c r="B37" s="2"/>
      <c r="C37" s="11" t="n">
        <f aca="false">SUM(C29:C36)</f>
        <v>173.93598602421</v>
      </c>
      <c r="D37" s="12" t="n">
        <f aca="false">C37/$C$37</f>
        <v>1</v>
      </c>
      <c r="E37" s="2"/>
    </row>
    <row r="38" customFormat="false" ht="15" hidden="false" customHeight="false" outlineLevel="0" collapsed="false">
      <c r="A38" s="2" t="s">
        <v>50</v>
      </c>
      <c r="B38" s="2"/>
      <c r="C38" s="11" t="n">
        <f aca="false">C22</f>
        <v>121.416968061179</v>
      </c>
      <c r="D38" s="2"/>
      <c r="E38" s="2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3" t="s">
        <v>51</v>
      </c>
      <c r="B40" s="2"/>
      <c r="C40" s="2"/>
      <c r="D40" s="2"/>
      <c r="E40" s="2"/>
    </row>
    <row r="41" customFormat="false" ht="26.85" hidden="false" customHeight="false" outlineLevel="0" collapsed="false">
      <c r="A41" s="4" t="s">
        <v>52</v>
      </c>
      <c r="B41" s="4"/>
      <c r="C41" s="4" t="s">
        <v>53</v>
      </c>
      <c r="D41" s="4" t="s">
        <v>54</v>
      </c>
      <c r="E41" s="4" t="s">
        <v>55</v>
      </c>
    </row>
    <row r="42" customFormat="false" ht="15" hidden="false" customHeight="false" outlineLevel="0" collapsed="false">
      <c r="A42" s="2" t="s">
        <v>56</v>
      </c>
      <c r="B42" s="2"/>
      <c r="C42" s="11" t="n">
        <f aca="false">SUM(Pedidos!$S$2:$S$2224)</f>
        <v>386659.696931818</v>
      </c>
      <c r="D42" s="13" t="n">
        <f aca="false">C42/$C$21-1</f>
        <v>0.432550893023191</v>
      </c>
      <c r="E42" s="12" t="n">
        <f aca="false">SUMPRODUCT(--(Pedidos!$S$2:$S$2224&lt;Pedidos!$J$2:$J$2224))/C20</f>
        <v>0.0067476383265857</v>
      </c>
    </row>
    <row r="43" customFormat="false" ht="15" hidden="false" customHeight="false" outlineLevel="0" collapsed="false">
      <c r="A43" s="2" t="s">
        <v>57</v>
      </c>
      <c r="B43" s="2"/>
      <c r="C43" s="11" t="n">
        <f aca="false">SUM(Pedidos!$R$2:$R$2224)</f>
        <v>340260.5333</v>
      </c>
      <c r="D43" s="13" t="n">
        <f aca="false">C43/$C$21-1</f>
        <v>0.260644785860409</v>
      </c>
      <c r="E43" s="12" t="n">
        <f aca="false">SUMPRODUCT(--(Pedidos!$R$2:$R$2224&lt;Pedidos!$J$2:$J$2224))/C20</f>
        <v>0.048582995951417</v>
      </c>
    </row>
    <row r="44" customFormat="false" ht="15" hidden="false" customHeight="false" outlineLevel="0" collapsed="false">
      <c r="A44" s="2" t="s">
        <v>58</v>
      </c>
      <c r="B44" s="2"/>
      <c r="C44" s="11" t="n">
        <f aca="false">(SUM(Pedidos!$R$2:$R$2224)-SUM(Pedidos!$P$2:$P$2224)-SUM(Pedidos!$Q$2:$Q$2224))/(1-$C$6)</f>
        <v>321890.276477273</v>
      </c>
      <c r="D44" s="13" t="n">
        <f aca="false">C44/$C$21-1</f>
        <v>0.192584090563521</v>
      </c>
      <c r="E44" s="12" t="n">
        <f aca="false">SUMPRODUCT(--((Pedidos!$R$2:$R$2224-Pedidos!$P$2:$P$2224-Pedidos!$Q$2:$Q$2224)/(1-$C$6)&lt;Pedidos!$J$2:$J$2224))/C20</f>
        <v>0.0935672514619883</v>
      </c>
    </row>
    <row r="45" customFormat="false" ht="15" hidden="false" customHeight="false" outlineLevel="0" collapsed="false">
      <c r="A45" s="2" t="s">
        <v>59</v>
      </c>
      <c r="B45" s="2"/>
      <c r="C45" s="11" t="n">
        <f aca="false">SUM(Pedidos!$R$2:$R$2224)-SUM(Pedidos!$P$2:$P$2224)-SUM(Pedidos!$Q$2:$Q$2224)</f>
        <v>283263.4433</v>
      </c>
      <c r="D45" s="13" t="n">
        <f aca="false">C45/$C$21-1</f>
        <v>0.0494739996958988</v>
      </c>
      <c r="E45" s="12" t="n">
        <f aca="false">SUMPRODUCT(--((Pedidos!$R$2:$R$2224-Pedidos!$P$2:$P$2224-Pedidos!$Q$2:$Q$2224)&lt;Pedidos!$J$2:$J$2224))/C20</f>
        <v>0.282051282051282</v>
      </c>
    </row>
    <row r="46" customFormat="false" ht="15" hidden="false" customHeight="false" outlineLevel="0" collapsed="false">
      <c r="A46" s="2" t="s">
        <v>60</v>
      </c>
      <c r="B46" s="2"/>
      <c r="C46" s="11" t="n">
        <f aca="false">SUM(Pedidos!$K$2:$K$2224)</f>
        <v>266086</v>
      </c>
      <c r="D46" s="13" t="n">
        <f aca="false">C46/$C$21-1</f>
        <v>-0.0141673933288557</v>
      </c>
      <c r="E46" s="12" t="n">
        <f aca="false">SUMPRODUCT(--(Pedidos!$K$2:$K$2224&lt;Pedidos!$J$2:$J$2224))/C20</f>
        <v>0.546558704453441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5" min="3" style="0" width="9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7" min="17" style="0" width="9"/>
    <col collapsed="false" customWidth="true" hidden="false" outlineLevel="0" max="18" min="18" style="0" width="24"/>
  </cols>
  <sheetData>
    <row r="1" customFormat="false" ht="17.35" hidden="false" customHeight="false" outlineLevel="0" collapsed="false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48" hidden="false" customHeight="true" outlineLevel="0" collapsed="false">
      <c r="A3" s="4" t="s">
        <v>62</v>
      </c>
      <c r="B3" s="4" t="s">
        <v>63</v>
      </c>
      <c r="C3" s="4" t="s">
        <v>31</v>
      </c>
      <c r="D3" s="4" t="s">
        <v>64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  <c r="J3" s="4" t="s">
        <v>70</v>
      </c>
      <c r="K3" s="4" t="s">
        <v>71</v>
      </c>
      <c r="L3" s="4" t="s">
        <v>72</v>
      </c>
      <c r="M3" s="4" t="s">
        <v>55</v>
      </c>
      <c r="N3" s="4" t="s">
        <v>73</v>
      </c>
      <c r="O3" s="4" t="s">
        <v>74</v>
      </c>
      <c r="P3" s="4" t="s">
        <v>75</v>
      </c>
      <c r="Q3" s="4" t="s">
        <v>76</v>
      </c>
      <c r="R3" s="4" t="s">
        <v>77</v>
      </c>
    </row>
    <row r="4" customFormat="false" ht="15" hidden="false" customHeight="false" outlineLevel="0" collapsed="false">
      <c r="A4" s="14" t="n">
        <v>1</v>
      </c>
      <c r="B4" s="14" t="s">
        <v>78</v>
      </c>
      <c r="C4" s="15" t="n">
        <f aca="false">COUNTIFS(Pedidos!$E$2:$E$2224,$B4)</f>
        <v>1030</v>
      </c>
      <c r="D4" s="16" t="n">
        <f aca="false">C4/Resumo!$C$20</f>
        <v>0.463337831758884</v>
      </c>
      <c r="E4" s="17" t="n">
        <f aca="false">AVERAGEIFS(Pedidos!$G$2:$G$2224,Pedidos!$E$2:$E$2224,$B4)</f>
        <v>47.5796310679612</v>
      </c>
      <c r="F4" s="18" t="n">
        <f aca="false">AVERAGEIFS(Pedidos!$H$2:$H$2224,Pedidos!$E$2:$E$2224,$B4)</f>
        <v>617.434932038835</v>
      </c>
      <c r="G4" s="18" t="n">
        <f aca="false">AVERAGEIFS(Pedidos!$J$2:$J$2224,Pedidos!$E$2:$E$2224,$B4)</f>
        <v>106.839184466019</v>
      </c>
      <c r="H4" s="18" t="n">
        <f aca="false">AVERAGEIFS(Pedidos!$S$2:$S$2224,Pedidos!$E$2:$E$2224,$B4)</f>
        <v>156.293012025596</v>
      </c>
      <c r="I4" s="18" t="n">
        <f aca="false">H4-G4</f>
        <v>49.4538275595764</v>
      </c>
      <c r="J4" s="19" t="n">
        <f aca="false">H4/G4-1</f>
        <v>0.462880990778297</v>
      </c>
      <c r="K4" s="16" t="n">
        <f aca="false">SUMIFS(Pedidos!$J$2:$J$2224,Pedidos!$E$2:$E$2224,$B4)/SUMIFS(Pedidos!$H$2:$H$2224,Pedidos!$E$2:$E$2224,$B4)</f>
        <v>0.17303715569384</v>
      </c>
      <c r="L4" s="16" t="n">
        <f aca="false">SUMIFS(Pedidos!$S$2:$S$2224,Pedidos!$E$2:$E$2224,$B4)/SUMIFS(Pedidos!$H$2:$H$2224,Pedidos!$E$2:$E$2224,$B4)</f>
        <v>0.253132765762863</v>
      </c>
      <c r="M4" s="16" t="n">
        <f aca="false">COUNTIFS(Pedidos!$E$2:$E$2224,$B4,Pedidos!$V$2:$V$2224,"SIM")/C4</f>
        <v>0</v>
      </c>
      <c r="N4" s="18" t="n">
        <f aca="false">AVERAGEIFS(Pedidos!$K$2:$K$2224,Pedidos!$E$2:$E$2224,$B4)</f>
        <v>105.429378640777</v>
      </c>
      <c r="O4" s="19" t="n">
        <f aca="false">N4/G4-1</f>
        <v>-0.0131955876702814</v>
      </c>
      <c r="P4" s="16" t="n">
        <f aca="false">MAX(0,1-G4/H4)</f>
        <v>0.316417393961781</v>
      </c>
      <c r="Q4" s="17" t="n">
        <f aca="false">AVERAGEIFS(Pedidos!$W$2:$W$2224,Pedidos!$E$2:$E$2224,$B4)</f>
        <v>5</v>
      </c>
      <c r="R4" s="14" t="str">
        <f aca="false">IF(J4&lt;=0,"Muito bem",IF(J4&lt;=0.32,"Melhor posição relativa",IF(J4&lt;=0.45,"Intermediária","Precisa melhorar")))</f>
        <v>Precisa melhorar</v>
      </c>
    </row>
    <row r="5" customFormat="false" ht="15" hidden="false" customHeight="false" outlineLevel="0" collapsed="false">
      <c r="A5" s="14" t="n">
        <v>2</v>
      </c>
      <c r="B5" s="14" t="s">
        <v>79</v>
      </c>
      <c r="C5" s="15" t="n">
        <f aca="false">COUNTIFS(Pedidos!$E$2:$E$2224,$B5)</f>
        <v>135</v>
      </c>
      <c r="D5" s="16" t="n">
        <f aca="false">C5/Resumo!$C$20</f>
        <v>0.0607287449392713</v>
      </c>
      <c r="E5" s="17" t="n">
        <f aca="false">AVERAGEIFS(Pedidos!$G$2:$G$2224,Pedidos!$E$2:$E$2224,$B5)</f>
        <v>50.2685925925926</v>
      </c>
      <c r="F5" s="18" t="n">
        <f aca="false">AVERAGEIFS(Pedidos!$H$2:$H$2224,Pedidos!$E$2:$E$2224,$B5)</f>
        <v>636.669111111111</v>
      </c>
      <c r="G5" s="18" t="n">
        <f aca="false">AVERAGEIFS(Pedidos!$J$2:$J$2224,Pedidos!$E$2:$E$2224,$B5)</f>
        <v>124.598296296296</v>
      </c>
      <c r="H5" s="18" t="n">
        <f aca="false">AVERAGEIFS(Pedidos!$S$2:$S$2224,Pedidos!$E$2:$E$2224,$B5)</f>
        <v>180.344648148148</v>
      </c>
      <c r="I5" s="18" t="n">
        <f aca="false">H5-G5</f>
        <v>55.7463518518518</v>
      </c>
      <c r="J5" s="19" t="n">
        <f aca="false">H5/G5-1</f>
        <v>0.447408620413929</v>
      </c>
      <c r="K5" s="16" t="n">
        <f aca="false">SUMIFS(Pedidos!$J$2:$J$2224,Pedidos!$E$2:$E$2224,$B5)/SUMIFS(Pedidos!$H$2:$H$2224,Pedidos!$E$2:$E$2224,$B5)</f>
        <v>0.195703378916637</v>
      </c>
      <c r="L5" s="16" t="n">
        <f aca="false">SUMIFS(Pedidos!$S$2:$S$2224,Pedidos!$E$2:$E$2224,$B5)/SUMIFS(Pedidos!$H$2:$H$2224,Pedidos!$E$2:$E$2224,$B5)</f>
        <v>0.283262757688074</v>
      </c>
      <c r="M5" s="16" t="n">
        <f aca="false">COUNTIFS(Pedidos!$E$2:$E$2224,$B5,Pedidos!$V$2:$V$2224,"SIM")/C5</f>
        <v>0</v>
      </c>
      <c r="N5" s="18" t="n">
        <f aca="false">AVERAGEIFS(Pedidos!$K$2:$K$2224,Pedidos!$E$2:$E$2224,$B5)</f>
        <v>125.205481481481</v>
      </c>
      <c r="O5" s="19" t="n">
        <f aca="false">N5/G5-1</f>
        <v>0.00487314195485689</v>
      </c>
      <c r="P5" s="16" t="n">
        <f aca="false">MAX(0,1-G5/H5)</f>
        <v>0.309110097939018</v>
      </c>
      <c r="Q5" s="17" t="n">
        <f aca="false">AVERAGEIFS(Pedidos!$W$2:$W$2224,Pedidos!$E$2:$E$2224,$B5)</f>
        <v>7</v>
      </c>
      <c r="R5" s="14" t="str">
        <f aca="false">IF(J5&lt;=0,"Muito bem",IF(J5&lt;=0.32,"Melhor posição relativa",IF(J5&lt;=0.45,"Intermediária","Precisa melhorar")))</f>
        <v>Intermediária</v>
      </c>
    </row>
    <row r="6" customFormat="false" ht="15" hidden="false" customHeight="false" outlineLevel="0" collapsed="false">
      <c r="A6" s="14" t="n">
        <v>3</v>
      </c>
      <c r="B6" s="14" t="s">
        <v>80</v>
      </c>
      <c r="C6" s="15" t="n">
        <f aca="false">COUNTIFS(Pedidos!$E$2:$E$2224,$B6)</f>
        <v>106</v>
      </c>
      <c r="D6" s="16" t="n">
        <f aca="false">C6/Resumo!$C$20</f>
        <v>0.0476833108412056</v>
      </c>
      <c r="E6" s="17" t="n">
        <f aca="false">AVERAGEIFS(Pedidos!$G$2:$G$2224,Pedidos!$E$2:$E$2224,$B6)</f>
        <v>52.4224528301887</v>
      </c>
      <c r="F6" s="18" t="n">
        <f aca="false">AVERAGEIFS(Pedidos!$H$2:$H$2224,Pedidos!$E$2:$E$2224,$B6)</f>
        <v>663.553018867925</v>
      </c>
      <c r="G6" s="18" t="n">
        <f aca="false">AVERAGEIFS(Pedidos!$J$2:$J$2224,Pedidos!$E$2:$E$2224,$B6)</f>
        <v>128.076886792453</v>
      </c>
      <c r="H6" s="18" t="n">
        <f aca="false">AVERAGEIFS(Pedidos!$S$2:$S$2224,Pedidos!$E$2:$E$2224,$B6)</f>
        <v>166.373845411664</v>
      </c>
      <c r="I6" s="18" t="n">
        <f aca="false">H6-G6</f>
        <v>38.296958619211</v>
      </c>
      <c r="J6" s="19" t="n">
        <f aca="false">H6/G6-1</f>
        <v>0.299015377234073</v>
      </c>
      <c r="K6" s="16" t="n">
        <f aca="false">SUMIFS(Pedidos!$J$2:$J$2224,Pedidos!$E$2:$E$2224,$B6)/SUMIFS(Pedidos!$H$2:$H$2224,Pedidos!$E$2:$E$2224,$B6)</f>
        <v>0.19301680973581</v>
      </c>
      <c r="L6" s="16" t="n">
        <f aca="false">SUMIFS(Pedidos!$S$2:$S$2224,Pedidos!$E$2:$E$2224,$B6)/SUMIFS(Pedidos!$H$2:$H$2224,Pedidos!$E$2:$E$2224,$B6)</f>
        <v>0.250731803911481</v>
      </c>
      <c r="M6" s="16" t="n">
        <f aca="false">COUNTIFS(Pedidos!$E$2:$E$2224,$B6,Pedidos!$V$2:$V$2224,"SIM")/C6</f>
        <v>0.0566037735849057</v>
      </c>
      <c r="N6" s="18" t="n">
        <f aca="false">AVERAGEIFS(Pedidos!$K$2:$K$2224,Pedidos!$E$2:$E$2224,$B6)</f>
        <v>111.602452830189</v>
      </c>
      <c r="O6" s="19" t="n">
        <f aca="false">N6/G6-1</f>
        <v>-0.128629250560726</v>
      </c>
      <c r="P6" s="16" t="n">
        <f aca="false">MAX(0,1-G6/H6)</f>
        <v>0.230186172138125</v>
      </c>
      <c r="Q6" s="17" t="n">
        <f aca="false">AVERAGEIFS(Pedidos!$W$2:$W$2224,Pedidos!$E$2:$E$2224,$B6)</f>
        <v>5</v>
      </c>
      <c r="R6" s="14" t="str">
        <f aca="false">IF(J6&lt;=0,"Muito bem",IF(J6&lt;=0.32,"Melhor posição relativa",IF(J6&lt;=0.45,"Intermediária","Precisa melhorar")))</f>
        <v>Melhor posição relativa</v>
      </c>
    </row>
    <row r="7" customFormat="false" ht="15" hidden="false" customHeight="false" outlineLevel="0" collapsed="false">
      <c r="A7" s="14" t="n">
        <v>4</v>
      </c>
      <c r="B7" s="14" t="s">
        <v>81</v>
      </c>
      <c r="C7" s="15" t="n">
        <f aca="false">COUNTIFS(Pedidos!$E$2:$E$2224,$B7)</f>
        <v>95</v>
      </c>
      <c r="D7" s="16" t="n">
        <f aca="false">C7/Resumo!$C$20</f>
        <v>0.0427350427350427</v>
      </c>
      <c r="E7" s="17" t="n">
        <f aca="false">AVERAGEIFS(Pedidos!$G$2:$G$2224,Pedidos!$E$2:$E$2224,$B7)</f>
        <v>55.0834736842105</v>
      </c>
      <c r="F7" s="18" t="n">
        <f aca="false">AVERAGEIFS(Pedidos!$H$2:$H$2224,Pedidos!$E$2:$E$2224,$B7)</f>
        <v>676.709263157895</v>
      </c>
      <c r="G7" s="18" t="n">
        <f aca="false">AVERAGEIFS(Pedidos!$J$2:$J$2224,Pedidos!$E$2:$E$2224,$B7)</f>
        <v>130.553052631579</v>
      </c>
      <c r="H7" s="18" t="n">
        <f aca="false">AVERAGEIFS(Pedidos!$S$2:$S$2224,Pedidos!$E$2:$E$2224,$B7)</f>
        <v>172.309503588517</v>
      </c>
      <c r="I7" s="18" t="n">
        <f aca="false">H7-G7</f>
        <v>41.7564509569378</v>
      </c>
      <c r="J7" s="19" t="n">
        <f aca="false">H7/G7-1</f>
        <v>0.31984277743987</v>
      </c>
      <c r="K7" s="16" t="n">
        <f aca="false">SUMIFS(Pedidos!$J$2:$J$2224,Pedidos!$E$2:$E$2224,$B7)/SUMIFS(Pedidos!$H$2:$H$2224,Pedidos!$E$2:$E$2224,$B7)</f>
        <v>0.192923401140317</v>
      </c>
      <c r="L7" s="16" t="n">
        <f aca="false">SUMIFS(Pedidos!$S$2:$S$2224,Pedidos!$E$2:$E$2224,$B7)/SUMIFS(Pedidos!$H$2:$H$2224,Pedidos!$E$2:$E$2224,$B7)</f>
        <v>0.254628557594182</v>
      </c>
      <c r="M7" s="16" t="n">
        <f aca="false">COUNTIFS(Pedidos!$E$2:$E$2224,$B7,Pedidos!$V$2:$V$2224,"SIM")/C7</f>
        <v>0.0210526315789474</v>
      </c>
      <c r="N7" s="18" t="n">
        <f aca="false">AVERAGEIFS(Pedidos!$K$2:$K$2224,Pedidos!$E$2:$E$2224,$B7)</f>
        <v>115.362842105263</v>
      </c>
      <c r="O7" s="19" t="n">
        <f aca="false">N7/G7-1</f>
        <v>-0.116352779350037</v>
      </c>
      <c r="P7" s="16" t="n">
        <f aca="false">MAX(0,1-G7/H7)</f>
        <v>0.242333998342043</v>
      </c>
      <c r="Q7" s="17" t="n">
        <f aca="false">AVERAGEIFS(Pedidos!$W$2:$W$2224,Pedidos!$E$2:$E$2224,$B7)</f>
        <v>5</v>
      </c>
      <c r="R7" s="14" t="str">
        <f aca="false">IF(J7&lt;=0,"Muito bem",IF(J7&lt;=0.32,"Melhor posição relativa",IF(J7&lt;=0.45,"Intermediária","Precisa melhorar")))</f>
        <v>Melhor posição relativa</v>
      </c>
    </row>
    <row r="8" customFormat="false" ht="15" hidden="false" customHeight="false" outlineLevel="0" collapsed="false">
      <c r="A8" s="14" t="n">
        <v>5</v>
      </c>
      <c r="B8" s="14" t="s">
        <v>82</v>
      </c>
      <c r="C8" s="15" t="n">
        <f aca="false">COUNTIFS(Pedidos!$E$2:$E$2224,$B8)</f>
        <v>68</v>
      </c>
      <c r="D8" s="16" t="n">
        <f aca="false">C8/Resumo!$C$20</f>
        <v>0.0305892937471885</v>
      </c>
      <c r="E8" s="17" t="n">
        <f aca="false">AVERAGEIFS(Pedidos!$G$2:$G$2224,Pedidos!$E$2:$E$2224,$B8)</f>
        <v>47.9458823529412</v>
      </c>
      <c r="F8" s="18" t="n">
        <f aca="false">AVERAGEIFS(Pedidos!$H$2:$H$2224,Pedidos!$E$2:$E$2224,$B8)</f>
        <v>603.648088235294</v>
      </c>
      <c r="G8" s="18" t="n">
        <f aca="false">AVERAGEIFS(Pedidos!$J$2:$J$2224,Pedidos!$E$2:$E$2224,$B8)</f>
        <v>122.044411764706</v>
      </c>
      <c r="H8" s="18" t="n">
        <f aca="false">AVERAGEIFS(Pedidos!$S$2:$S$2224,Pedidos!$E$2:$E$2224,$B8)</f>
        <v>175.731373663102</v>
      </c>
      <c r="I8" s="18" t="n">
        <f aca="false">H8-G8</f>
        <v>53.6869618983957</v>
      </c>
      <c r="J8" s="19" t="n">
        <f aca="false">H8/G8-1</f>
        <v>0.43989692868446</v>
      </c>
      <c r="K8" s="16" t="n">
        <f aca="false">SUMIFS(Pedidos!$J$2:$J$2224,Pedidos!$E$2:$E$2224,$B8)/SUMIFS(Pedidos!$H$2:$H$2224,Pedidos!$E$2:$E$2224,$B8)</f>
        <v>0.202178080479789</v>
      </c>
      <c r="L8" s="16" t="n">
        <f aca="false">SUMIFS(Pedidos!$S$2:$S$2224,Pedidos!$E$2:$E$2224,$B8)/SUMIFS(Pedidos!$H$2:$H$2224,Pedidos!$E$2:$E$2224,$B8)</f>
        <v>0.291115597130167</v>
      </c>
      <c r="M8" s="16" t="n">
        <f aca="false">COUNTIFS(Pedidos!$E$2:$E$2224,$B8,Pedidos!$V$2:$V$2224,"SIM")/C8</f>
        <v>0</v>
      </c>
      <c r="N8" s="18" t="n">
        <f aca="false">AVERAGEIFS(Pedidos!$K$2:$K$2224,Pedidos!$E$2:$E$2224,$B8)</f>
        <v>122.540294117647</v>
      </c>
      <c r="O8" s="19" t="n">
        <f aca="false">N8/G8-1</f>
        <v>0.00406313034551054</v>
      </c>
      <c r="P8" s="16" t="n">
        <f aca="false">MAX(0,1-G8/H8)</f>
        <v>0.305505845537406</v>
      </c>
      <c r="Q8" s="17" t="n">
        <f aca="false">AVERAGEIFS(Pedidos!$W$2:$W$2224,Pedidos!$E$2:$E$2224,$B8)</f>
        <v>7</v>
      </c>
      <c r="R8" s="14" t="str">
        <f aca="false">IF(J8&lt;=0,"Muito bem",IF(J8&lt;=0.32,"Melhor posição relativa",IF(J8&lt;=0.45,"Intermediária","Precisa melhorar")))</f>
        <v>Intermediária</v>
      </c>
    </row>
    <row r="9" customFormat="false" ht="15" hidden="false" customHeight="false" outlineLevel="0" collapsed="false">
      <c r="A9" s="14" t="n">
        <v>6</v>
      </c>
      <c r="B9" s="14" t="s">
        <v>83</v>
      </c>
      <c r="C9" s="15" t="n">
        <f aca="false">COUNTIFS(Pedidos!$E$2:$E$2224,$B9)</f>
        <v>53</v>
      </c>
      <c r="D9" s="16" t="n">
        <f aca="false">C9/Resumo!$C$20</f>
        <v>0.0238416554206028</v>
      </c>
      <c r="E9" s="17" t="n">
        <f aca="false">AVERAGEIFS(Pedidos!$G$2:$G$2224,Pedidos!$E$2:$E$2224,$B9)</f>
        <v>49.4752830188679</v>
      </c>
      <c r="F9" s="18" t="n">
        <f aca="false">AVERAGEIFS(Pedidos!$H$2:$H$2224,Pedidos!$E$2:$E$2224,$B9)</f>
        <v>649.884339622642</v>
      </c>
      <c r="G9" s="18" t="n">
        <f aca="false">AVERAGEIFS(Pedidos!$J$2:$J$2224,Pedidos!$E$2:$E$2224,$B9)</f>
        <v>136.860377358491</v>
      </c>
      <c r="H9" s="18" t="n">
        <f aca="false">AVERAGEIFS(Pedidos!$S$2:$S$2224,Pedidos!$E$2:$E$2224,$B9)</f>
        <v>218.073812178388</v>
      </c>
      <c r="I9" s="18" t="n">
        <f aca="false">H9-G9</f>
        <v>81.2134348198971</v>
      </c>
      <c r="J9" s="19" t="n">
        <f aca="false">H9/G9-1</f>
        <v>0.593403557606505</v>
      </c>
      <c r="K9" s="16" t="n">
        <f aca="false">SUMIFS(Pedidos!$J$2:$J$2224,Pedidos!$E$2:$E$2224,$B9)/SUMIFS(Pedidos!$H$2:$H$2224,Pedidos!$E$2:$E$2224,$B9)</f>
        <v>0.21059189922619</v>
      </c>
      <c r="L9" s="16" t="n">
        <f aca="false">SUMIFS(Pedidos!$S$2:$S$2224,Pedidos!$E$2:$E$2224,$B9)/SUMIFS(Pedidos!$H$2:$H$2224,Pedidos!$E$2:$E$2224,$B9)</f>
        <v>0.335557881430122</v>
      </c>
      <c r="M9" s="16" t="n">
        <f aca="false">COUNTIFS(Pedidos!$E$2:$E$2224,$B9,Pedidos!$V$2:$V$2224,"SIM")/C9</f>
        <v>0</v>
      </c>
      <c r="N9" s="18" t="n">
        <f aca="false">AVERAGEIFS(Pedidos!$K$2:$K$2224,Pedidos!$E$2:$E$2224,$B9)</f>
        <v>158.721509433962</v>
      </c>
      <c r="O9" s="19" t="n">
        <f aca="false">N9/G9-1</f>
        <v>0.159733098047866</v>
      </c>
      <c r="P9" s="16" t="n">
        <f aca="false">MAX(0,1-G9/H9)</f>
        <v>0.372412597407447</v>
      </c>
      <c r="Q9" s="17" t="n">
        <f aca="false">AVERAGEIFS(Pedidos!$W$2:$W$2224,Pedidos!$E$2:$E$2224,$B9)</f>
        <v>11</v>
      </c>
      <c r="R9" s="14" t="str">
        <f aca="false">IF(J9&lt;=0,"Muito bem",IF(J9&lt;=0.32,"Melhor posição relativa",IF(J9&lt;=0.45,"Intermediária","Precisa melhorar")))</f>
        <v>Precisa melhorar</v>
      </c>
    </row>
    <row r="10" customFormat="false" ht="15" hidden="false" customHeight="false" outlineLevel="0" collapsed="false">
      <c r="A10" s="14" t="n">
        <v>7</v>
      </c>
      <c r="B10" s="14" t="s">
        <v>84</v>
      </c>
      <c r="C10" s="15" t="n">
        <f aca="false">COUNTIFS(Pedidos!$E$2:$E$2224,$B10)</f>
        <v>49</v>
      </c>
      <c r="D10" s="16" t="n">
        <f aca="false">C10/Resumo!$C$20</f>
        <v>0.0220422852001799</v>
      </c>
      <c r="E10" s="17" t="n">
        <f aca="false">AVERAGEIFS(Pedidos!$G$2:$G$2224,Pedidos!$E$2:$E$2224,$B10)</f>
        <v>54.08</v>
      </c>
      <c r="F10" s="18" t="n">
        <f aca="false">AVERAGEIFS(Pedidos!$H$2:$H$2224,Pedidos!$E$2:$E$2224,$B10)</f>
        <v>687.528163265306</v>
      </c>
      <c r="G10" s="18" t="n">
        <f aca="false">AVERAGEIFS(Pedidos!$J$2:$J$2224,Pedidos!$E$2:$E$2224,$B10)</f>
        <v>128.089591836735</v>
      </c>
      <c r="H10" s="18" t="n">
        <f aca="false">AVERAGEIFS(Pedidos!$S$2:$S$2224,Pedidos!$E$2:$E$2224,$B10)</f>
        <v>166.988580705009</v>
      </c>
      <c r="I10" s="18" t="n">
        <f aca="false">H10-G10</f>
        <v>38.8989888682746</v>
      </c>
      <c r="J10" s="19" t="n">
        <f aca="false">H10/G10-1</f>
        <v>0.303685789848218</v>
      </c>
      <c r="K10" s="16" t="n">
        <f aca="false">SUMIFS(Pedidos!$J$2:$J$2224,Pedidos!$E$2:$E$2224,$B10)/SUMIFS(Pedidos!$H$2:$H$2224,Pedidos!$E$2:$E$2224,$B10)</f>
        <v>0.186304501663457</v>
      </c>
      <c r="L10" s="16" t="n">
        <f aca="false">SUMIFS(Pedidos!$S$2:$S$2224,Pedidos!$E$2:$E$2224,$B10)/SUMIFS(Pedidos!$H$2:$H$2224,Pedidos!$E$2:$E$2224,$B10)</f>
        <v>0.242882531403402</v>
      </c>
      <c r="M10" s="16" t="n">
        <f aca="false">COUNTIFS(Pedidos!$E$2:$E$2224,$B10,Pedidos!$V$2:$V$2224,"SIM")/C10</f>
        <v>0.0816326530612245</v>
      </c>
      <c r="N10" s="18" t="n">
        <f aca="false">AVERAGEIFS(Pedidos!$K$2:$K$2224,Pedidos!$E$2:$E$2224,$B10)</f>
        <v>111.301224489796</v>
      </c>
      <c r="O10" s="19" t="n">
        <f aca="false">N10/G10-1</f>
        <v>-0.131067381090085</v>
      </c>
      <c r="P10" s="16" t="n">
        <f aca="false">MAX(0,1-G10/H10)</f>
        <v>0.232944005536468</v>
      </c>
      <c r="Q10" s="17" t="n">
        <f aca="false">AVERAGEIFS(Pedidos!$W$2:$W$2224,Pedidos!$E$2:$E$2224,$B10)</f>
        <v>5</v>
      </c>
      <c r="R10" s="14" t="str">
        <f aca="false">IF(J10&lt;=0,"Muito bem",IF(J10&lt;=0.32,"Melhor posição relativa",IF(J10&lt;=0.45,"Intermediária","Precisa melhorar")))</f>
        <v>Melhor posição relativa</v>
      </c>
    </row>
    <row r="11" customFormat="false" ht="15" hidden="false" customHeight="false" outlineLevel="0" collapsed="false">
      <c r="A11" s="14" t="n">
        <v>8</v>
      </c>
      <c r="B11" s="14" t="s">
        <v>85</v>
      </c>
      <c r="C11" s="15" t="n">
        <f aca="false">COUNTIFS(Pedidos!$E$2:$E$2224,$B11)</f>
        <v>45</v>
      </c>
      <c r="D11" s="16" t="n">
        <f aca="false">C11/Resumo!$C$20</f>
        <v>0.0202429149797571</v>
      </c>
      <c r="E11" s="17" t="n">
        <f aca="false">AVERAGEIFS(Pedidos!$G$2:$G$2224,Pedidos!$E$2:$E$2224,$B11)</f>
        <v>60.0602222222222</v>
      </c>
      <c r="F11" s="18" t="n">
        <f aca="false">AVERAGEIFS(Pedidos!$H$2:$H$2224,Pedidos!$E$2:$E$2224,$B11)</f>
        <v>746.164666666667</v>
      </c>
      <c r="G11" s="18" t="n">
        <f aca="false">AVERAGEIFS(Pedidos!$J$2:$J$2224,Pedidos!$E$2:$E$2224,$B11)</f>
        <v>150.531555555556</v>
      </c>
      <c r="H11" s="18" t="n">
        <f aca="false">AVERAGEIFS(Pedidos!$S$2:$S$2224,Pedidos!$E$2:$E$2224,$B11)</f>
        <v>241.397815656566</v>
      </c>
      <c r="I11" s="18" t="n">
        <f aca="false">H11-G11</f>
        <v>90.8662601010101</v>
      </c>
      <c r="J11" s="19" t="n">
        <f aca="false">H11/G11-1</f>
        <v>0.60363596035168</v>
      </c>
      <c r="K11" s="16" t="n">
        <f aca="false">SUMIFS(Pedidos!$J$2:$J$2224,Pedidos!$E$2:$E$2224,$B11)/SUMIFS(Pedidos!$H$2:$H$2224,Pedidos!$E$2:$E$2224,$B11)</f>
        <v>0.2017403962962</v>
      </c>
      <c r="L11" s="16" t="n">
        <f aca="false">SUMIFS(Pedidos!$S$2:$S$2224,Pedidos!$E$2:$E$2224,$B11)/SUMIFS(Pedidos!$H$2:$H$2224,Pedidos!$E$2:$E$2224,$B11)</f>
        <v>0.323518154156186</v>
      </c>
      <c r="M11" s="16" t="n">
        <f aca="false">COUNTIFS(Pedidos!$E$2:$E$2224,$B11,Pedidos!$V$2:$V$2224,"SIM")/C11</f>
        <v>0</v>
      </c>
      <c r="N11" s="18" t="n">
        <f aca="false">AVERAGEIFS(Pedidos!$K$2:$K$2224,Pedidos!$E$2:$E$2224,$B11)</f>
        <v>173.276222222222</v>
      </c>
      <c r="O11" s="19" t="n">
        <f aca="false">N11/G11-1</f>
        <v>0.15109567281574</v>
      </c>
      <c r="P11" s="16" t="n">
        <f aca="false">MAX(0,1-G11/H11)</f>
        <v>0.376417076740598</v>
      </c>
      <c r="Q11" s="17" t="n">
        <f aca="false">AVERAGEIFS(Pedidos!$W$2:$W$2224,Pedidos!$E$2:$E$2224,$B11)</f>
        <v>11</v>
      </c>
      <c r="R11" s="14" t="str">
        <f aca="false">IF(J11&lt;=0,"Muito bem",IF(J11&lt;=0.32,"Melhor posição relativa",IF(J11&lt;=0.45,"Intermediária","Precisa melhorar")))</f>
        <v>Precisa melhorar</v>
      </c>
    </row>
    <row r="12" customFormat="false" ht="15" hidden="false" customHeight="false" outlineLevel="0" collapsed="false">
      <c r="A12" s="14" t="n">
        <v>9</v>
      </c>
      <c r="B12" s="14" t="s">
        <v>86</v>
      </c>
      <c r="C12" s="15" t="n">
        <f aca="false">COUNTIFS(Pedidos!$E$2:$E$2224,$B12)</f>
        <v>37</v>
      </c>
      <c r="D12" s="16" t="n">
        <f aca="false">C12/Resumo!$C$20</f>
        <v>0.0166441745389114</v>
      </c>
      <c r="E12" s="17" t="n">
        <f aca="false">AVERAGEIFS(Pedidos!$G$2:$G$2224,Pedidos!$E$2:$E$2224,$B12)</f>
        <v>55.9305405405405</v>
      </c>
      <c r="F12" s="18" t="n">
        <f aca="false">AVERAGEIFS(Pedidos!$H$2:$H$2224,Pedidos!$E$2:$E$2224,$B12)</f>
        <v>698.244054054054</v>
      </c>
      <c r="G12" s="18" t="n">
        <f aca="false">AVERAGEIFS(Pedidos!$J$2:$J$2224,Pedidos!$E$2:$E$2224,$B12)</f>
        <v>131.783513513514</v>
      </c>
      <c r="H12" s="18" t="n">
        <f aca="false">AVERAGEIFS(Pedidos!$S$2:$S$2224,Pedidos!$E$2:$E$2224,$B12)</f>
        <v>175.043796068796</v>
      </c>
      <c r="I12" s="18" t="n">
        <f aca="false">H12-G12</f>
        <v>43.2602825552826</v>
      </c>
      <c r="J12" s="19" t="n">
        <f aca="false">H12/G12-1</f>
        <v>0.328267788601998</v>
      </c>
      <c r="K12" s="16" t="n">
        <f aca="false">SUMIFS(Pedidos!$J$2:$J$2224,Pedidos!$E$2:$E$2224,$B12)/SUMIFS(Pedidos!$H$2:$H$2224,Pedidos!$E$2:$E$2224,$B12)</f>
        <v>0.188735604332567</v>
      </c>
      <c r="L12" s="16" t="n">
        <f aca="false">SUMIFS(Pedidos!$S$2:$S$2224,Pedidos!$E$2:$E$2224,$B12)/SUMIFS(Pedidos!$H$2:$H$2224,Pedidos!$E$2:$E$2224,$B12)</f>
        <v>0.250691423797281</v>
      </c>
      <c r="M12" s="16" t="n">
        <f aca="false">COUNTIFS(Pedidos!$E$2:$E$2224,$B12,Pedidos!$V$2:$V$2224,"SIM")/C12</f>
        <v>0.027027027027027</v>
      </c>
      <c r="N12" s="18" t="n">
        <f aca="false">AVERAGEIFS(Pedidos!$K$2:$K$2224,Pedidos!$E$2:$E$2224,$B12)</f>
        <v>117.273243243243</v>
      </c>
      <c r="O12" s="19" t="n">
        <f aca="false">N12/G12-1</f>
        <v>-0.110106870604739</v>
      </c>
      <c r="P12" s="16" t="n">
        <f aca="false">MAX(0,1-G12/H12)</f>
        <v>0.247139764600856</v>
      </c>
      <c r="Q12" s="17" t="n">
        <f aca="false">AVERAGEIFS(Pedidos!$W$2:$W$2224,Pedidos!$E$2:$E$2224,$B12)</f>
        <v>5</v>
      </c>
      <c r="R12" s="14" t="str">
        <f aca="false">IF(J12&lt;=0,"Muito bem",IF(J12&lt;=0.32,"Melhor posição relativa",IF(J12&lt;=0.45,"Intermediária","Precisa melhorar")))</f>
        <v>Intermediária</v>
      </c>
    </row>
    <row r="13" customFormat="false" ht="15" hidden="false" customHeight="false" outlineLevel="0" collapsed="false">
      <c r="A13" s="14" t="n">
        <v>10</v>
      </c>
      <c r="B13" s="14" t="s">
        <v>87</v>
      </c>
      <c r="C13" s="15" t="n">
        <f aca="false">COUNTIFS(Pedidos!$E$2:$E$2224,$B13)</f>
        <v>37</v>
      </c>
      <c r="D13" s="16" t="n">
        <f aca="false">C13/Resumo!$C$20</f>
        <v>0.0166441745389114</v>
      </c>
      <c r="E13" s="17" t="n">
        <f aca="false">AVERAGEIFS(Pedidos!$G$2:$G$2224,Pedidos!$E$2:$E$2224,$B13)</f>
        <v>50.8867567567568</v>
      </c>
      <c r="F13" s="18" t="n">
        <f aca="false">AVERAGEIFS(Pedidos!$H$2:$H$2224,Pedidos!$E$2:$E$2224,$B13)</f>
        <v>652.921081081081</v>
      </c>
      <c r="G13" s="18" t="n">
        <f aca="false">AVERAGEIFS(Pedidos!$J$2:$J$2224,Pedidos!$E$2:$E$2224,$B13)</f>
        <v>139.234594594595</v>
      </c>
      <c r="H13" s="18" t="n">
        <f aca="false">AVERAGEIFS(Pedidos!$S$2:$S$2224,Pedidos!$E$2:$E$2224,$B13)</f>
        <v>198.538237100737</v>
      </c>
      <c r="I13" s="18" t="n">
        <f aca="false">H13-G13</f>
        <v>59.3036425061425</v>
      </c>
      <c r="J13" s="19" t="n">
        <f aca="false">H13/G13-1</f>
        <v>0.425926061542501</v>
      </c>
      <c r="K13" s="16" t="n">
        <f aca="false">SUMIFS(Pedidos!$J$2:$J$2224,Pedidos!$E$2:$E$2224,$B13)/SUMIFS(Pedidos!$H$2:$H$2224,Pedidos!$E$2:$E$2224,$B13)</f>
        <v>0.213248734998808</v>
      </c>
      <c r="L13" s="16" t="n">
        <f aca="false">SUMIFS(Pedidos!$S$2:$S$2224,Pedidos!$E$2:$E$2224,$B13)/SUMIFS(Pedidos!$H$2:$H$2224,Pedidos!$E$2:$E$2224,$B13)</f>
        <v>0.304076928825771</v>
      </c>
      <c r="M13" s="16" t="n">
        <f aca="false">COUNTIFS(Pedidos!$E$2:$E$2224,$B13,Pedidos!$V$2:$V$2224,"SIM")/C13</f>
        <v>0</v>
      </c>
      <c r="N13" s="18" t="n">
        <f aca="false">AVERAGEIFS(Pedidos!$K$2:$K$2224,Pedidos!$E$2:$E$2224,$B13)</f>
        <v>140.822432432432</v>
      </c>
      <c r="O13" s="19" t="n">
        <f aca="false">N13/G13-1</f>
        <v>0.0114040468352072</v>
      </c>
      <c r="P13" s="16" t="n">
        <f aca="false">MAX(0,1-G13/H13)</f>
        <v>0.298701365400219</v>
      </c>
      <c r="Q13" s="17" t="n">
        <f aca="false">AVERAGEIFS(Pedidos!$W$2:$W$2224,Pedidos!$E$2:$E$2224,$B13)</f>
        <v>10</v>
      </c>
      <c r="R13" s="14" t="str">
        <f aca="false">IF(J13&lt;=0,"Muito bem",IF(J13&lt;=0.32,"Melhor posição relativa",IF(J13&lt;=0.45,"Intermediária","Precisa melhorar")))</f>
        <v>Intermediária</v>
      </c>
    </row>
    <row r="14" customFormat="false" ht="15" hidden="false" customHeight="false" outlineLevel="0" collapsed="false">
      <c r="A14" s="14" t="n">
        <v>11</v>
      </c>
      <c r="B14" s="14" t="s">
        <v>88</v>
      </c>
      <c r="C14" s="15" t="n">
        <f aca="false">COUNTIFS(Pedidos!$E$2:$E$2224,$B14)</f>
        <v>35</v>
      </c>
      <c r="D14" s="16" t="n">
        <f aca="false">C14/Resumo!$C$20</f>
        <v>0.0157444894287</v>
      </c>
      <c r="E14" s="17" t="n">
        <f aca="false">AVERAGEIFS(Pedidos!$G$2:$G$2224,Pedidos!$E$2:$E$2224,$B14)</f>
        <v>44.3942857142857</v>
      </c>
      <c r="F14" s="18" t="n">
        <f aca="false">AVERAGEIFS(Pedidos!$H$2:$H$2224,Pedidos!$E$2:$E$2224,$B14)</f>
        <v>596.417714285714</v>
      </c>
      <c r="G14" s="18" t="n">
        <f aca="false">AVERAGEIFS(Pedidos!$J$2:$J$2224,Pedidos!$E$2:$E$2224,$B14)</f>
        <v>129.247428571429</v>
      </c>
      <c r="H14" s="18" t="n">
        <f aca="false">AVERAGEIFS(Pedidos!$S$2:$S$2224,Pedidos!$E$2:$E$2224,$B14)</f>
        <v>179.382616883117</v>
      </c>
      <c r="I14" s="18" t="n">
        <f aca="false">H14-G14</f>
        <v>50.1351883116883</v>
      </c>
      <c r="J14" s="19" t="n">
        <f aca="false">H14/G14-1</f>
        <v>0.387900857029284</v>
      </c>
      <c r="K14" s="16" t="n">
        <f aca="false">SUMIFS(Pedidos!$J$2:$J$2224,Pedidos!$E$2:$E$2224,$B14)/SUMIFS(Pedidos!$H$2:$H$2224,Pedidos!$E$2:$E$2224,$B14)</f>
        <v>0.216706220280896</v>
      </c>
      <c r="L14" s="16" t="n">
        <f aca="false">SUMIFS(Pedidos!$S$2:$S$2224,Pedidos!$E$2:$E$2224,$B14)/SUMIFS(Pedidos!$H$2:$H$2224,Pedidos!$E$2:$E$2224,$B14)</f>
        <v>0.300766748851433</v>
      </c>
      <c r="M14" s="16" t="n">
        <f aca="false">COUNTIFS(Pedidos!$E$2:$E$2224,$B14,Pedidos!$V$2:$V$2224,"SIM")/C14</f>
        <v>0</v>
      </c>
      <c r="N14" s="18" t="n">
        <f aca="false">AVERAGEIFS(Pedidos!$K$2:$K$2224,Pedidos!$E$2:$E$2224,$B14)</f>
        <v>127.719428571429</v>
      </c>
      <c r="O14" s="19" t="n">
        <f aca="false">N14/G14-1</f>
        <v>-0.0118222854944889</v>
      </c>
      <c r="P14" s="16" t="n">
        <f aca="false">MAX(0,1-G14/H14)</f>
        <v>0.279487439657298</v>
      </c>
      <c r="Q14" s="17" t="n">
        <f aca="false">AVERAGEIFS(Pedidos!$W$2:$W$2224,Pedidos!$E$2:$E$2224,$B14)</f>
        <v>10</v>
      </c>
      <c r="R14" s="14" t="str">
        <f aca="false">IF(J14&lt;=0,"Muito bem",IF(J14&lt;=0.32,"Melhor posição relativa",IF(J14&lt;=0.45,"Intermediária","Precisa melhorar")))</f>
        <v>Intermediária</v>
      </c>
    </row>
    <row r="15" customFormat="false" ht="15" hidden="false" customHeight="false" outlineLevel="0" collapsed="false">
      <c r="A15" s="14" t="n">
        <v>12</v>
      </c>
      <c r="B15" s="14" t="s">
        <v>89</v>
      </c>
      <c r="C15" s="15" t="n">
        <f aca="false">COUNTIFS(Pedidos!$E$2:$E$2224,$B15)</f>
        <v>32</v>
      </c>
      <c r="D15" s="16" t="n">
        <f aca="false">C15/Resumo!$C$20</f>
        <v>0.0143949617633828</v>
      </c>
      <c r="E15" s="17" t="n">
        <f aca="false">AVERAGEIFS(Pedidos!$G$2:$G$2224,Pedidos!$E$2:$E$2224,$B15)</f>
        <v>58.889375</v>
      </c>
      <c r="F15" s="18" t="n">
        <f aca="false">AVERAGEIFS(Pedidos!$H$2:$H$2224,Pedidos!$E$2:$E$2224,$B15)</f>
        <v>743.8225</v>
      </c>
      <c r="G15" s="18" t="n">
        <f aca="false">AVERAGEIFS(Pedidos!$J$2:$J$2224,Pedidos!$E$2:$E$2224,$B15)</f>
        <v>149.7684375</v>
      </c>
      <c r="H15" s="18" t="n">
        <f aca="false">AVERAGEIFS(Pedidos!$S$2:$S$2224,Pedidos!$E$2:$E$2224,$B15)</f>
        <v>216.628114346591</v>
      </c>
      <c r="I15" s="18" t="n">
        <f aca="false">H15-G15</f>
        <v>66.8596768465909</v>
      </c>
      <c r="J15" s="19" t="n">
        <f aca="false">H15/G15-1</f>
        <v>0.446420340377731</v>
      </c>
      <c r="K15" s="16" t="n">
        <f aca="false">SUMIFS(Pedidos!$J$2:$J$2224,Pedidos!$E$2:$E$2224,$B15)/SUMIFS(Pedidos!$H$2:$H$2224,Pedidos!$E$2:$E$2224,$B15)</f>
        <v>0.201349700365343</v>
      </c>
      <c r="L15" s="16" t="n">
        <f aca="false">SUMIFS(Pedidos!$S$2:$S$2224,Pedidos!$E$2:$E$2224,$B15)/SUMIFS(Pedidos!$H$2:$H$2224,Pedidos!$E$2:$E$2224,$B15)</f>
        <v>0.291236302137393</v>
      </c>
      <c r="M15" s="16" t="n">
        <f aca="false">COUNTIFS(Pedidos!$E$2:$E$2224,$B15,Pedidos!$V$2:$V$2224,"SIM")/C15</f>
        <v>0</v>
      </c>
      <c r="N15" s="18" t="n">
        <f aca="false">AVERAGEIFS(Pedidos!$K$2:$K$2224,Pedidos!$E$2:$E$2224,$B15)</f>
        <v>152.089375</v>
      </c>
      <c r="O15" s="19" t="n">
        <f aca="false">N15/G15-1</f>
        <v>0.0154968399132827</v>
      </c>
      <c r="P15" s="16" t="n">
        <f aca="false">MAX(0,1-G15/H15)</f>
        <v>0.308638041042169</v>
      </c>
      <c r="Q15" s="17" t="n">
        <f aca="false">AVERAGEIFS(Pedidos!$W$2:$W$2224,Pedidos!$E$2:$E$2224,$B15)</f>
        <v>8</v>
      </c>
      <c r="R15" s="14" t="str">
        <f aca="false">IF(J15&lt;=0,"Muito bem",IF(J15&lt;=0.32,"Melhor posição relativa",IF(J15&lt;=0.45,"Intermediária","Precisa melhorar")))</f>
        <v>Intermediária</v>
      </c>
    </row>
    <row r="16" customFormat="false" ht="15" hidden="false" customHeight="false" outlineLevel="0" collapsed="false">
      <c r="A16" s="14" t="n">
        <v>13</v>
      </c>
      <c r="B16" s="14" t="s">
        <v>90</v>
      </c>
      <c r="C16" s="15" t="n">
        <f aca="false">COUNTIFS(Pedidos!$E$2:$E$2224,$B16)</f>
        <v>32</v>
      </c>
      <c r="D16" s="16" t="n">
        <f aca="false">C16/Resumo!$C$20</f>
        <v>0.0143949617633828</v>
      </c>
      <c r="E16" s="17" t="n">
        <f aca="false">AVERAGEIFS(Pedidos!$G$2:$G$2224,Pedidos!$E$2:$E$2224,$B16)</f>
        <v>55.0375</v>
      </c>
      <c r="F16" s="18" t="n">
        <f aca="false">AVERAGEIFS(Pedidos!$H$2:$H$2224,Pedidos!$E$2:$E$2224,$B16)</f>
        <v>758.3715625</v>
      </c>
      <c r="G16" s="18" t="n">
        <f aca="false">AVERAGEIFS(Pedidos!$J$2:$J$2224,Pedidos!$E$2:$E$2224,$B16)</f>
        <v>146.1609375</v>
      </c>
      <c r="H16" s="18" t="n">
        <f aca="false">AVERAGEIFS(Pedidos!$S$2:$S$2224,Pedidos!$E$2:$E$2224,$B16)</f>
        <v>195.3865234375</v>
      </c>
      <c r="I16" s="18" t="n">
        <f aca="false">H16-G16</f>
        <v>49.2255859375</v>
      </c>
      <c r="J16" s="19" t="n">
        <f aca="false">H16/G16-1</f>
        <v>0.33679029964829</v>
      </c>
      <c r="K16" s="16" t="n">
        <f aca="false">SUMIFS(Pedidos!$J$2:$J$2224,Pedidos!$E$2:$E$2224,$B16)/SUMIFS(Pedidos!$H$2:$H$2224,Pedidos!$E$2:$E$2224,$B16)</f>
        <v>0.192729981881408</v>
      </c>
      <c r="L16" s="16" t="n">
        <f aca="false">SUMIFS(Pedidos!$S$2:$S$2224,Pedidos!$E$2:$E$2224,$B16)/SUMIFS(Pedidos!$H$2:$H$2224,Pedidos!$E$2:$E$2224,$B16)</f>
        <v>0.257639570230457</v>
      </c>
      <c r="M16" s="16" t="n">
        <f aca="false">COUNTIFS(Pedidos!$E$2:$E$2224,$B16,Pedidos!$V$2:$V$2224,"SIM")/C16</f>
        <v>0</v>
      </c>
      <c r="N16" s="18" t="n">
        <f aca="false">AVERAGEIFS(Pedidos!$K$2:$K$2224,Pedidos!$E$2:$E$2224,$B16)</f>
        <v>135.329375</v>
      </c>
      <c r="O16" s="19" t="n">
        <f aca="false">N16/G16-1</f>
        <v>-0.0741070951327196</v>
      </c>
      <c r="P16" s="16" t="n">
        <f aca="false">MAX(0,1-G16/H16)</f>
        <v>0.251939514923844</v>
      </c>
      <c r="Q16" s="17" t="n">
        <f aca="false">AVERAGEIFS(Pedidos!$W$2:$W$2224,Pedidos!$E$2:$E$2224,$B16)</f>
        <v>7</v>
      </c>
      <c r="R16" s="14" t="str">
        <f aca="false">IF(J16&lt;=0,"Muito bem",IF(J16&lt;=0.32,"Melhor posição relativa",IF(J16&lt;=0.45,"Intermediária","Precisa melhorar")))</f>
        <v>Intermediária</v>
      </c>
    </row>
    <row r="17" customFormat="false" ht="15" hidden="false" customHeight="false" outlineLevel="0" collapsed="false">
      <c r="A17" s="14" t="n">
        <v>14</v>
      </c>
      <c r="B17" s="14" t="s">
        <v>91</v>
      </c>
      <c r="C17" s="15" t="n">
        <f aca="false">COUNTIFS(Pedidos!$E$2:$E$2224,$B17)</f>
        <v>28</v>
      </c>
      <c r="D17" s="16" t="n">
        <f aca="false">C17/Resumo!$C$20</f>
        <v>0.01259559154296</v>
      </c>
      <c r="E17" s="17" t="n">
        <f aca="false">AVERAGEIFS(Pedidos!$G$2:$G$2224,Pedidos!$E$2:$E$2224,$B17)</f>
        <v>43.4321428571429</v>
      </c>
      <c r="F17" s="18" t="n">
        <f aca="false">AVERAGEIFS(Pedidos!$H$2:$H$2224,Pedidos!$E$2:$E$2224,$B17)</f>
        <v>539.813928571429</v>
      </c>
      <c r="G17" s="18" t="n">
        <f aca="false">AVERAGEIFS(Pedidos!$J$2:$J$2224,Pedidos!$E$2:$E$2224,$B17)</f>
        <v>127.592857142857</v>
      </c>
      <c r="H17" s="18" t="n">
        <f aca="false">AVERAGEIFS(Pedidos!$S$2:$S$2224,Pedidos!$E$2:$E$2224,$B17)</f>
        <v>182.076911525974</v>
      </c>
      <c r="I17" s="18" t="n">
        <f aca="false">H17-G17</f>
        <v>54.4840543831169</v>
      </c>
      <c r="J17" s="19" t="n">
        <f aca="false">H17/G17-1</f>
        <v>0.427014925468083</v>
      </c>
      <c r="K17" s="16" t="n">
        <f aca="false">SUMIFS(Pedidos!$J$2:$J$2224,Pedidos!$E$2:$E$2224,$B17)/SUMIFS(Pedidos!$H$2:$H$2224,Pedidos!$E$2:$E$2224,$B17)</f>
        <v>0.236364514492097</v>
      </c>
      <c r="L17" s="16" t="n">
        <f aca="false">SUMIFS(Pedidos!$S$2:$S$2224,Pedidos!$E$2:$E$2224,$B17)/SUMIFS(Pedidos!$H$2:$H$2224,Pedidos!$E$2:$E$2224,$B17)</f>
        <v>0.337295690031239</v>
      </c>
      <c r="M17" s="16" t="n">
        <f aca="false">COUNTIFS(Pedidos!$E$2:$E$2224,$B17,Pedidos!$V$2:$V$2224,"SIM")/C17</f>
        <v>0</v>
      </c>
      <c r="N17" s="18" t="n">
        <f aca="false">AVERAGEIFS(Pedidos!$K$2:$K$2224,Pedidos!$E$2:$E$2224,$B17)</f>
        <v>130.7775</v>
      </c>
      <c r="O17" s="19" t="n">
        <f aca="false">N17/G17-1</f>
        <v>0.0249594133124336</v>
      </c>
      <c r="P17" s="16" t="n">
        <f aca="false">MAX(0,1-G17/H17)</f>
        <v>0.299236481586214</v>
      </c>
      <c r="Q17" s="17" t="n">
        <f aca="false">AVERAGEIFS(Pedidos!$W$2:$W$2224,Pedidos!$E$2:$E$2224,$B17)</f>
        <v>10</v>
      </c>
      <c r="R17" s="14" t="str">
        <f aca="false">IF(J17&lt;=0,"Muito bem",IF(J17&lt;=0.32,"Melhor posição relativa",IF(J17&lt;=0.45,"Intermediária","Precisa melhorar")))</f>
        <v>Intermediária</v>
      </c>
    </row>
    <row r="18" customFormat="false" ht="15" hidden="false" customHeight="false" outlineLevel="0" collapsed="false">
      <c r="A18" s="14" t="n">
        <v>15</v>
      </c>
      <c r="B18" s="14" t="s">
        <v>92</v>
      </c>
      <c r="C18" s="15" t="n">
        <f aca="false">COUNTIFS(Pedidos!$E$2:$E$2224,$B18)</f>
        <v>28</v>
      </c>
      <c r="D18" s="16" t="n">
        <f aca="false">C18/Resumo!$C$20</f>
        <v>0.01259559154296</v>
      </c>
      <c r="E18" s="17" t="n">
        <f aca="false">AVERAGEIFS(Pedidos!$G$2:$G$2224,Pedidos!$E$2:$E$2224,$B18)</f>
        <v>47.2625</v>
      </c>
      <c r="F18" s="18" t="n">
        <f aca="false">AVERAGEIFS(Pedidos!$H$2:$H$2224,Pedidos!$E$2:$E$2224,$B18)</f>
        <v>582.559285714286</v>
      </c>
      <c r="G18" s="18" t="n">
        <f aca="false">AVERAGEIFS(Pedidos!$J$2:$J$2224,Pedidos!$E$2:$E$2224,$B18)</f>
        <v>134.354285714286</v>
      </c>
      <c r="H18" s="18" t="n">
        <f aca="false">AVERAGEIFS(Pedidos!$S$2:$S$2224,Pedidos!$E$2:$E$2224,$B18)</f>
        <v>192.934074675325</v>
      </c>
      <c r="I18" s="18" t="n">
        <f aca="false">H18-G18</f>
        <v>58.579788961039</v>
      </c>
      <c r="J18" s="19" t="n">
        <f aca="false">H18/G18-1</f>
        <v>0.436009827670203</v>
      </c>
      <c r="K18" s="16" t="n">
        <f aca="false">SUMIFS(Pedidos!$J$2:$J$2224,Pedidos!$E$2:$E$2224,$B18)/SUMIFS(Pedidos!$H$2:$H$2224,Pedidos!$E$2:$E$2224,$B18)</f>
        <v>0.230627661439731</v>
      </c>
      <c r="L18" s="16" t="n">
        <f aca="false">SUMIFS(Pedidos!$S$2:$S$2224,Pedidos!$E$2:$E$2224,$B18)/SUMIFS(Pedidos!$H$2:$H$2224,Pedidos!$E$2:$E$2224,$B18)</f>
        <v>0.33118358836005</v>
      </c>
      <c r="M18" s="16" t="n">
        <f aca="false">COUNTIFS(Pedidos!$E$2:$E$2224,$B18,Pedidos!$V$2:$V$2224,"SIM")/C18</f>
        <v>0</v>
      </c>
      <c r="N18" s="18" t="n">
        <f aca="false">AVERAGEIFS(Pedidos!$K$2:$K$2224,Pedidos!$E$2:$E$2224,$B18)</f>
        <v>138.181785714286</v>
      </c>
      <c r="O18" s="19" t="n">
        <f aca="false">N18/G18-1</f>
        <v>0.0284881124532155</v>
      </c>
      <c r="P18" s="16" t="n">
        <f aca="false">MAX(0,1-G18/H18)</f>
        <v>0.303625935748358</v>
      </c>
      <c r="Q18" s="17" t="n">
        <f aca="false">AVERAGEIFS(Pedidos!$W$2:$W$2224,Pedidos!$E$2:$E$2224,$B18)</f>
        <v>10</v>
      </c>
      <c r="R18" s="14" t="str">
        <f aca="false">IF(J18&lt;=0,"Muito bem",IF(J18&lt;=0.32,"Melhor posição relativa",IF(J18&lt;=0.45,"Intermediária","Precisa melhorar")))</f>
        <v>Intermediária</v>
      </c>
    </row>
    <row r="19" customFormat="false" ht="15" hidden="false" customHeight="false" outlineLevel="0" collapsed="false">
      <c r="A19" s="14" t="n">
        <v>16</v>
      </c>
      <c r="B19" s="14" t="s">
        <v>93</v>
      </c>
      <c r="C19" s="15" t="n">
        <f aca="false">COUNTIFS(Pedidos!$E$2:$E$2224,$B19)</f>
        <v>25</v>
      </c>
      <c r="D19" s="16" t="n">
        <f aca="false">C19/Resumo!$C$20</f>
        <v>0.0112460638776428</v>
      </c>
      <c r="E19" s="17" t="n">
        <f aca="false">AVERAGEIFS(Pedidos!$G$2:$G$2224,Pedidos!$E$2:$E$2224,$B19)</f>
        <v>49.9124</v>
      </c>
      <c r="F19" s="18" t="n">
        <f aca="false">AVERAGEIFS(Pedidos!$H$2:$H$2224,Pedidos!$E$2:$E$2224,$B19)</f>
        <v>689.1388</v>
      </c>
      <c r="G19" s="18" t="n">
        <f aca="false">AVERAGEIFS(Pedidos!$J$2:$J$2224,Pedidos!$E$2:$E$2224,$B19)</f>
        <v>137.4812</v>
      </c>
      <c r="H19" s="18" t="n">
        <f aca="false">AVERAGEIFS(Pedidos!$S$2:$S$2224,Pedidos!$E$2:$E$2224,$B19)</f>
        <v>181.009813636364</v>
      </c>
      <c r="I19" s="18" t="n">
        <f aca="false">H19-G19</f>
        <v>43.5286136363636</v>
      </c>
      <c r="J19" s="19" t="n">
        <f aca="false">H19/G19-1</f>
        <v>0.316615025446124</v>
      </c>
      <c r="K19" s="16" t="n">
        <f aca="false">SUMIFS(Pedidos!$J$2:$J$2224,Pedidos!$E$2:$E$2224,$B19)/SUMIFS(Pedidos!$H$2:$H$2224,Pedidos!$E$2:$E$2224,$B19)</f>
        <v>0.19949711146724</v>
      </c>
      <c r="L19" s="16" t="n">
        <f aca="false">SUMIFS(Pedidos!$S$2:$S$2224,Pedidos!$E$2:$E$2224,$B19)/SUMIFS(Pedidos!$H$2:$H$2224,Pedidos!$E$2:$E$2224,$B19)</f>
        <v>0.262660894490868</v>
      </c>
      <c r="M19" s="16" t="n">
        <f aca="false">COUNTIFS(Pedidos!$E$2:$E$2224,$B19,Pedidos!$V$2:$V$2224,"SIM")/C19</f>
        <v>0</v>
      </c>
      <c r="N19" s="18" t="n">
        <f aca="false">AVERAGEIFS(Pedidos!$K$2:$K$2224,Pedidos!$E$2:$E$2224,$B19)</f>
        <v>125.6572</v>
      </c>
      <c r="O19" s="19" t="n">
        <f aca="false">N19/G19-1</f>
        <v>-0.0860044864315994</v>
      </c>
      <c r="P19" s="16" t="n">
        <f aca="false">MAX(0,1-G19/H19)</f>
        <v>0.240476539707453</v>
      </c>
      <c r="Q19" s="17" t="n">
        <f aca="false">AVERAGEIFS(Pedidos!$W$2:$W$2224,Pedidos!$E$2:$E$2224,$B19)</f>
        <v>7</v>
      </c>
      <c r="R19" s="14" t="str">
        <f aca="false">IF(J19&lt;=0,"Muito bem",IF(J19&lt;=0.32,"Melhor posição relativa",IF(J19&lt;=0.45,"Intermediária","Precisa melhorar")))</f>
        <v>Melhor posição relativa</v>
      </c>
    </row>
    <row r="20" customFormat="false" ht="15" hidden="false" customHeight="false" outlineLevel="0" collapsed="false">
      <c r="A20" s="14" t="n">
        <v>17</v>
      </c>
      <c r="B20" s="14" t="s">
        <v>94</v>
      </c>
      <c r="C20" s="15" t="n">
        <f aca="false">COUNTIFS(Pedidos!$E$2:$E$2224,$B20)</f>
        <v>21</v>
      </c>
      <c r="D20" s="16" t="n">
        <f aca="false">C20/Resumo!$C$20</f>
        <v>0.00944669365721997</v>
      </c>
      <c r="E20" s="17" t="n">
        <f aca="false">AVERAGEIFS(Pedidos!$G$2:$G$2224,Pedidos!$E$2:$E$2224,$B20)</f>
        <v>51.26</v>
      </c>
      <c r="F20" s="18" t="n">
        <f aca="false">AVERAGEIFS(Pedidos!$H$2:$H$2224,Pedidos!$E$2:$E$2224,$B20)</f>
        <v>664.68</v>
      </c>
      <c r="G20" s="18" t="n">
        <f aca="false">AVERAGEIFS(Pedidos!$J$2:$J$2224,Pedidos!$E$2:$E$2224,$B20)</f>
        <v>124.67</v>
      </c>
      <c r="H20" s="18" t="n">
        <f aca="false">AVERAGEIFS(Pedidos!$S$2:$S$2224,Pedidos!$E$2:$E$2224,$B20)</f>
        <v>160.896390692641</v>
      </c>
      <c r="I20" s="18" t="n">
        <f aca="false">H20-G20</f>
        <v>36.2263906926407</v>
      </c>
      <c r="J20" s="19" t="n">
        <f aca="false">H20/G20-1</f>
        <v>0.29057825212674</v>
      </c>
      <c r="K20" s="16" t="n">
        <f aca="false">SUMIFS(Pedidos!$J$2:$J$2224,Pedidos!$E$2:$E$2224,$B20)/SUMIFS(Pedidos!$H$2:$H$2224,Pedidos!$E$2:$E$2224,$B20)</f>
        <v>0.187563940542818</v>
      </c>
      <c r="L20" s="16" t="n">
        <f aca="false">SUMIFS(Pedidos!$S$2:$S$2224,Pedidos!$E$2:$E$2224,$B20)/SUMIFS(Pedidos!$H$2:$H$2224,Pedidos!$E$2:$E$2224,$B20)</f>
        <v>0.242065942547753</v>
      </c>
      <c r="M20" s="16" t="n">
        <f aca="false">COUNTIFS(Pedidos!$E$2:$E$2224,$B20,Pedidos!$V$2:$V$2224,"SIM")/C20</f>
        <v>0.0476190476190476</v>
      </c>
      <c r="N20" s="18" t="n">
        <f aca="false">AVERAGEIFS(Pedidos!$K$2:$K$2224,Pedidos!$E$2:$E$2224,$B20)</f>
        <v>107.340476190476</v>
      </c>
      <c r="O20" s="19" t="n">
        <f aca="false">N20/G20-1</f>
        <v>-0.139003158815463</v>
      </c>
      <c r="P20" s="16" t="n">
        <f aca="false">MAX(0,1-G20/H20)</f>
        <v>0.225153532261912</v>
      </c>
      <c r="Q20" s="17" t="n">
        <f aca="false">AVERAGEIFS(Pedidos!$W$2:$W$2224,Pedidos!$E$2:$E$2224,$B20)</f>
        <v>5</v>
      </c>
      <c r="R20" s="14" t="str">
        <f aca="false">IF(J20&lt;=0,"Muito bem",IF(J20&lt;=0.32,"Melhor posição relativa",IF(J20&lt;=0.45,"Intermediária","Precisa melhorar")))</f>
        <v>Melhor posição relativa</v>
      </c>
    </row>
    <row r="21" customFormat="false" ht="15" hidden="false" customHeight="false" outlineLevel="0" collapsed="false">
      <c r="A21" s="14" t="n">
        <v>18</v>
      </c>
      <c r="B21" s="14" t="s">
        <v>95</v>
      </c>
      <c r="C21" s="15" t="n">
        <f aca="false">COUNTIFS(Pedidos!$E$2:$E$2224,$B21)</f>
        <v>20</v>
      </c>
      <c r="D21" s="16" t="n">
        <f aca="false">C21/Resumo!$C$20</f>
        <v>0.00899685110211426</v>
      </c>
      <c r="E21" s="17" t="n">
        <f aca="false">AVERAGEIFS(Pedidos!$G$2:$G$2224,Pedidos!$E$2:$E$2224,$B21)</f>
        <v>41.5975</v>
      </c>
      <c r="F21" s="18" t="n">
        <f aca="false">AVERAGEIFS(Pedidos!$H$2:$H$2224,Pedidos!$E$2:$E$2224,$B21)</f>
        <v>542.359</v>
      </c>
      <c r="G21" s="18" t="n">
        <f aca="false">AVERAGEIFS(Pedidos!$J$2:$J$2224,Pedidos!$E$2:$E$2224,$B21)</f>
        <v>124.39</v>
      </c>
      <c r="H21" s="18" t="n">
        <f aca="false">AVERAGEIFS(Pedidos!$S$2:$S$2224,Pedidos!$E$2:$E$2224,$B21)</f>
        <v>162.323392045455</v>
      </c>
      <c r="I21" s="18" t="n">
        <f aca="false">H21-G21</f>
        <v>37.9333920454546</v>
      </c>
      <c r="J21" s="19" t="n">
        <f aca="false">H21/G21-1</f>
        <v>0.304955318317024</v>
      </c>
      <c r="K21" s="16" t="n">
        <f aca="false">SUMIFS(Pedidos!$J$2:$J$2224,Pedidos!$E$2:$E$2224,$B21)/SUMIFS(Pedidos!$H$2:$H$2224,Pedidos!$E$2:$E$2224,$B21)</f>
        <v>0.229349932424833</v>
      </c>
      <c r="L21" s="16" t="n">
        <f aca="false">SUMIFS(Pedidos!$S$2:$S$2224,Pedidos!$E$2:$E$2224,$B21)/SUMIFS(Pedidos!$H$2:$H$2224,Pedidos!$E$2:$E$2224,$B21)</f>
        <v>0.299291414073436</v>
      </c>
      <c r="M21" s="16" t="n">
        <f aca="false">COUNTIFS(Pedidos!$E$2:$E$2224,$B21,Pedidos!$V$2:$V$2224,"SIM")/C21</f>
        <v>0</v>
      </c>
      <c r="N21" s="18" t="n">
        <f aca="false">AVERAGEIFS(Pedidos!$K$2:$K$2224,Pedidos!$E$2:$E$2224,$B21)</f>
        <v>114.323</v>
      </c>
      <c r="O21" s="19" t="n">
        <f aca="false">N21/G21-1</f>
        <v>-0.0809309430018491</v>
      </c>
      <c r="P21" s="16" t="n">
        <f aca="false">MAX(0,1-G21/H21)</f>
        <v>0.233690237540331</v>
      </c>
      <c r="Q21" s="17" t="n">
        <f aca="false">AVERAGEIFS(Pedidos!$W$2:$W$2224,Pedidos!$E$2:$E$2224,$B21)</f>
        <v>6</v>
      </c>
      <c r="R21" s="14" t="str">
        <f aca="false">IF(J21&lt;=0,"Muito bem",IF(J21&lt;=0.32,"Melhor posição relativa",IF(J21&lt;=0.45,"Intermediária","Precisa melhorar")))</f>
        <v>Melhor posição relativa</v>
      </c>
    </row>
    <row r="22" customFormat="false" ht="15" hidden="false" customHeight="false" outlineLevel="0" collapsed="false">
      <c r="A22" s="14" t="n">
        <v>19</v>
      </c>
      <c r="B22" s="14" t="s">
        <v>96</v>
      </c>
      <c r="C22" s="15" t="n">
        <f aca="false">COUNTIFS(Pedidos!$E$2:$E$2224,$B22)</f>
        <v>18</v>
      </c>
      <c r="D22" s="16" t="n">
        <f aca="false">C22/Resumo!$C$20</f>
        <v>0.00809716599190283</v>
      </c>
      <c r="E22" s="17" t="n">
        <f aca="false">AVERAGEIFS(Pedidos!$G$2:$G$2224,Pedidos!$E$2:$E$2224,$B22)</f>
        <v>57.6383333333333</v>
      </c>
      <c r="F22" s="18" t="n">
        <f aca="false">AVERAGEIFS(Pedidos!$H$2:$H$2224,Pedidos!$E$2:$E$2224,$B22)</f>
        <v>753.064444444445</v>
      </c>
      <c r="G22" s="18" t="n">
        <f aca="false">AVERAGEIFS(Pedidos!$J$2:$J$2224,Pedidos!$E$2:$E$2224,$B22)</f>
        <v>149.217777777778</v>
      </c>
      <c r="H22" s="18" t="n">
        <f aca="false">AVERAGEIFS(Pedidos!$S$2:$S$2224,Pedidos!$E$2:$E$2224,$B22)</f>
        <v>219.92966540404</v>
      </c>
      <c r="I22" s="18" t="n">
        <f aca="false">H22-G22</f>
        <v>70.7118876262626</v>
      </c>
      <c r="J22" s="19" t="n">
        <f aca="false">H22/G22-1</f>
        <v>0.47388380043811</v>
      </c>
      <c r="K22" s="16" t="n">
        <f aca="false">SUMIFS(Pedidos!$J$2:$J$2224,Pedidos!$E$2:$E$2224,$B22)/SUMIFS(Pedidos!$H$2:$H$2224,Pedidos!$E$2:$E$2224,$B22)</f>
        <v>0.198147421350984</v>
      </c>
      <c r="L22" s="16" t="n">
        <f aca="false">SUMIFS(Pedidos!$S$2:$S$2224,Pedidos!$E$2:$E$2224,$B22)/SUMIFS(Pedidos!$H$2:$H$2224,Pedidos!$E$2:$E$2224,$B22)</f>
        <v>0.292046274427799</v>
      </c>
      <c r="M22" s="16" t="n">
        <f aca="false">COUNTIFS(Pedidos!$E$2:$E$2224,$B22,Pedidos!$V$2:$V$2224,"SIM")/C22</f>
        <v>0</v>
      </c>
      <c r="N22" s="18" t="n">
        <f aca="false">AVERAGEIFS(Pedidos!$K$2:$K$2224,Pedidos!$E$2:$E$2224,$B22)</f>
        <v>155.420555555556</v>
      </c>
      <c r="O22" s="19" t="n">
        <f aca="false">N22/G22-1</f>
        <v>0.0415686245308871</v>
      </c>
      <c r="P22" s="16" t="n">
        <f aca="false">MAX(0,1-G22/H22)</f>
        <v>0.321520461991134</v>
      </c>
      <c r="Q22" s="17" t="n">
        <f aca="false">AVERAGEIFS(Pedidos!$W$2:$W$2224,Pedidos!$E$2:$E$2224,$B22)</f>
        <v>10</v>
      </c>
      <c r="R22" s="14" t="str">
        <f aca="false">IF(J22&lt;=0,"Muito bem",IF(J22&lt;=0.32,"Melhor posição relativa",IF(J22&lt;=0.45,"Intermediária","Precisa melhorar")))</f>
        <v>Precisa melhorar</v>
      </c>
    </row>
    <row r="23" customFormat="false" ht="15" hidden="false" customHeight="false" outlineLevel="0" collapsed="false">
      <c r="A23" s="14" t="n">
        <v>20</v>
      </c>
      <c r="B23" s="14" t="s">
        <v>97</v>
      </c>
      <c r="C23" s="15" t="n">
        <f aca="false">COUNTIFS(Pedidos!$E$2:$E$2224,$B23)</f>
        <v>18</v>
      </c>
      <c r="D23" s="16" t="n">
        <f aca="false">C23/Resumo!$C$20</f>
        <v>0.00809716599190283</v>
      </c>
      <c r="E23" s="17" t="n">
        <f aca="false">AVERAGEIFS(Pedidos!$G$2:$G$2224,Pedidos!$E$2:$E$2224,$B23)</f>
        <v>47.4388888888889</v>
      </c>
      <c r="F23" s="18" t="n">
        <f aca="false">AVERAGEIFS(Pedidos!$H$2:$H$2224,Pedidos!$E$2:$E$2224,$B23)</f>
        <v>604.150555555556</v>
      </c>
      <c r="G23" s="18" t="n">
        <f aca="false">AVERAGEIFS(Pedidos!$J$2:$J$2224,Pedidos!$E$2:$E$2224,$B23)</f>
        <v>132.505555555556</v>
      </c>
      <c r="H23" s="18" t="n">
        <f aca="false">AVERAGEIFS(Pedidos!$S$2:$S$2224,Pedidos!$E$2:$E$2224,$B23)</f>
        <v>190.529962121212</v>
      </c>
      <c r="I23" s="18" t="n">
        <f aca="false">H23-G23</f>
        <v>58.0244065656566</v>
      </c>
      <c r="J23" s="19" t="n">
        <f aca="false">H23/G23-1</f>
        <v>0.43790168889431</v>
      </c>
      <c r="K23" s="16" t="n">
        <f aca="false">SUMIFS(Pedidos!$J$2:$J$2224,Pedidos!$E$2:$E$2224,$B23)/SUMIFS(Pedidos!$H$2:$H$2224,Pedidos!$E$2:$E$2224,$B23)</f>
        <v>0.219325388906923</v>
      </c>
      <c r="L23" s="16" t="n">
        <f aca="false">SUMIFS(Pedidos!$S$2:$S$2224,Pedidos!$E$2:$E$2224,$B23)/SUMIFS(Pedidos!$H$2:$H$2224,Pedidos!$E$2:$E$2224,$B23)</f>
        <v>0.315368347126665</v>
      </c>
      <c r="M23" s="16" t="n">
        <f aca="false">COUNTIFS(Pedidos!$E$2:$E$2224,$B23,Pedidos!$V$2:$V$2224,"SIM")/C23</f>
        <v>0</v>
      </c>
      <c r="N23" s="18" t="n">
        <f aca="false">AVERAGEIFS(Pedidos!$K$2:$K$2224,Pedidos!$E$2:$E$2224,$B23)</f>
        <v>136.043888888889</v>
      </c>
      <c r="O23" s="19" t="n">
        <f aca="false">N23/G23-1</f>
        <v>0.0267032828812208</v>
      </c>
      <c r="P23" s="16" t="n">
        <f aca="false">MAX(0,1-G23/H23)</f>
        <v>0.30454216187133</v>
      </c>
      <c r="Q23" s="17" t="n">
        <f aca="false">AVERAGEIFS(Pedidos!$W$2:$W$2224,Pedidos!$E$2:$E$2224,$B23)</f>
        <v>10</v>
      </c>
      <c r="R23" s="14" t="str">
        <f aca="false">IF(J23&lt;=0,"Muito bem",IF(J23&lt;=0.32,"Melhor posição relativa",IF(J23&lt;=0.45,"Intermediária","Precisa melhorar")))</f>
        <v>Intermediária</v>
      </c>
    </row>
    <row r="24" customFormat="false" ht="15" hidden="false" customHeight="false" outlineLevel="0" collapsed="false">
      <c r="A24" s="14"/>
      <c r="B24" s="20" t="s">
        <v>98</v>
      </c>
      <c r="C24" s="21" t="n">
        <f aca="false">SUM(C4:C23)</f>
        <v>1912</v>
      </c>
      <c r="D24" s="22" t="n">
        <f aca="false">C24/Resumo!$C$20</f>
        <v>0.860098965362123</v>
      </c>
      <c r="E24" s="23" t="n">
        <f aca="false">AVERAGEIFS(Pedidos!$G$2:$G$2224,Pedidos!$X$2:$X$2224,"SIM")</f>
        <v>49.454440376569</v>
      </c>
      <c r="F24" s="24" t="n">
        <f aca="false">AVERAGEIFS(Pedidos!$H$2:$H$2224,Pedidos!$X$2:$X$2224,"SIM")</f>
        <v>636.045360878661</v>
      </c>
      <c r="G24" s="24" t="n">
        <f aca="false">AVERAGEIFS(Pedidos!$J$2:$J$2224,Pedidos!$X$2:$X$2224,"SIM")</f>
        <v>118.418546025105</v>
      </c>
      <c r="H24" s="24" t="n">
        <f aca="false">AVERAGEIFS(Pedidos!$S$2:$S$2224,Pedidos!$X$2:$X$2224,"SIM")</f>
        <v>169.566350145017</v>
      </c>
      <c r="I24" s="24" t="n">
        <f aca="false">H24-G24</f>
        <v>51.1478041199125</v>
      </c>
      <c r="J24" s="25" t="n">
        <f aca="false">H24/G24-1</f>
        <v>0.43192393283624</v>
      </c>
      <c r="K24" s="22" t="n">
        <f aca="false">SUMIFS(Pedidos!$J$2:$J$2224,Pedidos!$X$2:$X$2224,"SIM")/SUMIFS(Pedidos!$H$2:$H$2224,Pedidos!$X$2:$X$2224,"SIM")</f>
        <v>0.186179403716609</v>
      </c>
      <c r="L24" s="22" t="n">
        <f aca="false">SUMIFS(Pedidos!$S$2:$S$2224,Pedidos!$X$2:$X$2224,"SIM")/SUMIFS(Pedidos!$H$2:$H$2224,Pedidos!$X$2:$X$2224,"SIM")</f>
        <v>0.266594743982993</v>
      </c>
      <c r="M24" s="22" t="n">
        <f aca="false">COUNTIFS(Pedidos!$X$2:$X$2224,"SIM",Pedidos!$V$2:$V$2224,"SIM")/C24</f>
        <v>0.00732217573221757</v>
      </c>
      <c r="N24" s="24" t="n">
        <f aca="false">AVERAGEIFS(Pedidos!$K$2:$K$2224,Pedidos!$X$2:$X$2224,"SIM")</f>
        <v>116.086234309623</v>
      </c>
      <c r="O24" s="25" t="n">
        <f aca="false">N24/G24-1</f>
        <v>-0.0196954936010337</v>
      </c>
      <c r="P24" s="22" t="n">
        <f aca="false">MAX(0,1-G24/H24)</f>
        <v>0.301638881040783</v>
      </c>
      <c r="Q24" s="23" t="n">
        <f aca="false">AVERAGEIFS(Pedidos!$W$2:$W$2224,Pedidos!$X$2:$X$2224,"SIM")</f>
        <v>6.06903765690377</v>
      </c>
      <c r="R24" s="14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9" t="s">
        <v>99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9" t="s">
        <v>100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</sheetData>
  <conditionalFormatting sqref="J4:J2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4:O23">
    <cfRule type="colorScale" priority="3">
      <colorScale>
        <cfvo type="min" val="0"/>
        <cfvo type="num" val="0"/>
        <cfvo type="max" val="0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9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17.35" hidden="false" customHeight="false" outlineLevel="0" collapsed="false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45" hidden="false" customHeight="true" outlineLevel="0" collapsed="false">
      <c r="A4" s="4" t="s">
        <v>103</v>
      </c>
      <c r="B4" s="4" t="s">
        <v>31</v>
      </c>
      <c r="C4" s="4" t="s">
        <v>104</v>
      </c>
      <c r="D4" s="4" t="s">
        <v>67</v>
      </c>
      <c r="E4" s="4" t="s">
        <v>68</v>
      </c>
      <c r="F4" s="4" t="s">
        <v>70</v>
      </c>
      <c r="G4" s="4" t="s">
        <v>71</v>
      </c>
      <c r="H4" s="4" t="s">
        <v>72</v>
      </c>
      <c r="I4" s="4" t="s">
        <v>55</v>
      </c>
      <c r="J4" s="4" t="s">
        <v>73</v>
      </c>
      <c r="K4" s="4" t="s">
        <v>75</v>
      </c>
    </row>
    <row r="5" customFormat="false" ht="15" hidden="false" customHeight="false" outlineLevel="0" collapsed="false">
      <c r="A5" s="14" t="s">
        <v>105</v>
      </c>
      <c r="B5" s="15" t="n">
        <f aca="false">COUNTIFS(Pedidos!$X$2:$X$2224,"SIM",Pedidos!$F$2:$F$2224,$A5)</f>
        <v>96</v>
      </c>
      <c r="C5" s="17" t="n">
        <f aca="false">IFERROR(AVERAGEIFS(Pedidos!$G$2:$G$2224,Pedidos!$X$2:$X$2224,"SIM",Pedidos!$F$2:$F$2224,$A5),"")</f>
        <v>17.5034375</v>
      </c>
      <c r="D5" s="18" t="n">
        <f aca="false">IFERROR(AVERAGEIFS(Pedidos!$J$2:$J$2224,Pedidos!$X$2:$X$2224,"SIM",Pedidos!$F$2:$F$2224,$A5),"")</f>
        <v>69.1420833333333</v>
      </c>
      <c r="E5" s="18" t="n">
        <f aca="false">IFERROR(AVERAGEIFS(Pedidos!$S$2:$S$2224,Pedidos!$X$2:$X$2224,"SIM",Pedidos!$F$2:$F$2224,$A5),"")</f>
        <v>76.0752485795455</v>
      </c>
      <c r="F5" s="19" t="n">
        <f aca="false">IFERROR(E5/D5-1,"")</f>
        <v>0.100274173295985</v>
      </c>
      <c r="G5" s="16" t="n">
        <f aca="false">IFERROR(SUMIFS(Pedidos!$J$2:$J$2224,Pedidos!$X$2:$X$2224,"SIM",Pedidos!$F$2:$F$2224,$A5)/SUMIFS(Pedidos!$H$2:$H$2224,Pedidos!$X$2:$X$2224,"SIM",Pedidos!$F$2:$F$2224,$A5),"")</f>
        <v>0.223352317178838</v>
      </c>
      <c r="H5" s="16" t="n">
        <f aca="false">IFERROR(SUMIFS(Pedidos!$S$2:$S$2224,Pedidos!$X$2:$X$2224,"SIM",Pedidos!$F$2:$F$2224,$A5)/SUMIFS(Pedidos!$H$2:$H$2224,Pedidos!$X$2:$X$2224,"SIM",Pedidos!$F$2:$F$2224,$A5),"")</f>
        <v>0.245748786137689</v>
      </c>
      <c r="I5" s="16" t="n">
        <f aca="false">IFERROR(COUNTIFS(Pedidos!$X$2:$X$2224,"SIM",Pedidos!$F$2:$F$2224,$A5,Pedidos!$V$2:$V$2224,"SIM")/B5,"")</f>
        <v>0.145833333333333</v>
      </c>
      <c r="J5" s="18" t="n">
        <f aca="false">IFERROR(AVERAGEIFS(Pedidos!$K$2:$K$2224,Pedidos!$X$2:$X$2224,"SIM",Pedidos!$F$2:$F$2224,$A5),"")</f>
        <v>51.369375</v>
      </c>
      <c r="K5" s="16" t="n">
        <f aca="false">IFERROR(MAX(0,1-D5/E5),"")</f>
        <v>0.0911356239468965</v>
      </c>
    </row>
    <row r="6" customFormat="false" ht="15" hidden="false" customHeight="false" outlineLevel="0" collapsed="false">
      <c r="A6" s="14" t="s">
        <v>106</v>
      </c>
      <c r="B6" s="15" t="n">
        <f aca="false">COUNTIFS(Pedidos!$X$2:$X$2224,"SIM",Pedidos!$F$2:$F$2224,$A6)</f>
        <v>431</v>
      </c>
      <c r="C6" s="17" t="n">
        <f aca="false">IFERROR(AVERAGEIFS(Pedidos!$G$2:$G$2224,Pedidos!$X$2:$X$2224,"SIM",Pedidos!$F$2:$F$2224,$A6),"")</f>
        <v>28.2632018561485</v>
      </c>
      <c r="D6" s="18" t="n">
        <f aca="false">IFERROR(AVERAGEIFS(Pedidos!$J$2:$J$2224,Pedidos!$X$2:$X$2224,"SIM",Pedidos!$F$2:$F$2224,$A6),"")</f>
        <v>90.9537587006961</v>
      </c>
      <c r="E6" s="18" t="n">
        <f aca="false">IFERROR(AVERAGEIFS(Pedidos!$S$2:$S$2224,Pedidos!$X$2:$X$2224,"SIM",Pedidos!$F$2:$F$2224,$A6),"")</f>
        <v>127.444572611263</v>
      </c>
      <c r="F6" s="19" t="n">
        <f aca="false">IFERROR(E6/D6-1,"")</f>
        <v>0.401201824222006</v>
      </c>
      <c r="G6" s="16" t="n">
        <f aca="false">IFERROR(SUMIFS(Pedidos!$J$2:$J$2224,Pedidos!$X$2:$X$2224,"SIM",Pedidos!$F$2:$F$2224,$A6)/SUMIFS(Pedidos!$H$2:$H$2224,Pedidos!$X$2:$X$2224,"SIM",Pedidos!$F$2:$F$2224,$A6),"")</f>
        <v>0.210578192720092</v>
      </c>
      <c r="H6" s="16" t="n">
        <f aca="false">IFERROR(SUMIFS(Pedidos!$S$2:$S$2224,Pedidos!$X$2:$X$2224,"SIM",Pedidos!$F$2:$F$2224,$A6)/SUMIFS(Pedidos!$H$2:$H$2224,Pedidos!$X$2:$X$2224,"SIM",Pedidos!$F$2:$F$2224,$A6),"")</f>
        <v>0.295062547780765</v>
      </c>
      <c r="I6" s="16" t="n">
        <f aca="false">IFERROR(COUNTIFS(Pedidos!$X$2:$X$2224,"SIM",Pedidos!$F$2:$F$2224,$A6,Pedidos!$V$2:$V$2224,"SIM")/B6,"")</f>
        <v>0</v>
      </c>
      <c r="J6" s="18" t="n">
        <f aca="false">IFERROR(AVERAGEIFS(Pedidos!$K$2:$K$2224,Pedidos!$X$2:$X$2224,"SIM",Pedidos!$F$2:$F$2224,$A6),"")</f>
        <v>90.7630394431554</v>
      </c>
      <c r="K6" s="16" t="n">
        <f aca="false">IFERROR(MAX(0,1-D6/E6),"")</f>
        <v>0.286326935411154</v>
      </c>
    </row>
    <row r="7" customFormat="false" ht="15" hidden="false" customHeight="false" outlineLevel="0" collapsed="false">
      <c r="A7" s="14" t="s">
        <v>107</v>
      </c>
      <c r="B7" s="15" t="n">
        <f aca="false">COUNTIFS(Pedidos!$X$2:$X$2224,"SIM",Pedidos!$F$2:$F$2224,$A7)</f>
        <v>299</v>
      </c>
      <c r="C7" s="17" t="n">
        <f aca="false">IFERROR(AVERAGEIFS(Pedidos!$G$2:$G$2224,Pedidos!$X$2:$X$2224,"SIM",Pedidos!$F$2:$F$2224,$A7),"")</f>
        <v>37.7080267558528</v>
      </c>
      <c r="D7" s="18" t="n">
        <f aca="false">IFERROR(AVERAGEIFS(Pedidos!$J$2:$J$2224,Pedidos!$X$2:$X$2224,"SIM",Pedidos!$F$2:$F$2224,$A7),"")</f>
        <v>103.903110367893</v>
      </c>
      <c r="E7" s="18" t="n">
        <f aca="false">IFERROR(AVERAGEIFS(Pedidos!$S$2:$S$2224,Pedidos!$X$2:$X$2224,"SIM",Pedidos!$F$2:$F$2224,$A7),"")</f>
        <v>146.773686910915</v>
      </c>
      <c r="F7" s="19" t="n">
        <f aca="false">IFERROR(E7/D7-1,"")</f>
        <v>0.412601474500898</v>
      </c>
      <c r="G7" s="16" t="n">
        <f aca="false">IFERROR(SUMIFS(Pedidos!$J$2:$J$2224,Pedidos!$X$2:$X$2224,"SIM",Pedidos!$F$2:$F$2224,$A7)/SUMIFS(Pedidos!$H$2:$H$2224,Pedidos!$X$2:$X$2224,"SIM",Pedidos!$F$2:$F$2224,$A7),"")</f>
        <v>0.223014064437629</v>
      </c>
      <c r="H7" s="16" t="n">
        <f aca="false">IFERROR(SUMIFS(Pedidos!$S$2:$S$2224,Pedidos!$X$2:$X$2224,"SIM",Pedidos!$F$2:$F$2224,$A7)/SUMIFS(Pedidos!$H$2:$H$2224,Pedidos!$X$2:$X$2224,"SIM",Pedidos!$F$2:$F$2224,$A7),"")</f>
        <v>0.315029996259033</v>
      </c>
      <c r="I7" s="16" t="n">
        <f aca="false">IFERROR(COUNTIFS(Pedidos!$X$2:$X$2224,"SIM",Pedidos!$F$2:$F$2224,$A7,Pedidos!$V$2:$V$2224,"SIM")/B7,"")</f>
        <v>0</v>
      </c>
      <c r="J7" s="18" t="n">
        <f aca="false">IFERROR(AVERAGEIFS(Pedidos!$K$2:$K$2224,Pedidos!$X$2:$X$2224,"SIM",Pedidos!$F$2:$F$2224,$A7),"")</f>
        <v>102.850702341137</v>
      </c>
      <c r="K7" s="16" t="n">
        <f aca="false">IFERROR(MAX(0,1-D7/E7),"")</f>
        <v>0.292086255004568</v>
      </c>
    </row>
    <row r="8" customFormat="false" ht="15" hidden="false" customHeight="false" outlineLevel="0" collapsed="false">
      <c r="A8" s="14" t="s">
        <v>108</v>
      </c>
      <c r="B8" s="15" t="n">
        <f aca="false">COUNTIFS(Pedidos!$X$2:$X$2224,"SIM",Pedidos!$F$2:$F$2224,$A8)</f>
        <v>305</v>
      </c>
      <c r="C8" s="17" t="n">
        <f aca="false">IFERROR(AVERAGEIFS(Pedidos!$G$2:$G$2224,Pedidos!$X$2:$X$2224,"SIM",Pedidos!$F$2:$F$2224,$A8),"")</f>
        <v>45.8452459016393</v>
      </c>
      <c r="D8" s="18" t="n">
        <f aca="false">IFERROR(AVERAGEIFS(Pedidos!$J$2:$J$2224,Pedidos!$X$2:$X$2224,"SIM",Pedidos!$F$2:$F$2224,$A8),"")</f>
        <v>113.342721311475</v>
      </c>
      <c r="E8" s="18" t="n">
        <f aca="false">IFERROR(AVERAGEIFS(Pedidos!$S$2:$S$2224,Pedidos!$X$2:$X$2224,"SIM",Pedidos!$F$2:$F$2224,$A8),"")</f>
        <v>153.471482116244</v>
      </c>
      <c r="F8" s="19" t="n">
        <f aca="false">IFERROR(E8/D8-1,"")</f>
        <v>0.354047973618807</v>
      </c>
      <c r="G8" s="16" t="n">
        <f aca="false">IFERROR(SUMIFS(Pedidos!$J$2:$J$2224,Pedidos!$X$2:$X$2224,"SIM",Pedidos!$F$2:$F$2224,$A8)/SUMIFS(Pedidos!$H$2:$H$2224,Pedidos!$X$2:$X$2224,"SIM",Pedidos!$F$2:$F$2224,$A8),"")</f>
        <v>0.187704702444093</v>
      </c>
      <c r="H8" s="16" t="n">
        <f aca="false">IFERROR(SUMIFS(Pedidos!$S$2:$S$2224,Pedidos!$X$2:$X$2224,"SIM",Pedidos!$F$2:$F$2224,$A8)/SUMIFS(Pedidos!$H$2:$H$2224,Pedidos!$X$2:$X$2224,"SIM",Pedidos!$F$2:$F$2224,$A8),"")</f>
        <v>0.254161171983145</v>
      </c>
      <c r="I8" s="16" t="n">
        <f aca="false">IFERROR(COUNTIFS(Pedidos!$X$2:$X$2224,"SIM",Pedidos!$F$2:$F$2224,$A8,Pedidos!$V$2:$V$2224,"SIM")/B8,"")</f>
        <v>0</v>
      </c>
      <c r="J8" s="18" t="n">
        <f aca="false">IFERROR(AVERAGEIFS(Pedidos!$K$2:$K$2224,Pedidos!$X$2:$X$2224,"SIM",Pedidos!$F$2:$F$2224,$A8),"")</f>
        <v>104.183049180328</v>
      </c>
      <c r="K8" s="16" t="n">
        <f aca="false">IFERROR(MAX(0,1-D8/E8),"")</f>
        <v>0.261473729525686</v>
      </c>
    </row>
    <row r="9" customFormat="false" ht="15" hidden="false" customHeight="false" outlineLevel="0" collapsed="false">
      <c r="A9" s="14" t="s">
        <v>109</v>
      </c>
      <c r="B9" s="15" t="n">
        <f aca="false">COUNTIFS(Pedidos!$X$2:$X$2224,"SIM",Pedidos!$F$2:$F$2224,$A9)</f>
        <v>361</v>
      </c>
      <c r="C9" s="17" t="n">
        <f aca="false">IFERROR(AVERAGEIFS(Pedidos!$G$2:$G$2224,Pedidos!$X$2:$X$2224,"SIM",Pedidos!$F$2:$F$2224,$A9),"")</f>
        <v>53.7523822714681</v>
      </c>
      <c r="D9" s="18" t="n">
        <f aca="false">IFERROR(AVERAGEIFS(Pedidos!$J$2:$J$2224,Pedidos!$X$2:$X$2224,"SIM",Pedidos!$F$2:$F$2224,$A9),"")</f>
        <v>124.191606648199</v>
      </c>
      <c r="E9" s="18" t="n">
        <f aca="false">IFERROR(AVERAGEIFS(Pedidos!$S$2:$S$2224,Pedidos!$X$2:$X$2224,"SIM",Pedidos!$F$2:$F$2224,$A9),"")</f>
        <v>176.449819000252</v>
      </c>
      <c r="F9" s="19" t="n">
        <f aca="false">IFERROR(E9/D9-1,"")</f>
        <v>0.42078699005872</v>
      </c>
      <c r="G9" s="16" t="n">
        <f aca="false">IFERROR(SUMIFS(Pedidos!$J$2:$J$2224,Pedidos!$X$2:$X$2224,"SIM",Pedidos!$F$2:$F$2224,$A9)/SUMIFS(Pedidos!$H$2:$H$2224,Pedidos!$X$2:$X$2224,"SIM",Pedidos!$F$2:$F$2224,$A9),"")</f>
        <v>0.178231962177264</v>
      </c>
      <c r="H9" s="16" t="n">
        <f aca="false">IFERROR(SUMIFS(Pedidos!$S$2:$S$2224,Pedidos!$X$2:$X$2224,"SIM",Pedidos!$F$2:$F$2224,$A9)/SUMIFS(Pedidos!$H$2:$H$2224,Pedidos!$X$2:$X$2224,"SIM",Pedidos!$F$2:$F$2224,$A9),"")</f>
        <v>0.253229653074095</v>
      </c>
      <c r="I9" s="16" t="n">
        <f aca="false">IFERROR(COUNTIFS(Pedidos!$X$2:$X$2224,"SIM",Pedidos!$F$2:$F$2224,$A9,Pedidos!$V$2:$V$2224,"SIM")/B9,"")</f>
        <v>0</v>
      </c>
      <c r="J9" s="18" t="n">
        <f aca="false">IFERROR(AVERAGEIFS(Pedidos!$K$2:$K$2224,Pedidos!$X$2:$X$2224,"SIM",Pedidos!$F$2:$F$2224,$A9),"")</f>
        <v>119.98296398892</v>
      </c>
      <c r="K9" s="16" t="n">
        <f aca="false">IFERROR(MAX(0,1-D9/E9),"")</f>
        <v>0.296164726312232</v>
      </c>
    </row>
    <row r="10" customFormat="false" ht="15" hidden="false" customHeight="false" outlineLevel="0" collapsed="false">
      <c r="A10" s="14" t="s">
        <v>110</v>
      </c>
      <c r="B10" s="15" t="n">
        <f aca="false">COUNTIFS(Pedidos!$X$2:$X$2224,"SIM",Pedidos!$F$2:$F$2224,$A10)</f>
        <v>228</v>
      </c>
      <c r="C10" s="17" t="n">
        <f aca="false">IFERROR(AVERAGEIFS(Pedidos!$G$2:$G$2224,Pedidos!$X$2:$X$2224,"SIM",Pedidos!$F$2:$F$2224,$A10),"")</f>
        <v>66.0080263157895</v>
      </c>
      <c r="D10" s="18" t="n">
        <f aca="false">IFERROR(AVERAGEIFS(Pedidos!$J$2:$J$2224,Pedidos!$X$2:$X$2224,"SIM",Pedidos!$F$2:$F$2224,$A10),"")</f>
        <v>135.942894736842</v>
      </c>
      <c r="E10" s="18" t="n">
        <f aca="false">IFERROR(AVERAGEIFS(Pedidos!$S$2:$S$2224,Pedidos!$X$2:$X$2224,"SIM",Pedidos!$F$2:$F$2224,$A10),"")</f>
        <v>206.197432216906</v>
      </c>
      <c r="F10" s="19" t="n">
        <f aca="false">IFERROR(E10/D10-1,"")</f>
        <v>0.5167944791529</v>
      </c>
      <c r="G10" s="16" t="n">
        <f aca="false">IFERROR(SUMIFS(Pedidos!$J$2:$J$2224,Pedidos!$X$2:$X$2224,"SIM",Pedidos!$F$2:$F$2224,$A10)/SUMIFS(Pedidos!$H$2:$H$2224,Pedidos!$X$2:$X$2224,"SIM",Pedidos!$F$2:$F$2224,$A10),"")</f>
        <v>0.178738939025272</v>
      </c>
      <c r="H10" s="16" t="n">
        <f aca="false">IFERROR(SUMIFS(Pedidos!$S$2:$S$2224,Pedidos!$X$2:$X$2224,"SIM",Pedidos!$F$2:$F$2224,$A10)/SUMIFS(Pedidos!$H$2:$H$2224,Pedidos!$X$2:$X$2224,"SIM",Pedidos!$F$2:$F$2224,$A10),"")</f>
        <v>0.27111023592318</v>
      </c>
      <c r="I10" s="16" t="n">
        <f aca="false">IFERROR(COUNTIFS(Pedidos!$X$2:$X$2224,"SIM",Pedidos!$F$2:$F$2224,$A10,Pedidos!$V$2:$V$2224,"SIM")/B10,"")</f>
        <v>0</v>
      </c>
      <c r="J10" s="18" t="n">
        <f aca="false">IFERROR(AVERAGEIFS(Pedidos!$K$2:$K$2224,Pedidos!$X$2:$X$2224,"SIM",Pedidos!$F$2:$F$2224,$A10),"")</f>
        <v>139.837543859649</v>
      </c>
      <c r="K10" s="16" t="n">
        <f aca="false">IFERROR(MAX(0,1-D10/E10),"")</f>
        <v>0.340714899912821</v>
      </c>
    </row>
    <row r="11" customFormat="false" ht="15" hidden="false" customHeight="false" outlineLevel="0" collapsed="false">
      <c r="A11" s="14" t="s">
        <v>111</v>
      </c>
      <c r="B11" s="15" t="n">
        <f aca="false">COUNTIFS(Pedidos!$X$2:$X$2224,"SIM",Pedidos!$F$2:$F$2224,$A11)</f>
        <v>24</v>
      </c>
      <c r="C11" s="17" t="n">
        <f aca="false">IFERROR(AVERAGEIFS(Pedidos!$G$2:$G$2224,Pedidos!$X$2:$X$2224,"SIM",Pedidos!$F$2:$F$2224,$A11),"")</f>
        <v>74.3625</v>
      </c>
      <c r="D11" s="18" t="n">
        <f aca="false">IFERROR(AVERAGEIFS(Pedidos!$J$2:$J$2224,Pedidos!$X$2:$X$2224,"SIM",Pedidos!$F$2:$F$2224,$A11),"")</f>
        <v>148.413333333333</v>
      </c>
      <c r="E11" s="18" t="n">
        <f aca="false">IFERROR(AVERAGEIFS(Pedidos!$S$2:$S$2224,Pedidos!$X$2:$X$2224,"SIM",Pedidos!$F$2:$F$2224,$A11),"")</f>
        <v>211.160894886364</v>
      </c>
      <c r="F11" s="19" t="n">
        <f aca="false">IFERROR(E11/D11-1,"")</f>
        <v>0.422789247729519</v>
      </c>
      <c r="G11" s="16" t="n">
        <f aca="false">IFERROR(SUMIFS(Pedidos!$J$2:$J$2224,Pedidos!$X$2:$X$2224,"SIM",Pedidos!$F$2:$F$2224,$A11)/SUMIFS(Pedidos!$H$2:$H$2224,Pedidos!$X$2:$X$2224,"SIM",Pedidos!$F$2:$F$2224,$A11),"")</f>
        <v>0.154312440756035</v>
      </c>
      <c r="H11" s="16" t="n">
        <f aca="false">IFERROR(SUMIFS(Pedidos!$S$2:$S$2224,Pedidos!$X$2:$X$2224,"SIM",Pedidos!$F$2:$F$2224,$A11)/SUMIFS(Pedidos!$H$2:$H$2224,Pedidos!$X$2:$X$2224,"SIM",Pedidos!$F$2:$F$2224,$A11),"")</f>
        <v>0.219554081498585</v>
      </c>
      <c r="I11" s="16" t="n">
        <f aca="false">IFERROR(COUNTIFS(Pedidos!$X$2:$X$2224,"SIM",Pedidos!$F$2:$F$2224,$A11,Pedidos!$V$2:$V$2224,"SIM")/B11,"")</f>
        <v>0</v>
      </c>
      <c r="J11" s="18" t="n">
        <f aca="false">IFERROR(AVERAGEIFS(Pedidos!$K$2:$K$2224,Pedidos!$X$2:$X$2224,"SIM",Pedidos!$F$2:$F$2224,$A11),"")</f>
        <v>139.39875</v>
      </c>
      <c r="K11" s="16" t="n">
        <f aca="false">IFERROR(MAX(0,1-D11/E11),"")</f>
        <v>0.297155217052845</v>
      </c>
    </row>
    <row r="12" customFormat="false" ht="15" hidden="false" customHeight="false" outlineLevel="0" collapsed="false">
      <c r="A12" s="14" t="s">
        <v>112</v>
      </c>
      <c r="B12" s="15" t="n">
        <f aca="false">COUNTIFS(Pedidos!$X$2:$X$2224,"SIM",Pedidos!$F$2:$F$2224,$A12)</f>
        <v>43</v>
      </c>
      <c r="C12" s="17" t="n">
        <f aca="false">IFERROR(AVERAGEIFS(Pedidos!$G$2:$G$2224,Pedidos!$X$2:$X$2224,"SIM",Pedidos!$F$2:$F$2224,$A12),"")</f>
        <v>87.4767441860465</v>
      </c>
      <c r="D12" s="18" t="n">
        <f aca="false">IFERROR(AVERAGEIFS(Pedidos!$J$2:$J$2224,Pedidos!$X$2:$X$2224,"SIM",Pedidos!$F$2:$F$2224,$A12),"")</f>
        <v>174.623720930233</v>
      </c>
      <c r="E12" s="18" t="n">
        <f aca="false">IFERROR(AVERAGEIFS(Pedidos!$S$2:$S$2224,Pedidos!$X$2:$X$2224,"SIM",Pedidos!$F$2:$F$2224,$A12),"")</f>
        <v>262.075618393235</v>
      </c>
      <c r="F12" s="19" t="n">
        <f aca="false">IFERROR(E12/D12-1,"")</f>
        <v>0.500801935711482</v>
      </c>
      <c r="G12" s="16" t="n">
        <f aca="false">IFERROR(SUMIFS(Pedidos!$J$2:$J$2224,Pedidos!$X$2:$X$2224,"SIM",Pedidos!$F$2:$F$2224,$A12)/SUMIFS(Pedidos!$H$2:$H$2224,Pedidos!$X$2:$X$2224,"SIM",Pedidos!$F$2:$F$2224,$A12),"")</f>
        <v>0.181474334868172</v>
      </c>
      <c r="H12" s="16" t="n">
        <f aca="false">IFERROR(SUMIFS(Pedidos!$S$2:$S$2224,Pedidos!$X$2:$X$2224,"SIM",Pedidos!$F$2:$F$2224,$A12)/SUMIFS(Pedidos!$H$2:$H$2224,Pedidos!$X$2:$X$2224,"SIM",Pedidos!$F$2:$F$2224,$A12),"")</f>
        <v>0.272357033052107</v>
      </c>
      <c r="I12" s="16" t="n">
        <f aca="false">IFERROR(COUNTIFS(Pedidos!$X$2:$X$2224,"SIM",Pedidos!$F$2:$F$2224,$A12,Pedidos!$V$2:$V$2224,"SIM")/B12,"")</f>
        <v>0</v>
      </c>
      <c r="J12" s="18" t="n">
        <f aca="false">IFERROR(AVERAGEIFS(Pedidos!$K$2:$K$2224,Pedidos!$X$2:$X$2224,"SIM",Pedidos!$F$2:$F$2224,$A12),"")</f>
        <v>177.466511627907</v>
      </c>
      <c r="K12" s="16" t="n">
        <f aca="false">IFERROR(MAX(0,1-D12/E12),"")</f>
        <v>0.33368955875851</v>
      </c>
    </row>
    <row r="13" customFormat="false" ht="15" hidden="false" customHeight="false" outlineLevel="0" collapsed="false">
      <c r="A13" s="14" t="s">
        <v>113</v>
      </c>
      <c r="B13" s="15" t="n">
        <f aca="false">COUNTIFS(Pedidos!$X$2:$X$2224,"SIM",Pedidos!$F$2:$F$2224,$A13)</f>
        <v>47</v>
      </c>
      <c r="C13" s="17" t="n">
        <f aca="false">IFERROR(AVERAGEIFS(Pedidos!$G$2:$G$2224,Pedidos!$X$2:$X$2224,"SIM",Pedidos!$F$2:$F$2224,$A13),"")</f>
        <v>110.292340425532</v>
      </c>
      <c r="D13" s="18" t="n">
        <f aca="false">IFERROR(AVERAGEIFS(Pedidos!$J$2:$J$2224,Pedidos!$X$2:$X$2224,"SIM",Pedidos!$F$2:$F$2224,$A13),"")</f>
        <v>194.599787234043</v>
      </c>
      <c r="E13" s="18" t="n">
        <f aca="false">IFERROR(AVERAGEIFS(Pedidos!$S$2:$S$2224,Pedidos!$X$2:$X$2224,"SIM",Pedidos!$F$2:$F$2224,$A13),"")</f>
        <v>316.242350096712</v>
      </c>
      <c r="F13" s="19" t="n">
        <f aca="false">IFERROR(E13/D13-1,"")</f>
        <v>0.625090934536179</v>
      </c>
      <c r="G13" s="16" t="n">
        <f aca="false">IFERROR(SUMIFS(Pedidos!$J$2:$J$2224,Pedidos!$X$2:$X$2224,"SIM",Pedidos!$F$2:$F$2224,$A13)/SUMIFS(Pedidos!$H$2:$H$2224,Pedidos!$X$2:$X$2224,"SIM",Pedidos!$F$2:$F$2224,$A13),"")</f>
        <v>0.159237063824253</v>
      </c>
      <c r="H13" s="16" t="n">
        <f aca="false">IFERROR(SUMIFS(Pedidos!$S$2:$S$2224,Pedidos!$X$2:$X$2224,"SIM",Pedidos!$F$2:$F$2224,$A13)/SUMIFS(Pedidos!$H$2:$H$2224,Pedidos!$X$2:$X$2224,"SIM",Pedidos!$F$2:$F$2224,$A13),"")</f>
        <v>0.258774708862953</v>
      </c>
      <c r="I13" s="16" t="n">
        <f aca="false">IFERROR(COUNTIFS(Pedidos!$X$2:$X$2224,"SIM",Pedidos!$F$2:$F$2224,$A13,Pedidos!$V$2:$V$2224,"SIM")/B13,"")</f>
        <v>0</v>
      </c>
      <c r="J13" s="18" t="n">
        <f aca="false">IFERROR(AVERAGEIFS(Pedidos!$K$2:$K$2224,Pedidos!$X$2:$X$2224,"SIM",Pedidos!$F$2:$F$2224,$A13),"")</f>
        <v>208.168936170213</v>
      </c>
      <c r="K13" s="16" t="n">
        <f aca="false">IFERROR(MAX(0,1-D13/E13),"")</f>
        <v>0.384649819435851</v>
      </c>
    </row>
    <row r="14" customFormat="false" ht="15" hidden="false" customHeight="false" outlineLevel="0" collapsed="false">
      <c r="A14" s="14" t="s">
        <v>114</v>
      </c>
      <c r="B14" s="15" t="n">
        <f aca="false">COUNTIFS(Pedidos!$X$2:$X$2224,"SIM",Pedidos!$F$2:$F$2224,$A14)</f>
        <v>73</v>
      </c>
      <c r="C14" s="17" t="n">
        <f aca="false">IFERROR(AVERAGEIFS(Pedidos!$G$2:$G$2224,Pedidos!$X$2:$X$2224,"SIM",Pedidos!$F$2:$F$2224,$A14),"")</f>
        <v>128.529315068493</v>
      </c>
      <c r="D14" s="18" t="n">
        <f aca="false">IFERROR(AVERAGEIFS(Pedidos!$J$2:$J$2224,Pedidos!$X$2:$X$2224,"SIM",Pedidos!$F$2:$F$2224,$A14),"")</f>
        <v>240.825205479452</v>
      </c>
      <c r="E14" s="18" t="n">
        <f aca="false">IFERROR(AVERAGEIFS(Pedidos!$S$2:$S$2224,Pedidos!$X$2:$X$2224,"SIM",Pedidos!$F$2:$F$2224,$A14),"")</f>
        <v>369.590884184309</v>
      </c>
      <c r="F14" s="19" t="n">
        <f aca="false">IFERROR(E14/D14-1,"")</f>
        <v>0.5346852230376</v>
      </c>
      <c r="G14" s="16" t="n">
        <f aca="false">IFERROR(SUMIFS(Pedidos!$J$2:$J$2224,Pedidos!$X$2:$X$2224,"SIM",Pedidos!$F$2:$F$2224,$A14)/SUMIFS(Pedidos!$H$2:$H$2224,Pedidos!$X$2:$X$2224,"SIM",Pedidos!$F$2:$F$2224,$A14),"")</f>
        <v>0.146418065843755</v>
      </c>
      <c r="H14" s="16" t="n">
        <f aca="false">IFERROR(SUMIFS(Pedidos!$S$2:$S$2224,Pedidos!$X$2:$X$2224,"SIM",Pedidos!$F$2:$F$2224,$A14)/SUMIFS(Pedidos!$H$2:$H$2224,Pedidos!$X$2:$X$2224,"SIM",Pedidos!$F$2:$F$2224,$A14),"")</f>
        <v>0.224705642036157</v>
      </c>
      <c r="I14" s="16" t="n">
        <f aca="false">IFERROR(COUNTIFS(Pedidos!$X$2:$X$2224,"SIM",Pedidos!$F$2:$F$2224,$A14,Pedidos!$V$2:$V$2224,"SIM")/B14,"")</f>
        <v>0</v>
      </c>
      <c r="J14" s="18" t="n">
        <f aca="false">IFERROR(AVERAGEIFS(Pedidos!$K$2:$K$2224,Pedidos!$X$2:$X$2224,"SIM",Pedidos!$F$2:$F$2224,$A14),"")</f>
        <v>244.445753424658</v>
      </c>
      <c r="K14" s="16" t="n">
        <f aca="false">IFERROR(MAX(0,1-D14/E14),"")</f>
        <v>0.348400580790958</v>
      </c>
    </row>
    <row r="15" customFormat="false" ht="15" hidden="false" customHeight="false" outlineLevel="0" collapsed="false">
      <c r="A15" s="14" t="s">
        <v>115</v>
      </c>
      <c r="B15" s="15" t="n">
        <f aca="false">COUNTIFS(Pedidos!$X$2:$X$2224,"SIM",Pedidos!$F$2:$F$2224,$A15)</f>
        <v>3</v>
      </c>
      <c r="C15" s="17" t="n">
        <f aca="false">IFERROR(AVERAGEIFS(Pedidos!$G$2:$G$2224,Pedidos!$X$2:$X$2224,"SIM",Pedidos!$F$2:$F$2224,$A15),"")</f>
        <v>160.633333333333</v>
      </c>
      <c r="D15" s="18" t="n">
        <f aca="false">IFERROR(AVERAGEIFS(Pedidos!$J$2:$J$2224,Pedidos!$X$2:$X$2224,"SIM",Pedidos!$F$2:$F$2224,$A15),"")</f>
        <v>259.73</v>
      </c>
      <c r="E15" s="18" t="n">
        <f aca="false">IFERROR(AVERAGEIFS(Pedidos!$S$2:$S$2224,Pedidos!$X$2:$X$2224,"SIM",Pedidos!$F$2:$F$2224,$A15),"")</f>
        <v>423.501022727273</v>
      </c>
      <c r="F15" s="19" t="n">
        <f aca="false">IFERROR(E15/D15-1,"")</f>
        <v>0.630543343962086</v>
      </c>
      <c r="G15" s="16" t="n">
        <f aca="false">IFERROR(SUMIFS(Pedidos!$J$2:$J$2224,Pedidos!$X$2:$X$2224,"SIM",Pedidos!$F$2:$F$2224,$A15)/SUMIFS(Pedidos!$H$2:$H$2224,Pedidos!$X$2:$X$2224,"SIM",Pedidos!$F$2:$F$2224,$A15),"")</f>
        <v>0.136043174008995</v>
      </c>
      <c r="H15" s="16" t="n">
        <f aca="false">IFERROR(SUMIFS(Pedidos!$S$2:$S$2224,Pedidos!$X$2:$X$2224,"SIM",Pedidos!$F$2:$F$2224,$A15)/SUMIFS(Pedidos!$H$2:$H$2224,Pedidos!$X$2:$X$2224,"SIM",Pedidos!$F$2:$F$2224,$A15),"")</f>
        <v>0.221824291871843</v>
      </c>
      <c r="I15" s="16" t="n">
        <f aca="false">IFERROR(COUNTIFS(Pedidos!$X$2:$X$2224,"SIM",Pedidos!$F$2:$F$2224,$A15,Pedidos!$V$2:$V$2224,"SIM")/B15,"")</f>
        <v>0</v>
      </c>
      <c r="J15" s="18" t="n">
        <f aca="false">IFERROR(AVERAGEIFS(Pedidos!$K$2:$K$2224,Pedidos!$X$2:$X$2224,"SIM",Pedidos!$F$2:$F$2224,$A15),"")</f>
        <v>274.843333333333</v>
      </c>
      <c r="K15" s="16" t="n">
        <f aca="false">IFERROR(MAX(0,1-D15/E15),"")</f>
        <v>0.386707502316325</v>
      </c>
    </row>
    <row r="16" customFormat="false" ht="15" hidden="false" customHeight="false" outlineLevel="0" collapsed="false">
      <c r="A16" s="14" t="s">
        <v>116</v>
      </c>
      <c r="B16" s="15" t="n">
        <f aca="false">COUNTIFS(Pedidos!$X$2:$X$2224,"SIM",Pedidos!$F$2:$F$2224,$A16)</f>
        <v>1</v>
      </c>
      <c r="C16" s="17" t="n">
        <f aca="false">IFERROR(AVERAGEIFS(Pedidos!$G$2:$G$2224,Pedidos!$X$2:$X$2224,"SIM",Pedidos!$F$2:$F$2224,$A16),"")</f>
        <v>188.4</v>
      </c>
      <c r="D16" s="18" t="n">
        <f aca="false">IFERROR(AVERAGEIFS(Pedidos!$J$2:$J$2224,Pedidos!$X$2:$X$2224,"SIM",Pedidos!$F$2:$F$2224,$A16),"")</f>
        <v>198.28</v>
      </c>
      <c r="E16" s="18" t="n">
        <f aca="false">IFERROR(AVERAGEIFS(Pedidos!$S$2:$S$2224,Pedidos!$X$2:$X$2224,"SIM",Pedidos!$F$2:$F$2224,$A16),"")</f>
        <v>529.025</v>
      </c>
      <c r="F16" s="19" t="n">
        <f aca="false">IFERROR(E16/D16-1,"")</f>
        <v>1.66807040548719</v>
      </c>
      <c r="G16" s="16" t="n">
        <f aca="false">IFERROR(SUMIFS(Pedidos!$J$2:$J$2224,Pedidos!$X$2:$X$2224,"SIM",Pedidos!$F$2:$F$2224,$A16)/SUMIFS(Pedidos!$H$2:$H$2224,Pedidos!$X$2:$X$2224,"SIM",Pedidos!$F$2:$F$2224,$A16),"")</f>
        <v>0.0994383149448345</v>
      </c>
      <c r="H16" s="16" t="n">
        <f aca="false">IFERROR(SUMIFS(Pedidos!$S$2:$S$2224,Pedidos!$X$2:$X$2224,"SIM",Pedidos!$F$2:$F$2224,$A16)/SUMIFS(Pedidos!$H$2:$H$2224,Pedidos!$X$2:$X$2224,"SIM",Pedidos!$F$2:$F$2224,$A16),"")</f>
        <v>0.265308425275828</v>
      </c>
      <c r="I16" s="16" t="n">
        <f aca="false">IFERROR(COUNTIFS(Pedidos!$X$2:$X$2224,"SIM",Pedidos!$F$2:$F$2224,$A16,Pedidos!$V$2:$V$2224,"SIM")/B16,"")</f>
        <v>0</v>
      </c>
      <c r="J16" s="18" t="n">
        <f aca="false">IFERROR(AVERAGEIFS(Pedidos!$K$2:$K$2224,Pedidos!$X$2:$X$2224,"SIM",Pedidos!$F$2:$F$2224,$A16),"")</f>
        <v>353.17</v>
      </c>
      <c r="K16" s="16" t="n">
        <f aca="false">IFERROR(MAX(0,1-D16/E16),"")</f>
        <v>0.625197296914134</v>
      </c>
    </row>
    <row r="17" customFormat="false" ht="15" hidden="false" customHeight="false" outlineLevel="0" collapsed="false">
      <c r="A17" s="14" t="s">
        <v>117</v>
      </c>
      <c r="B17" s="15" t="n">
        <f aca="false">COUNTIFS(Pedidos!$X$2:$X$2224,"SIM",Pedidos!$F$2:$F$2224,$A17)</f>
        <v>1</v>
      </c>
      <c r="C17" s="17" t="n">
        <f aca="false">IFERROR(AVERAGEIFS(Pedidos!$G$2:$G$2224,Pedidos!$X$2:$X$2224,"SIM",Pedidos!$F$2:$F$2224,$A17),"")</f>
        <v>200.3</v>
      </c>
      <c r="D17" s="18" t="n">
        <f aca="false">IFERROR(AVERAGEIFS(Pedidos!$J$2:$J$2224,Pedidos!$X$2:$X$2224,"SIM",Pedidos!$F$2:$F$2224,$A17),"")</f>
        <v>338.2</v>
      </c>
      <c r="E17" s="18" t="n">
        <f aca="false">IFERROR(AVERAGEIFS(Pedidos!$S$2:$S$2224,Pedidos!$X$2:$X$2224,"SIM",Pedidos!$F$2:$F$2224,$A17),"")</f>
        <v>593.327045454545</v>
      </c>
      <c r="F17" s="19" t="n">
        <f aca="false">IFERROR(E17/D17-1,"")</f>
        <v>0.754367372721897</v>
      </c>
      <c r="G17" s="16" t="n">
        <f aca="false">IFERROR(SUMIFS(Pedidos!$J$2:$J$2224,Pedidos!$X$2:$X$2224,"SIM",Pedidos!$F$2:$F$2224,$A17)/SUMIFS(Pedidos!$H$2:$H$2224,Pedidos!$X$2:$X$2224,"SIM",Pedidos!$F$2:$F$2224,$A17),"")</f>
        <v>0.159082570533505</v>
      </c>
      <c r="H17" s="16" t="n">
        <f aca="false">IFERROR(SUMIFS(Pedidos!$S$2:$S$2224,Pedidos!$X$2:$X$2224,"SIM",Pedidos!$F$2:$F$2224,$A17)/SUMIFS(Pedidos!$H$2:$H$2224,Pedidos!$X$2:$X$2224,"SIM",Pedidos!$F$2:$F$2224,$A17),"")</f>
        <v>0.279089271312711</v>
      </c>
      <c r="I17" s="16" t="n">
        <f aca="false">IFERROR(COUNTIFS(Pedidos!$X$2:$X$2224,"SIM",Pedidos!$F$2:$F$2224,$A17,Pedidos!$V$2:$V$2224,"SIM")/B17,"")</f>
        <v>0</v>
      </c>
      <c r="J17" s="18" t="n">
        <f aca="false">IFERROR(AVERAGEIFS(Pedidos!$K$2:$K$2224,Pedidos!$X$2:$X$2224,"SIM",Pedidos!$F$2:$F$2224,$A17),"")</f>
        <v>398.74</v>
      </c>
      <c r="K17" s="16" t="n">
        <f aca="false">IFERROR(MAX(0,1-D17/E17),"")</f>
        <v>0.429993959333328</v>
      </c>
    </row>
    <row r="18" customFormat="false" ht="15" hidden="false" customHeight="false" outlineLevel="0" collapsed="false">
      <c r="A18" s="14" t="s">
        <v>118</v>
      </c>
      <c r="B18" s="15" t="n">
        <f aca="false">COUNTIFS(Pedidos!$X$2:$X$2224,"SIM",Pedidos!$F$2:$F$2224,$A18)</f>
        <v>0</v>
      </c>
      <c r="C18" s="17" t="str">
        <f aca="false">IFERROR(AVERAGEIFS(Pedidos!$G$2:$G$2224,Pedidos!$X$2:$X$2224,"SIM",Pedidos!$F$2:$F$2224,$A18),"")</f>
        <v/>
      </c>
      <c r="D18" s="18" t="str">
        <f aca="false">IFERROR(AVERAGEIFS(Pedidos!$J$2:$J$2224,Pedidos!$X$2:$X$2224,"SIM",Pedidos!$F$2:$F$2224,$A18),"")</f>
        <v/>
      </c>
      <c r="E18" s="18" t="str">
        <f aca="false">IFERROR(AVERAGEIFS(Pedidos!$S$2:$S$2224,Pedidos!$X$2:$X$2224,"SIM",Pedidos!$F$2:$F$2224,$A18),"")</f>
        <v/>
      </c>
      <c r="F18" s="19" t="str">
        <f aca="false">IFERROR(E18/D18-1,"")</f>
        <v/>
      </c>
      <c r="G18" s="16" t="str">
        <f aca="false">IFERROR(SUMIFS(Pedidos!$J$2:$J$2224,Pedidos!$X$2:$X$2224,"SIM",Pedidos!$F$2:$F$2224,$A18)/SUMIFS(Pedidos!$H$2:$H$2224,Pedidos!$X$2:$X$2224,"SIM",Pedidos!$F$2:$F$2224,$A18),"")</f>
        <v/>
      </c>
      <c r="H18" s="16" t="str">
        <f aca="false">IFERROR(SUMIFS(Pedidos!$S$2:$S$2224,Pedidos!$X$2:$X$2224,"SIM",Pedidos!$F$2:$F$2224,$A18)/SUMIFS(Pedidos!$H$2:$H$2224,Pedidos!$X$2:$X$2224,"SIM",Pedidos!$F$2:$F$2224,$A18),"")</f>
        <v/>
      </c>
      <c r="I18" s="16" t="str">
        <f aca="false">IFERROR(COUNTIFS(Pedidos!$X$2:$X$2224,"SIM",Pedidos!$F$2:$F$2224,$A18,Pedidos!$V$2:$V$2224,"SIM")/B18,"")</f>
        <v/>
      </c>
      <c r="J18" s="18" t="str">
        <f aca="false">IFERROR(AVERAGEIFS(Pedidos!$K$2:$K$2224,Pedidos!$X$2:$X$2224,"SIM",Pedidos!$F$2:$F$2224,$A18),"")</f>
        <v/>
      </c>
      <c r="K18" s="16" t="str">
        <f aca="false">IFERROR(MAX(0,1-D18/E18),"")</f>
        <v/>
      </c>
    </row>
    <row r="19" customFormat="false" ht="15" hidden="false" customHeight="false" outlineLevel="0" collapsed="false">
      <c r="A19" s="20" t="s">
        <v>119</v>
      </c>
      <c r="B19" s="21" t="n">
        <f aca="false">COUNTIFS(Pedidos!$X$2:$X$2224,"SIM")</f>
        <v>1912</v>
      </c>
      <c r="C19" s="23" t="n">
        <f aca="false">IFERROR(AVERAGEIFS(Pedidos!$G$2:$G$2224,Pedidos!$X$2:$X$2224,"SIM"),"")</f>
        <v>49.454440376569</v>
      </c>
      <c r="D19" s="24" t="n">
        <f aca="false">IFERROR(AVERAGEIFS(Pedidos!$J$2:$J$2224,Pedidos!$X$2:$X$2224,"SIM"),"")</f>
        <v>118.418546025105</v>
      </c>
      <c r="E19" s="24" t="n">
        <f aca="false">IFERROR(AVERAGEIFS(Pedidos!$S$2:$S$2224,Pedidos!$X$2:$X$2224,"SIM"),"")</f>
        <v>169.566350145017</v>
      </c>
      <c r="F19" s="25" t="n">
        <f aca="false">IFERROR(E19/D19-1,"")</f>
        <v>0.43192393283624</v>
      </c>
      <c r="G19" s="22" t="n">
        <f aca="false">IFERROR(SUMIFS(Pedidos!$J$2:$J$2224,Pedidos!$X$2:$X$2224,"SIM")/SUMIFS(Pedidos!$H$2:$H$2224,Pedidos!$X$2:$X$2224,"SIM"),"")</f>
        <v>0.186179403716609</v>
      </c>
      <c r="H19" s="22" t="n">
        <f aca="false">IFERROR(SUMIFS(Pedidos!$S$2:$S$2224,Pedidos!$X$2:$X$2224,"SIM")/SUMIFS(Pedidos!$H$2:$H$2224,Pedidos!$X$2:$X$2224,"SIM"),"")</f>
        <v>0.266594743982993</v>
      </c>
      <c r="I19" s="22" t="n">
        <f aca="false">IFERROR(COUNTIFS(Pedidos!$X$2:$X$2224,"SIM",Pedidos!$V$2:$V$2224,"SIM")/B19,"")</f>
        <v>0.00732217573221757</v>
      </c>
      <c r="J19" s="24" t="n">
        <f aca="false">IFERROR(AVERAGEIFS(Pedidos!$K$2:$K$2224,Pedidos!$X$2:$X$2224,"SIM"),"")</f>
        <v>116.086234309623</v>
      </c>
      <c r="K19" s="22" t="n">
        <f aca="false">IFERROR(MAX(0,1-D19/E19),"")</f>
        <v>0.301638881040783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3" t="s">
        <v>120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45" hidden="false" customHeight="true" outlineLevel="0" collapsed="false">
      <c r="A22" s="4" t="s">
        <v>103</v>
      </c>
      <c r="B22" s="4" t="s">
        <v>31</v>
      </c>
      <c r="C22" s="4" t="s">
        <v>104</v>
      </c>
      <c r="D22" s="4" t="s">
        <v>67</v>
      </c>
      <c r="E22" s="4" t="s">
        <v>68</v>
      </c>
      <c r="F22" s="4" t="s">
        <v>70</v>
      </c>
      <c r="G22" s="4" t="s">
        <v>71</v>
      </c>
      <c r="H22" s="4" t="s">
        <v>72</v>
      </c>
      <c r="I22" s="4" t="s">
        <v>55</v>
      </c>
      <c r="J22" s="4" t="s">
        <v>73</v>
      </c>
      <c r="K22" s="4" t="s">
        <v>75</v>
      </c>
    </row>
    <row r="23" customFormat="false" ht="15" hidden="false" customHeight="false" outlineLevel="0" collapsed="false">
      <c r="A23" s="14" t="s">
        <v>105</v>
      </c>
      <c r="B23" s="15" t="n">
        <f aca="false">COUNTIFS(Pedidos!$X$2:$X$2224,"SIM",Pedidos!$I$2:$I$2224,"Tsl Filial Sp",Pedidos!$F$2:$F$2224,$A23)</f>
        <v>60</v>
      </c>
      <c r="C23" s="17" t="n">
        <f aca="false">IFERROR(AVERAGEIFS(Pedidos!$G$2:$G$2224,Pedidos!$X$2:$X$2224,"SIM",Pedidos!$I$2:$I$2224,"Tsl Filial Sp",Pedidos!$F$2:$F$2224,$A23),"")</f>
        <v>16.9521666666667</v>
      </c>
      <c r="D23" s="18" t="n">
        <f aca="false">IFERROR(AVERAGEIFS(Pedidos!$J$2:$J$2224,Pedidos!$X$2:$X$2224,"SIM",Pedidos!$I$2:$I$2224,"Tsl Filial Sp",Pedidos!$F$2:$F$2224,$A23),"")</f>
        <v>68.086</v>
      </c>
      <c r="E23" s="18" t="n">
        <f aca="false">IFERROR(AVERAGEIFS(Pedidos!$S$2:$S$2224,Pedidos!$X$2:$X$2224,"SIM",Pedidos!$I$2:$I$2224,"Tsl Filial Sp",Pedidos!$F$2:$F$2224,$A23),"")</f>
        <v>76.1878238636364</v>
      </c>
      <c r="F23" s="19" t="n">
        <f aca="false">IFERROR(E23/D23-1,"")</f>
        <v>0.118993976201221</v>
      </c>
      <c r="G23" s="16" t="n">
        <f aca="false">IFERROR(SUMIFS(Pedidos!$J$2:$J$2224,Pedidos!$X$2:$X$2224,"SIM",Pedidos!$I$2:$I$2224,"Tsl Filial Sp",Pedidos!$F$2:$F$2224,$A23)/SUMIFS(Pedidos!$H$2:$H$2224,Pedidos!$X$2:$X$2224,"SIM",Pedidos!$I$2:$I$2224,"Tsl Filial Sp",Pedidos!$F$2:$F$2224,$A23),"")</f>
        <v>0.223740053268312</v>
      </c>
      <c r="H23" s="16" t="n">
        <f aca="false">IFERROR(SUMIFS(Pedidos!$S$2:$S$2224,Pedidos!$X$2:$X$2224,"SIM",Pedidos!$I$2:$I$2224,"Tsl Filial Sp",Pedidos!$F$2:$F$2224,$A23)/SUMIFS(Pedidos!$H$2:$H$2224,Pedidos!$X$2:$X$2224,"SIM",Pedidos!$I$2:$I$2224,"Tsl Filial Sp",Pedidos!$F$2:$F$2224,$A23),"")</f>
        <v>0.250363771842181</v>
      </c>
      <c r="I23" s="16" t="n">
        <f aca="false">IFERROR(COUNTIFS(Pedidos!$X$2:$X$2224,"SIM",Pedidos!$I$2:$I$2224,"Tsl Filial Sp",Pedidos!$F$2:$F$2224,$A23,Pedidos!$V$2:$V$2224,"SIM")/B23,"")</f>
        <v>0.133333333333333</v>
      </c>
      <c r="J23" s="18" t="n">
        <f aca="false">IFERROR(AVERAGEIFS(Pedidos!$K$2:$K$2224,Pedidos!$X$2:$X$2224,"SIM",Pedidos!$I$2:$I$2224,"Tsl Filial Sp",Pedidos!$F$2:$F$2224,$A23),"")</f>
        <v>51.7668333333333</v>
      </c>
      <c r="K23" s="16" t="n">
        <f aca="false">IFERROR(MAX(0,1-D23/E23),"")</f>
        <v>0.106340140100829</v>
      </c>
    </row>
    <row r="24" customFormat="false" ht="15" hidden="false" customHeight="false" outlineLevel="0" collapsed="false">
      <c r="A24" s="14" t="s">
        <v>106</v>
      </c>
      <c r="B24" s="15" t="n">
        <f aca="false">COUNTIFS(Pedidos!$X$2:$X$2224,"SIM",Pedidos!$I$2:$I$2224,"Tsl Filial Sp",Pedidos!$F$2:$F$2224,$A24)</f>
        <v>347</v>
      </c>
      <c r="C24" s="17" t="n">
        <f aca="false">IFERROR(AVERAGEIFS(Pedidos!$G$2:$G$2224,Pedidos!$X$2:$X$2224,"SIM",Pedidos!$I$2:$I$2224,"Tsl Filial Sp",Pedidos!$F$2:$F$2224,$A24),"")</f>
        <v>28.2261383285303</v>
      </c>
      <c r="D24" s="18" t="n">
        <f aca="false">IFERROR(AVERAGEIFS(Pedidos!$J$2:$J$2224,Pedidos!$X$2:$X$2224,"SIM",Pedidos!$I$2:$I$2224,"Tsl Filial Sp",Pedidos!$F$2:$F$2224,$A24),"")</f>
        <v>90.2334870317003</v>
      </c>
      <c r="E24" s="18" t="n">
        <f aca="false">IFERROR(AVERAGEIFS(Pedidos!$S$2:$S$2224,Pedidos!$X$2:$X$2224,"SIM",Pedidos!$I$2:$I$2224,"Tsl Filial Sp",Pedidos!$F$2:$F$2224,$A24),"")</f>
        <v>126.045161448782</v>
      </c>
      <c r="F24" s="19" t="n">
        <f aca="false">IFERROR(E24/D24-1,"")</f>
        <v>0.396877873117109</v>
      </c>
      <c r="G24" s="16" t="n">
        <f aca="false">IFERROR(SUMIFS(Pedidos!$J$2:$J$2224,Pedidos!$X$2:$X$2224,"SIM",Pedidos!$I$2:$I$2224,"Tsl Filial Sp",Pedidos!$F$2:$F$2224,$A24)/SUMIFS(Pedidos!$H$2:$H$2224,Pedidos!$X$2:$X$2224,"SIM",Pedidos!$I$2:$I$2224,"Tsl Filial Sp",Pedidos!$F$2:$F$2224,$A24),"")</f>
        <v>0.20806389792323</v>
      </c>
      <c r="H24" s="16" t="n">
        <f aca="false">IFERROR(SUMIFS(Pedidos!$S$2:$S$2224,Pedidos!$X$2:$X$2224,"SIM",Pedidos!$I$2:$I$2224,"Tsl Filial Sp",Pedidos!$F$2:$F$2224,$A24)/SUMIFS(Pedidos!$H$2:$H$2224,Pedidos!$X$2:$X$2224,"SIM",Pedidos!$I$2:$I$2224,"Tsl Filial Sp",Pedidos!$F$2:$F$2224,$A24),"")</f>
        <v>0.290639855203457</v>
      </c>
      <c r="I24" s="16" t="n">
        <f aca="false">IFERROR(COUNTIFS(Pedidos!$X$2:$X$2224,"SIM",Pedidos!$I$2:$I$2224,"Tsl Filial Sp",Pedidos!$F$2:$F$2224,$A24,Pedidos!$V$2:$V$2224,"SIM")/B24,"")</f>
        <v>0</v>
      </c>
      <c r="J24" s="18" t="n">
        <f aca="false">IFERROR(AVERAGEIFS(Pedidos!$K$2:$K$2224,Pedidos!$X$2:$X$2224,"SIM",Pedidos!$I$2:$I$2224,"Tsl Filial Sp",Pedidos!$F$2:$F$2224,$A24),"")</f>
        <v>89.5432564841499</v>
      </c>
      <c r="K24" s="16" t="n">
        <f aca="false">IFERROR(MAX(0,1-D24/E24),"")</f>
        <v>0.28411780353531</v>
      </c>
    </row>
    <row r="25" customFormat="false" ht="15" hidden="false" customHeight="false" outlineLevel="0" collapsed="false">
      <c r="A25" s="14" t="s">
        <v>107</v>
      </c>
      <c r="B25" s="15" t="n">
        <f aca="false">COUNTIFS(Pedidos!$X$2:$X$2224,"SIM",Pedidos!$I$2:$I$2224,"Tsl Filial Sp",Pedidos!$F$2:$F$2224,$A25)</f>
        <v>231</v>
      </c>
      <c r="C25" s="17" t="n">
        <f aca="false">IFERROR(AVERAGEIFS(Pedidos!$G$2:$G$2224,Pedidos!$X$2:$X$2224,"SIM",Pedidos!$I$2:$I$2224,"Tsl Filial Sp",Pedidos!$F$2:$F$2224,$A25),"")</f>
        <v>37.7364502164502</v>
      </c>
      <c r="D25" s="18" t="n">
        <f aca="false">IFERROR(AVERAGEIFS(Pedidos!$J$2:$J$2224,Pedidos!$X$2:$X$2224,"SIM",Pedidos!$I$2:$I$2224,"Tsl Filial Sp",Pedidos!$F$2:$F$2224,$A25),"")</f>
        <v>102.115800865801</v>
      </c>
      <c r="E25" s="18" t="n">
        <f aca="false">IFERROR(AVERAGEIFS(Pedidos!$S$2:$S$2224,Pedidos!$X$2:$X$2224,"SIM",Pedidos!$I$2:$I$2224,"Tsl Filial Sp",Pedidos!$F$2:$F$2224,$A25),"")</f>
        <v>144.76349665486</v>
      </c>
      <c r="F25" s="19" t="n">
        <f aca="false">IFERROR(E25/D25-1,"")</f>
        <v>0.417640516232218</v>
      </c>
      <c r="G25" s="16" t="n">
        <f aca="false">IFERROR(SUMIFS(Pedidos!$J$2:$J$2224,Pedidos!$X$2:$X$2224,"SIM",Pedidos!$I$2:$I$2224,"Tsl Filial Sp",Pedidos!$F$2:$F$2224,$A25)/SUMIFS(Pedidos!$H$2:$H$2224,Pedidos!$X$2:$X$2224,"SIM",Pedidos!$I$2:$I$2224,"Tsl Filial Sp",Pedidos!$F$2:$F$2224,$A25),"")</f>
        <v>0.218746299361132</v>
      </c>
      <c r="H25" s="16" t="n">
        <f aca="false">IFERROR(SUMIFS(Pedidos!$S$2:$S$2224,Pedidos!$X$2:$X$2224,"SIM",Pedidos!$I$2:$I$2224,"Tsl Filial Sp",Pedidos!$F$2:$F$2224,$A25)/SUMIFS(Pedidos!$H$2:$H$2224,Pedidos!$X$2:$X$2224,"SIM",Pedidos!$I$2:$I$2224,"Tsl Filial Sp",Pedidos!$F$2:$F$2224,$A25),"")</f>
        <v>0.310103616750203</v>
      </c>
      <c r="I25" s="16" t="n">
        <f aca="false">IFERROR(COUNTIFS(Pedidos!$X$2:$X$2224,"SIM",Pedidos!$I$2:$I$2224,"Tsl Filial Sp",Pedidos!$F$2:$F$2224,$A25,Pedidos!$V$2:$V$2224,"SIM")/B25,"")</f>
        <v>0</v>
      </c>
      <c r="J25" s="18" t="n">
        <f aca="false">IFERROR(AVERAGEIFS(Pedidos!$K$2:$K$2224,Pedidos!$X$2:$X$2224,"SIM",Pedidos!$I$2:$I$2224,"Tsl Filial Sp",Pedidos!$F$2:$F$2224,$A25),"")</f>
        <v>101.065021645022</v>
      </c>
      <c r="K25" s="16" t="n">
        <f aca="false">IFERROR(MAX(0,1-D25/E25),"")</f>
        <v>0.294602553644711</v>
      </c>
    </row>
    <row r="26" customFormat="false" ht="15" hidden="false" customHeight="false" outlineLevel="0" collapsed="false">
      <c r="A26" s="14" t="s">
        <v>108</v>
      </c>
      <c r="B26" s="15" t="n">
        <f aca="false">COUNTIFS(Pedidos!$X$2:$X$2224,"SIM",Pedidos!$I$2:$I$2224,"Tsl Filial Sp",Pedidos!$F$2:$F$2224,$A26)</f>
        <v>230</v>
      </c>
      <c r="C26" s="17" t="n">
        <f aca="false">IFERROR(AVERAGEIFS(Pedidos!$G$2:$G$2224,Pedidos!$X$2:$X$2224,"SIM",Pedidos!$I$2:$I$2224,"Tsl Filial Sp",Pedidos!$F$2:$F$2224,$A26),"")</f>
        <v>46.0134782608696</v>
      </c>
      <c r="D26" s="18" t="n">
        <f aca="false">IFERROR(AVERAGEIFS(Pedidos!$J$2:$J$2224,Pedidos!$X$2:$X$2224,"SIM",Pedidos!$I$2:$I$2224,"Tsl Filial Sp",Pedidos!$F$2:$F$2224,$A26),"")</f>
        <v>111.572608695652</v>
      </c>
      <c r="E26" s="18" t="n">
        <f aca="false">IFERROR(AVERAGEIFS(Pedidos!$S$2:$S$2224,Pedidos!$X$2:$X$2224,"SIM",Pedidos!$I$2:$I$2224,"Tsl Filial Sp",Pedidos!$F$2:$F$2224,$A26),"")</f>
        <v>151.213977766798</v>
      </c>
      <c r="F26" s="19" t="n">
        <f aca="false">IFERROR(E26/D26-1,"")</f>
        <v>0.355296604915638</v>
      </c>
      <c r="G26" s="16" t="n">
        <f aca="false">IFERROR(SUMIFS(Pedidos!$J$2:$J$2224,Pedidos!$X$2:$X$2224,"SIM",Pedidos!$I$2:$I$2224,"Tsl Filial Sp",Pedidos!$F$2:$F$2224,$A26)/SUMIFS(Pedidos!$H$2:$H$2224,Pedidos!$X$2:$X$2224,"SIM",Pedidos!$I$2:$I$2224,"Tsl Filial Sp",Pedidos!$F$2:$F$2224,$A26),"")</f>
        <v>0.183078163346841</v>
      </c>
      <c r="H26" s="16" t="n">
        <f aca="false">IFERROR(SUMIFS(Pedidos!$S$2:$S$2224,Pedidos!$X$2:$X$2224,"SIM",Pedidos!$I$2:$I$2224,"Tsl Filial Sp",Pedidos!$F$2:$F$2224,$A26)/SUMIFS(Pedidos!$H$2:$H$2224,Pedidos!$X$2:$X$2224,"SIM",Pedidos!$I$2:$I$2224,"Tsl Filial Sp",Pedidos!$F$2:$F$2224,$A26),"")</f>
        <v>0.248125213218164</v>
      </c>
      <c r="I26" s="16" t="n">
        <f aca="false">IFERROR(COUNTIFS(Pedidos!$X$2:$X$2224,"SIM",Pedidos!$I$2:$I$2224,"Tsl Filial Sp",Pedidos!$F$2:$F$2224,$A26,Pedidos!$V$2:$V$2224,"SIM")/B26,"")</f>
        <v>0</v>
      </c>
      <c r="J26" s="18" t="n">
        <f aca="false">IFERROR(AVERAGEIFS(Pedidos!$K$2:$K$2224,Pedidos!$X$2:$X$2224,"SIM",Pedidos!$I$2:$I$2224,"Tsl Filial Sp",Pedidos!$F$2:$F$2224,$A26),"")</f>
        <v>102.095956521739</v>
      </c>
      <c r="K26" s="16" t="n">
        <f aca="false">IFERROR(MAX(0,1-D26/E26),"")</f>
        <v>0.26215413189038</v>
      </c>
    </row>
    <row r="27" customFormat="false" ht="15" hidden="false" customHeight="false" outlineLevel="0" collapsed="false">
      <c r="A27" s="14" t="s">
        <v>109</v>
      </c>
      <c r="B27" s="15" t="n">
        <f aca="false">COUNTIFS(Pedidos!$X$2:$X$2224,"SIM",Pedidos!$I$2:$I$2224,"Tsl Filial Sp",Pedidos!$F$2:$F$2224,$A27)</f>
        <v>230</v>
      </c>
      <c r="C27" s="17" t="n">
        <f aca="false">IFERROR(AVERAGEIFS(Pedidos!$G$2:$G$2224,Pedidos!$X$2:$X$2224,"SIM",Pedidos!$I$2:$I$2224,"Tsl Filial Sp",Pedidos!$F$2:$F$2224,$A27),"")</f>
        <v>53.8694347826087</v>
      </c>
      <c r="D27" s="18" t="n">
        <f aca="false">IFERROR(AVERAGEIFS(Pedidos!$J$2:$J$2224,Pedidos!$X$2:$X$2224,"SIM",Pedidos!$I$2:$I$2224,"Tsl Filial Sp",Pedidos!$F$2:$F$2224,$A27),"")</f>
        <v>122.188869565217</v>
      </c>
      <c r="E27" s="18" t="n">
        <f aca="false">IFERROR(AVERAGEIFS(Pedidos!$S$2:$S$2224,Pedidos!$X$2:$X$2224,"SIM",Pedidos!$I$2:$I$2224,"Tsl Filial Sp",Pedidos!$F$2:$F$2224,$A27),"")</f>
        <v>174.173486166008</v>
      </c>
      <c r="F27" s="19" t="n">
        <f aca="false">IFERROR(E27/D27-1,"")</f>
        <v>0.425444778937448</v>
      </c>
      <c r="G27" s="16" t="n">
        <f aca="false">IFERROR(SUMIFS(Pedidos!$J$2:$J$2224,Pedidos!$X$2:$X$2224,"SIM",Pedidos!$I$2:$I$2224,"Tsl Filial Sp",Pedidos!$F$2:$F$2224,$A27)/SUMIFS(Pedidos!$H$2:$H$2224,Pedidos!$X$2:$X$2224,"SIM",Pedidos!$I$2:$I$2224,"Tsl Filial Sp",Pedidos!$F$2:$F$2224,$A27),"")</f>
        <v>0.175855625311425</v>
      </c>
      <c r="H27" s="16" t="n">
        <f aca="false">IFERROR(SUMIFS(Pedidos!$S$2:$S$2224,Pedidos!$X$2:$X$2224,"SIM",Pedidos!$I$2:$I$2224,"Tsl Filial Sp",Pedidos!$F$2:$F$2224,$A27)/SUMIFS(Pedidos!$H$2:$H$2224,Pedidos!$X$2:$X$2224,"SIM",Pedidos!$I$2:$I$2224,"Tsl Filial Sp",Pedidos!$F$2:$F$2224,$A27),"")</f>
        <v>0.250672482946951</v>
      </c>
      <c r="I27" s="16" t="n">
        <f aca="false">IFERROR(COUNTIFS(Pedidos!$X$2:$X$2224,"SIM",Pedidos!$I$2:$I$2224,"Tsl Filial Sp",Pedidos!$F$2:$F$2224,$A27,Pedidos!$V$2:$V$2224,"SIM")/B27,"")</f>
        <v>0</v>
      </c>
      <c r="J27" s="18" t="n">
        <f aca="false">IFERROR(AVERAGEIFS(Pedidos!$K$2:$K$2224,Pedidos!$X$2:$X$2224,"SIM",Pedidos!$I$2:$I$2224,"Tsl Filial Sp",Pedidos!$F$2:$F$2224,$A27),"")</f>
        <v>117.933086956522</v>
      </c>
      <c r="K27" s="16" t="n">
        <f aca="false">IFERROR(MAX(0,1-D27/E27),"")</f>
        <v>0.29846458117766</v>
      </c>
    </row>
    <row r="28" customFormat="false" ht="15" hidden="false" customHeight="false" outlineLevel="0" collapsed="false">
      <c r="A28" s="14" t="s">
        <v>110</v>
      </c>
      <c r="B28" s="15" t="n">
        <f aca="false">COUNTIFS(Pedidos!$X$2:$X$2224,"SIM",Pedidos!$I$2:$I$2224,"Tsl Filial Sp",Pedidos!$F$2:$F$2224,$A28)</f>
        <v>178</v>
      </c>
      <c r="C28" s="17" t="n">
        <f aca="false">IFERROR(AVERAGEIFS(Pedidos!$G$2:$G$2224,Pedidos!$X$2:$X$2224,"SIM",Pedidos!$I$2:$I$2224,"Tsl Filial Sp",Pedidos!$F$2:$F$2224,$A28),"")</f>
        <v>66.2380898876404</v>
      </c>
      <c r="D28" s="18" t="n">
        <f aca="false">IFERROR(AVERAGEIFS(Pedidos!$J$2:$J$2224,Pedidos!$X$2:$X$2224,"SIM",Pedidos!$I$2:$I$2224,"Tsl Filial Sp",Pedidos!$F$2:$F$2224,$A28),"")</f>
        <v>133.636853932584</v>
      </c>
      <c r="E28" s="18" t="n">
        <f aca="false">IFERROR(AVERAGEIFS(Pedidos!$S$2:$S$2224,Pedidos!$X$2:$X$2224,"SIM",Pedidos!$I$2:$I$2224,"Tsl Filial Sp",Pedidos!$F$2:$F$2224,$A28),"")</f>
        <v>203.436753702758</v>
      </c>
      <c r="F28" s="19" t="n">
        <f aca="false">IFERROR(E28/D28-1,"")</f>
        <v>0.522310258855582</v>
      </c>
      <c r="G28" s="16" t="n">
        <f aca="false">IFERROR(SUMIFS(Pedidos!$J$2:$J$2224,Pedidos!$X$2:$X$2224,"SIM",Pedidos!$I$2:$I$2224,"Tsl Filial Sp",Pedidos!$F$2:$F$2224,$A28)/SUMIFS(Pedidos!$H$2:$H$2224,Pedidos!$X$2:$X$2224,"SIM",Pedidos!$I$2:$I$2224,"Tsl Filial Sp",Pedidos!$F$2:$F$2224,$A28),"")</f>
        <v>0.175272553648638</v>
      </c>
      <c r="H28" s="16" t="n">
        <f aca="false">IFERROR(SUMIFS(Pedidos!$S$2:$S$2224,Pedidos!$X$2:$X$2224,"SIM",Pedidos!$I$2:$I$2224,"Tsl Filial Sp",Pedidos!$F$2:$F$2224,$A28)/SUMIFS(Pedidos!$H$2:$H$2224,Pedidos!$X$2:$X$2224,"SIM",Pedidos!$I$2:$I$2224,"Tsl Filial Sp",Pedidos!$F$2:$F$2224,$A28),"")</f>
        <v>0.266819206515137</v>
      </c>
      <c r="I28" s="16" t="n">
        <f aca="false">IFERROR(COUNTIFS(Pedidos!$X$2:$X$2224,"SIM",Pedidos!$I$2:$I$2224,"Tsl Filial Sp",Pedidos!$F$2:$F$2224,$A28,Pedidos!$V$2:$V$2224,"SIM")/B28,"")</f>
        <v>0</v>
      </c>
      <c r="J28" s="18" t="n">
        <f aca="false">IFERROR(AVERAGEIFS(Pedidos!$K$2:$K$2224,Pedidos!$X$2:$X$2224,"SIM",Pedidos!$I$2:$I$2224,"Tsl Filial Sp",Pedidos!$F$2:$F$2224,$A28),"")</f>
        <v>137.278988764045</v>
      </c>
      <c r="K28" s="16" t="n">
        <f aca="false">IFERROR(MAX(0,1-D28/E28),"")</f>
        <v>0.343103684559175</v>
      </c>
    </row>
    <row r="29" customFormat="false" ht="15" hidden="false" customHeight="false" outlineLevel="0" collapsed="false">
      <c r="A29" s="14" t="s">
        <v>111</v>
      </c>
      <c r="B29" s="15" t="n">
        <f aca="false">COUNTIFS(Pedidos!$X$2:$X$2224,"SIM",Pedidos!$I$2:$I$2224,"Tsl Filial Sp",Pedidos!$F$2:$F$2224,$A29)</f>
        <v>19</v>
      </c>
      <c r="C29" s="17" t="n">
        <f aca="false">IFERROR(AVERAGEIFS(Pedidos!$G$2:$G$2224,Pedidos!$X$2:$X$2224,"SIM",Pedidos!$I$2:$I$2224,"Tsl Filial Sp",Pedidos!$F$2:$F$2224,$A29),"")</f>
        <v>74.1052631578947</v>
      </c>
      <c r="D29" s="18" t="n">
        <f aca="false">IFERROR(AVERAGEIFS(Pedidos!$J$2:$J$2224,Pedidos!$X$2:$X$2224,"SIM",Pedidos!$I$2:$I$2224,"Tsl Filial Sp",Pedidos!$F$2:$F$2224,$A29),"")</f>
        <v>147.008421052632</v>
      </c>
      <c r="E29" s="18" t="n">
        <f aca="false">IFERROR(AVERAGEIFS(Pedidos!$S$2:$S$2224,Pedidos!$X$2:$X$2224,"SIM",Pedidos!$I$2:$I$2224,"Tsl Filial Sp",Pedidos!$F$2:$F$2224,$A29),"")</f>
        <v>211.5</v>
      </c>
      <c r="F29" s="19" t="n">
        <f aca="false">IFERROR(E29/D29-1,"")</f>
        <v>0.438693093127497</v>
      </c>
      <c r="G29" s="16" t="n">
        <f aca="false">IFERROR(SUMIFS(Pedidos!$J$2:$J$2224,Pedidos!$X$2:$X$2224,"SIM",Pedidos!$I$2:$I$2224,"Tsl Filial Sp",Pedidos!$F$2:$F$2224,$A29)/SUMIFS(Pedidos!$H$2:$H$2224,Pedidos!$X$2:$X$2224,"SIM",Pedidos!$I$2:$I$2224,"Tsl Filial Sp",Pedidos!$F$2:$F$2224,$A29),"")</f>
        <v>0.153079052882413</v>
      </c>
      <c r="H29" s="16" t="n">
        <f aca="false">IFERROR(SUMIFS(Pedidos!$S$2:$S$2224,Pedidos!$X$2:$X$2224,"SIM",Pedidos!$I$2:$I$2224,"Tsl Filial Sp",Pedidos!$F$2:$F$2224,$A29)/SUMIFS(Pedidos!$H$2:$H$2224,Pedidos!$X$2:$X$2224,"SIM",Pedidos!$I$2:$I$2224,"Tsl Filial Sp",Pedidos!$F$2:$F$2224,$A29),"")</f>
        <v>0.220233776084426</v>
      </c>
      <c r="I29" s="16" t="n">
        <f aca="false">IFERROR(COUNTIFS(Pedidos!$X$2:$X$2224,"SIM",Pedidos!$I$2:$I$2224,"Tsl Filial Sp",Pedidos!$F$2:$F$2224,$A29,Pedidos!$V$2:$V$2224,"SIM")/B29,"")</f>
        <v>0</v>
      </c>
      <c r="J29" s="18" t="n">
        <f aca="false">IFERROR(AVERAGEIFS(Pedidos!$K$2:$K$2224,Pedidos!$X$2:$X$2224,"SIM",Pedidos!$I$2:$I$2224,"Tsl Filial Sp",Pedidos!$F$2:$F$2224,$A29),"")</f>
        <v>139.837894736842</v>
      </c>
      <c r="K29" s="16" t="n">
        <f aca="false">IFERROR(MAX(0,1-D29/E29),"")</f>
        <v>0.304924723155406</v>
      </c>
    </row>
    <row r="30" customFormat="false" ht="15" hidden="false" customHeight="false" outlineLevel="0" collapsed="false">
      <c r="A30" s="14" t="s">
        <v>112</v>
      </c>
      <c r="B30" s="15" t="n">
        <f aca="false">COUNTIFS(Pedidos!$X$2:$X$2224,"SIM",Pedidos!$I$2:$I$2224,"Tsl Filial Sp",Pedidos!$F$2:$F$2224,$A30)</f>
        <v>38</v>
      </c>
      <c r="C30" s="17" t="n">
        <f aca="false">IFERROR(AVERAGEIFS(Pedidos!$G$2:$G$2224,Pedidos!$X$2:$X$2224,"SIM",Pedidos!$I$2:$I$2224,"Tsl Filial Sp",Pedidos!$F$2:$F$2224,$A30),"")</f>
        <v>87.921052631579</v>
      </c>
      <c r="D30" s="18" t="n">
        <f aca="false">IFERROR(AVERAGEIFS(Pedidos!$J$2:$J$2224,Pedidos!$X$2:$X$2224,"SIM",Pedidos!$I$2:$I$2224,"Tsl Filial Sp",Pedidos!$F$2:$F$2224,$A30),"")</f>
        <v>174.32052631579</v>
      </c>
      <c r="E30" s="18" t="n">
        <f aca="false">IFERROR(AVERAGEIFS(Pedidos!$S$2:$S$2224,Pedidos!$X$2:$X$2224,"SIM",Pedidos!$I$2:$I$2224,"Tsl Filial Sp",Pedidos!$F$2:$F$2224,$A30),"")</f>
        <v>262.498968301435</v>
      </c>
      <c r="F30" s="19" t="n">
        <f aca="false">IFERROR(E30/D30-1,"")</f>
        <v>0.505840843010689</v>
      </c>
      <c r="G30" s="16" t="n">
        <f aca="false">IFERROR(SUMIFS(Pedidos!$J$2:$J$2224,Pedidos!$X$2:$X$2224,"SIM",Pedidos!$I$2:$I$2224,"Tsl Filial Sp",Pedidos!$F$2:$F$2224,$A30)/SUMIFS(Pedidos!$H$2:$H$2224,Pedidos!$X$2:$X$2224,"SIM",Pedidos!$I$2:$I$2224,"Tsl Filial Sp",Pedidos!$F$2:$F$2224,$A30),"")</f>
        <v>0.18016081853452</v>
      </c>
      <c r="H30" s="16" t="n">
        <f aca="false">IFERROR(SUMIFS(Pedidos!$S$2:$S$2224,Pedidos!$X$2:$X$2224,"SIM",Pedidos!$I$2:$I$2224,"Tsl Filial Sp",Pedidos!$F$2:$F$2224,$A30)/SUMIFS(Pedidos!$H$2:$H$2224,Pedidos!$X$2:$X$2224,"SIM",Pedidos!$I$2:$I$2224,"Tsl Filial Sp",Pedidos!$F$2:$F$2224,$A30),"")</f>
        <v>0.271293518859517</v>
      </c>
      <c r="I30" s="16" t="n">
        <f aca="false">IFERROR(COUNTIFS(Pedidos!$X$2:$X$2224,"SIM",Pedidos!$I$2:$I$2224,"Tsl Filial Sp",Pedidos!$F$2:$F$2224,$A30,Pedidos!$V$2:$V$2224,"SIM")/B30,"")</f>
        <v>0</v>
      </c>
      <c r="J30" s="18" t="n">
        <f aca="false">IFERROR(AVERAGEIFS(Pedidos!$K$2:$K$2224,Pedidos!$X$2:$X$2224,"SIM",Pedidos!$I$2:$I$2224,"Tsl Filial Sp",Pedidos!$F$2:$F$2224,$A30),"")</f>
        <v>177.595526315789</v>
      </c>
      <c r="K30" s="16" t="n">
        <f aca="false">IFERROR(MAX(0,1-D30/E30),"")</f>
        <v>0.335919194487606</v>
      </c>
    </row>
    <row r="31" customFormat="false" ht="15" hidden="false" customHeight="false" outlineLevel="0" collapsed="false">
      <c r="A31" s="14" t="s">
        <v>113</v>
      </c>
      <c r="B31" s="15" t="n">
        <f aca="false">COUNTIFS(Pedidos!$X$2:$X$2224,"SIM",Pedidos!$I$2:$I$2224,"Tsl Filial Sp",Pedidos!$F$2:$F$2224,$A31)</f>
        <v>35</v>
      </c>
      <c r="C31" s="17" t="n">
        <f aca="false">IFERROR(AVERAGEIFS(Pedidos!$G$2:$G$2224,Pedidos!$X$2:$X$2224,"SIM",Pedidos!$I$2:$I$2224,"Tsl Filial Sp",Pedidos!$F$2:$F$2224,$A31),"")</f>
        <v>110.189714285714</v>
      </c>
      <c r="D31" s="18" t="n">
        <f aca="false">IFERROR(AVERAGEIFS(Pedidos!$J$2:$J$2224,Pedidos!$X$2:$X$2224,"SIM",Pedidos!$I$2:$I$2224,"Tsl Filial Sp",Pedidos!$F$2:$F$2224,$A31),"")</f>
        <v>192.254857142857</v>
      </c>
      <c r="E31" s="18" t="n">
        <f aca="false">IFERROR(AVERAGEIFS(Pedidos!$S$2:$S$2224,Pedidos!$X$2:$X$2224,"SIM",Pedidos!$I$2:$I$2224,"Tsl Filial Sp",Pedidos!$F$2:$F$2224,$A31),"")</f>
        <v>313.390162337662</v>
      </c>
      <c r="F31" s="19" t="n">
        <f aca="false">IFERROR(E31/D31-1,"")</f>
        <v>0.630076696084688</v>
      </c>
      <c r="G31" s="16" t="n">
        <f aca="false">IFERROR(SUMIFS(Pedidos!$J$2:$J$2224,Pedidos!$X$2:$X$2224,"SIM",Pedidos!$I$2:$I$2224,"Tsl Filial Sp",Pedidos!$F$2:$F$2224,$A31)/SUMIFS(Pedidos!$H$2:$H$2224,Pedidos!$X$2:$X$2224,"SIM",Pedidos!$I$2:$I$2224,"Tsl Filial Sp",Pedidos!$F$2:$F$2224,$A31),"")</f>
        <v>0.15673407857248</v>
      </c>
      <c r="H31" s="16" t="n">
        <f aca="false">IFERROR(SUMIFS(Pedidos!$S$2:$S$2224,Pedidos!$X$2:$X$2224,"SIM",Pedidos!$I$2:$I$2224,"Tsl Filial Sp",Pedidos!$F$2:$F$2224,$A31)/SUMIFS(Pedidos!$H$2:$H$2224,Pedidos!$X$2:$X$2224,"SIM",Pedidos!$I$2:$I$2224,"Tsl Filial Sp",Pedidos!$F$2:$F$2224,$A31),"")</f>
        <v>0.255488568963306</v>
      </c>
      <c r="I31" s="16" t="n">
        <f aca="false">IFERROR(COUNTIFS(Pedidos!$X$2:$X$2224,"SIM",Pedidos!$I$2:$I$2224,"Tsl Filial Sp",Pedidos!$F$2:$F$2224,$A31,Pedidos!$V$2:$V$2224,"SIM")/B31,"")</f>
        <v>0</v>
      </c>
      <c r="J31" s="18" t="n">
        <f aca="false">IFERROR(AVERAGEIFS(Pedidos!$K$2:$K$2224,Pedidos!$X$2:$X$2224,"SIM",Pedidos!$I$2:$I$2224,"Tsl Filial Sp",Pedidos!$F$2:$F$2224,$A31),"")</f>
        <v>205.682857142857</v>
      </c>
      <c r="K31" s="16" t="n">
        <f aca="false">IFERROR(MAX(0,1-D31/E31),"")</f>
        <v>0.386531932882717</v>
      </c>
    </row>
    <row r="32" customFormat="false" ht="15" hidden="false" customHeight="false" outlineLevel="0" collapsed="false">
      <c r="A32" s="14" t="s">
        <v>114</v>
      </c>
      <c r="B32" s="15" t="n">
        <f aca="false">COUNTIFS(Pedidos!$X$2:$X$2224,"SIM",Pedidos!$I$2:$I$2224,"Tsl Filial Sp",Pedidos!$F$2:$F$2224,$A32)</f>
        <v>48</v>
      </c>
      <c r="C32" s="17" t="n">
        <f aca="false">IFERROR(AVERAGEIFS(Pedidos!$G$2:$G$2224,Pedidos!$X$2:$X$2224,"SIM",Pedidos!$I$2:$I$2224,"Tsl Filial Sp",Pedidos!$F$2:$F$2224,$A32),"")</f>
        <v>128.265416666667</v>
      </c>
      <c r="D32" s="18" t="n">
        <f aca="false">IFERROR(AVERAGEIFS(Pedidos!$J$2:$J$2224,Pedidos!$X$2:$X$2224,"SIM",Pedidos!$I$2:$I$2224,"Tsl Filial Sp",Pedidos!$F$2:$F$2224,$A32),"")</f>
        <v>239.579791666667</v>
      </c>
      <c r="E32" s="18" t="n">
        <f aca="false">IFERROR(AVERAGEIFS(Pedidos!$S$2:$S$2224,Pedidos!$X$2:$X$2224,"SIM",Pedidos!$I$2:$I$2224,"Tsl Filial Sp",Pedidos!$F$2:$F$2224,$A32),"")</f>
        <v>366.89615530303</v>
      </c>
      <c r="F32" s="19" t="n">
        <f aca="false">IFERROR(E32/D32-1,"")</f>
        <v>0.531415286534275</v>
      </c>
      <c r="G32" s="16" t="n">
        <f aca="false">IFERROR(SUMIFS(Pedidos!$J$2:$J$2224,Pedidos!$X$2:$X$2224,"SIM",Pedidos!$I$2:$I$2224,"Tsl Filial Sp",Pedidos!$F$2:$F$2224,$A32)/SUMIFS(Pedidos!$H$2:$H$2224,Pedidos!$X$2:$X$2224,"SIM",Pedidos!$I$2:$I$2224,"Tsl Filial Sp",Pedidos!$F$2:$F$2224,$A32),"")</f>
        <v>0.145351318065237</v>
      </c>
      <c r="H32" s="16" t="n">
        <f aca="false">IFERROR(SUMIFS(Pedidos!$S$2:$S$2224,Pedidos!$X$2:$X$2224,"SIM",Pedidos!$I$2:$I$2224,"Tsl Filial Sp",Pedidos!$F$2:$F$2224,$A32)/SUMIFS(Pedidos!$H$2:$H$2224,Pedidos!$X$2:$X$2224,"SIM",Pedidos!$I$2:$I$2224,"Tsl Filial Sp",Pedidos!$F$2:$F$2224,$A32),"")</f>
        <v>0.222593230403009</v>
      </c>
      <c r="I32" s="16" t="n">
        <f aca="false">IFERROR(COUNTIFS(Pedidos!$X$2:$X$2224,"SIM",Pedidos!$I$2:$I$2224,"Tsl Filial Sp",Pedidos!$F$2:$F$2224,$A32,Pedidos!$V$2:$V$2224,"SIM")/B32,"")</f>
        <v>0</v>
      </c>
      <c r="J32" s="18" t="n">
        <f aca="false">IFERROR(AVERAGEIFS(Pedidos!$K$2:$K$2224,Pedidos!$X$2:$X$2224,"SIM",Pedidos!$I$2:$I$2224,"Tsl Filial Sp",Pedidos!$F$2:$F$2224,$A32),"")</f>
        <v>242.1975</v>
      </c>
      <c r="K32" s="16" t="n">
        <f aca="false">IFERROR(MAX(0,1-D32/E32),"")</f>
        <v>0.347009260784456</v>
      </c>
    </row>
    <row r="33" customFormat="false" ht="15" hidden="false" customHeight="false" outlineLevel="0" collapsed="false">
      <c r="A33" s="14" t="s">
        <v>115</v>
      </c>
      <c r="B33" s="15" t="n">
        <f aca="false">COUNTIFS(Pedidos!$X$2:$X$2224,"SIM",Pedidos!$I$2:$I$2224,"Tsl Filial Sp",Pedidos!$F$2:$F$2224,$A33)</f>
        <v>3</v>
      </c>
      <c r="C33" s="17" t="n">
        <f aca="false">IFERROR(AVERAGEIFS(Pedidos!$G$2:$G$2224,Pedidos!$X$2:$X$2224,"SIM",Pedidos!$I$2:$I$2224,"Tsl Filial Sp",Pedidos!$F$2:$F$2224,$A33),"")</f>
        <v>160.633333333333</v>
      </c>
      <c r="D33" s="18" t="n">
        <f aca="false">IFERROR(AVERAGEIFS(Pedidos!$J$2:$J$2224,Pedidos!$X$2:$X$2224,"SIM",Pedidos!$I$2:$I$2224,"Tsl Filial Sp",Pedidos!$F$2:$F$2224,$A33),"")</f>
        <v>259.73</v>
      </c>
      <c r="E33" s="18" t="n">
        <f aca="false">IFERROR(AVERAGEIFS(Pedidos!$S$2:$S$2224,Pedidos!$X$2:$X$2224,"SIM",Pedidos!$I$2:$I$2224,"Tsl Filial Sp",Pedidos!$F$2:$F$2224,$A33),"")</f>
        <v>423.501022727273</v>
      </c>
      <c r="F33" s="19" t="n">
        <f aca="false">IFERROR(E33/D33-1,"")</f>
        <v>0.630543343962086</v>
      </c>
      <c r="G33" s="16" t="n">
        <f aca="false">IFERROR(SUMIFS(Pedidos!$J$2:$J$2224,Pedidos!$X$2:$X$2224,"SIM",Pedidos!$I$2:$I$2224,"Tsl Filial Sp",Pedidos!$F$2:$F$2224,$A33)/SUMIFS(Pedidos!$H$2:$H$2224,Pedidos!$X$2:$X$2224,"SIM",Pedidos!$I$2:$I$2224,"Tsl Filial Sp",Pedidos!$F$2:$F$2224,$A33),"")</f>
        <v>0.136043174008995</v>
      </c>
      <c r="H33" s="16" t="n">
        <f aca="false">IFERROR(SUMIFS(Pedidos!$S$2:$S$2224,Pedidos!$X$2:$X$2224,"SIM",Pedidos!$I$2:$I$2224,"Tsl Filial Sp",Pedidos!$F$2:$F$2224,$A33)/SUMIFS(Pedidos!$H$2:$H$2224,Pedidos!$X$2:$X$2224,"SIM",Pedidos!$I$2:$I$2224,"Tsl Filial Sp",Pedidos!$F$2:$F$2224,$A33),"")</f>
        <v>0.221824291871843</v>
      </c>
      <c r="I33" s="16" t="n">
        <f aca="false">IFERROR(COUNTIFS(Pedidos!$X$2:$X$2224,"SIM",Pedidos!$I$2:$I$2224,"Tsl Filial Sp",Pedidos!$F$2:$F$2224,$A33,Pedidos!$V$2:$V$2224,"SIM")/B33,"")</f>
        <v>0</v>
      </c>
      <c r="J33" s="18" t="n">
        <f aca="false">IFERROR(AVERAGEIFS(Pedidos!$K$2:$K$2224,Pedidos!$X$2:$X$2224,"SIM",Pedidos!$I$2:$I$2224,"Tsl Filial Sp",Pedidos!$F$2:$F$2224,$A33),"")</f>
        <v>274.843333333333</v>
      </c>
      <c r="K33" s="16" t="n">
        <f aca="false">IFERROR(MAX(0,1-D33/E33),"")</f>
        <v>0.386707502316325</v>
      </c>
    </row>
    <row r="34" customFormat="false" ht="15" hidden="false" customHeight="false" outlineLevel="0" collapsed="false">
      <c r="A34" s="14" t="s">
        <v>116</v>
      </c>
      <c r="B34" s="15" t="n">
        <f aca="false">COUNTIFS(Pedidos!$X$2:$X$2224,"SIM",Pedidos!$I$2:$I$2224,"Tsl Filial Sp",Pedidos!$F$2:$F$2224,$A34)</f>
        <v>1</v>
      </c>
      <c r="C34" s="17" t="n">
        <f aca="false">IFERROR(AVERAGEIFS(Pedidos!$G$2:$G$2224,Pedidos!$X$2:$X$2224,"SIM",Pedidos!$I$2:$I$2224,"Tsl Filial Sp",Pedidos!$F$2:$F$2224,$A34),"")</f>
        <v>188.4</v>
      </c>
      <c r="D34" s="18" t="n">
        <f aca="false">IFERROR(AVERAGEIFS(Pedidos!$J$2:$J$2224,Pedidos!$X$2:$X$2224,"SIM",Pedidos!$I$2:$I$2224,"Tsl Filial Sp",Pedidos!$F$2:$F$2224,$A34),"")</f>
        <v>198.28</v>
      </c>
      <c r="E34" s="18" t="n">
        <f aca="false">IFERROR(AVERAGEIFS(Pedidos!$S$2:$S$2224,Pedidos!$X$2:$X$2224,"SIM",Pedidos!$I$2:$I$2224,"Tsl Filial Sp",Pedidos!$F$2:$F$2224,$A34),"")</f>
        <v>529.025</v>
      </c>
      <c r="F34" s="19" t="n">
        <f aca="false">IFERROR(E34/D34-1,"")</f>
        <v>1.66807040548719</v>
      </c>
      <c r="G34" s="16" t="n">
        <f aca="false">IFERROR(SUMIFS(Pedidos!$J$2:$J$2224,Pedidos!$X$2:$X$2224,"SIM",Pedidos!$I$2:$I$2224,"Tsl Filial Sp",Pedidos!$F$2:$F$2224,$A34)/SUMIFS(Pedidos!$H$2:$H$2224,Pedidos!$X$2:$X$2224,"SIM",Pedidos!$I$2:$I$2224,"Tsl Filial Sp",Pedidos!$F$2:$F$2224,$A34),"")</f>
        <v>0.0994383149448345</v>
      </c>
      <c r="H34" s="16" t="n">
        <f aca="false">IFERROR(SUMIFS(Pedidos!$S$2:$S$2224,Pedidos!$X$2:$X$2224,"SIM",Pedidos!$I$2:$I$2224,"Tsl Filial Sp",Pedidos!$F$2:$F$2224,$A34)/SUMIFS(Pedidos!$H$2:$H$2224,Pedidos!$X$2:$X$2224,"SIM",Pedidos!$I$2:$I$2224,"Tsl Filial Sp",Pedidos!$F$2:$F$2224,$A34),"")</f>
        <v>0.265308425275828</v>
      </c>
      <c r="I34" s="16" t="n">
        <f aca="false">IFERROR(COUNTIFS(Pedidos!$X$2:$X$2224,"SIM",Pedidos!$I$2:$I$2224,"Tsl Filial Sp",Pedidos!$F$2:$F$2224,$A34,Pedidos!$V$2:$V$2224,"SIM")/B34,"")</f>
        <v>0</v>
      </c>
      <c r="J34" s="18" t="n">
        <f aca="false">IFERROR(AVERAGEIFS(Pedidos!$K$2:$K$2224,Pedidos!$X$2:$X$2224,"SIM",Pedidos!$I$2:$I$2224,"Tsl Filial Sp",Pedidos!$F$2:$F$2224,$A34),"")</f>
        <v>353.17</v>
      </c>
      <c r="K34" s="16" t="n">
        <f aca="false">IFERROR(MAX(0,1-D34/E34),"")</f>
        <v>0.625197296914134</v>
      </c>
    </row>
    <row r="35" customFormat="false" ht="15" hidden="false" customHeight="false" outlineLevel="0" collapsed="false">
      <c r="A35" s="14" t="s">
        <v>117</v>
      </c>
      <c r="B35" s="15" t="n">
        <f aca="false">COUNTIFS(Pedidos!$X$2:$X$2224,"SIM",Pedidos!$I$2:$I$2224,"Tsl Filial Sp",Pedidos!$F$2:$F$2224,$A35)</f>
        <v>0</v>
      </c>
      <c r="C35" s="17" t="str">
        <f aca="false">IFERROR(AVERAGEIFS(Pedidos!$G$2:$G$2224,Pedidos!$X$2:$X$2224,"SIM",Pedidos!$I$2:$I$2224,"Tsl Filial Sp",Pedidos!$F$2:$F$2224,$A35),"")</f>
        <v/>
      </c>
      <c r="D35" s="18" t="str">
        <f aca="false">IFERROR(AVERAGEIFS(Pedidos!$J$2:$J$2224,Pedidos!$X$2:$X$2224,"SIM",Pedidos!$I$2:$I$2224,"Tsl Filial Sp",Pedidos!$F$2:$F$2224,$A35),"")</f>
        <v/>
      </c>
      <c r="E35" s="18" t="str">
        <f aca="false">IFERROR(AVERAGEIFS(Pedidos!$S$2:$S$2224,Pedidos!$X$2:$X$2224,"SIM",Pedidos!$I$2:$I$2224,"Tsl Filial Sp",Pedidos!$F$2:$F$2224,$A35),"")</f>
        <v/>
      </c>
      <c r="F35" s="19" t="str">
        <f aca="false">IFERROR(E35/D35-1,"")</f>
        <v/>
      </c>
      <c r="G35" s="16" t="str">
        <f aca="false">IFERROR(SUMIFS(Pedidos!$J$2:$J$2224,Pedidos!$X$2:$X$2224,"SIM",Pedidos!$I$2:$I$2224,"Tsl Filial Sp",Pedidos!$F$2:$F$2224,$A35)/SUMIFS(Pedidos!$H$2:$H$2224,Pedidos!$X$2:$X$2224,"SIM",Pedidos!$I$2:$I$2224,"Tsl Filial Sp",Pedidos!$F$2:$F$2224,$A35),"")</f>
        <v/>
      </c>
      <c r="H35" s="16" t="str">
        <f aca="false">IFERROR(SUMIFS(Pedidos!$S$2:$S$2224,Pedidos!$X$2:$X$2224,"SIM",Pedidos!$I$2:$I$2224,"Tsl Filial Sp",Pedidos!$F$2:$F$2224,$A35)/SUMIFS(Pedidos!$H$2:$H$2224,Pedidos!$X$2:$X$2224,"SIM",Pedidos!$I$2:$I$2224,"Tsl Filial Sp",Pedidos!$F$2:$F$2224,$A35),"")</f>
        <v/>
      </c>
      <c r="I35" s="16" t="str">
        <f aca="false">IFERROR(COUNTIFS(Pedidos!$X$2:$X$2224,"SIM",Pedidos!$I$2:$I$2224,"Tsl Filial Sp",Pedidos!$F$2:$F$2224,$A35,Pedidos!$V$2:$V$2224,"SIM")/B35,"")</f>
        <v/>
      </c>
      <c r="J35" s="18" t="str">
        <f aca="false">IFERROR(AVERAGEIFS(Pedidos!$K$2:$K$2224,Pedidos!$X$2:$X$2224,"SIM",Pedidos!$I$2:$I$2224,"Tsl Filial Sp",Pedidos!$F$2:$F$2224,$A35),"")</f>
        <v/>
      </c>
      <c r="K35" s="16" t="str">
        <f aca="false">IFERROR(MAX(0,1-D35/E35),"")</f>
        <v/>
      </c>
    </row>
    <row r="36" customFormat="false" ht="15" hidden="false" customHeight="false" outlineLevel="0" collapsed="false">
      <c r="A36" s="14" t="s">
        <v>118</v>
      </c>
      <c r="B36" s="15" t="n">
        <f aca="false">COUNTIFS(Pedidos!$X$2:$X$2224,"SIM",Pedidos!$I$2:$I$2224,"Tsl Filial Sp",Pedidos!$F$2:$F$2224,$A36)</f>
        <v>0</v>
      </c>
      <c r="C36" s="17" t="str">
        <f aca="false">IFERROR(AVERAGEIFS(Pedidos!$G$2:$G$2224,Pedidos!$X$2:$X$2224,"SIM",Pedidos!$I$2:$I$2224,"Tsl Filial Sp",Pedidos!$F$2:$F$2224,$A36),"")</f>
        <v/>
      </c>
      <c r="D36" s="18" t="str">
        <f aca="false">IFERROR(AVERAGEIFS(Pedidos!$J$2:$J$2224,Pedidos!$X$2:$X$2224,"SIM",Pedidos!$I$2:$I$2224,"Tsl Filial Sp",Pedidos!$F$2:$F$2224,$A36),"")</f>
        <v/>
      </c>
      <c r="E36" s="18" t="str">
        <f aca="false">IFERROR(AVERAGEIFS(Pedidos!$S$2:$S$2224,Pedidos!$X$2:$X$2224,"SIM",Pedidos!$I$2:$I$2224,"Tsl Filial Sp",Pedidos!$F$2:$F$2224,$A36),"")</f>
        <v/>
      </c>
      <c r="F36" s="19" t="str">
        <f aca="false">IFERROR(E36/D36-1,"")</f>
        <v/>
      </c>
      <c r="G36" s="16" t="str">
        <f aca="false">IFERROR(SUMIFS(Pedidos!$J$2:$J$2224,Pedidos!$X$2:$X$2224,"SIM",Pedidos!$I$2:$I$2224,"Tsl Filial Sp",Pedidos!$F$2:$F$2224,$A36)/SUMIFS(Pedidos!$H$2:$H$2224,Pedidos!$X$2:$X$2224,"SIM",Pedidos!$I$2:$I$2224,"Tsl Filial Sp",Pedidos!$F$2:$F$2224,$A36),"")</f>
        <v/>
      </c>
      <c r="H36" s="16" t="str">
        <f aca="false">IFERROR(SUMIFS(Pedidos!$S$2:$S$2224,Pedidos!$X$2:$X$2224,"SIM",Pedidos!$I$2:$I$2224,"Tsl Filial Sp",Pedidos!$F$2:$F$2224,$A36)/SUMIFS(Pedidos!$H$2:$H$2224,Pedidos!$X$2:$X$2224,"SIM",Pedidos!$I$2:$I$2224,"Tsl Filial Sp",Pedidos!$F$2:$F$2224,$A36),"")</f>
        <v/>
      </c>
      <c r="I36" s="16" t="str">
        <f aca="false">IFERROR(COUNTIFS(Pedidos!$X$2:$X$2224,"SIM",Pedidos!$I$2:$I$2224,"Tsl Filial Sp",Pedidos!$F$2:$F$2224,$A36,Pedidos!$V$2:$V$2224,"SIM")/B36,"")</f>
        <v/>
      </c>
      <c r="J36" s="18" t="str">
        <f aca="false">IFERROR(AVERAGEIFS(Pedidos!$K$2:$K$2224,Pedidos!$X$2:$X$2224,"SIM",Pedidos!$I$2:$I$2224,"Tsl Filial Sp",Pedidos!$F$2:$F$2224,$A36),"")</f>
        <v/>
      </c>
      <c r="K36" s="16" t="str">
        <f aca="false">IFERROR(MAX(0,1-D36/E36),"")</f>
        <v/>
      </c>
    </row>
    <row r="37" customFormat="false" ht="15" hidden="false" customHeight="false" outlineLevel="0" collapsed="false">
      <c r="A37" s="20" t="s">
        <v>119</v>
      </c>
      <c r="B37" s="21" t="n">
        <f aca="false">COUNTIFS(Pedidos!$X$2:$X$2224,"SIM",Pedidos!$I$2:$I$2224,"Tsl Filial Sp")</f>
        <v>1420</v>
      </c>
      <c r="C37" s="23" t="n">
        <f aca="false">IFERROR(AVERAGEIFS(Pedidos!$G$2:$G$2224,Pedidos!$X$2:$X$2224,"SIM",Pedidos!$I$2:$I$2224,"Tsl Filial Sp"),"")</f>
        <v>49.1020070422535</v>
      </c>
      <c r="D37" s="24" t="n">
        <f aca="false">IFERROR(AVERAGEIFS(Pedidos!$J$2:$J$2224,Pedidos!$X$2:$X$2224,"SIM",Pedidos!$I$2:$I$2224,"Tsl Filial Sp"),"")</f>
        <v>116.310556338028</v>
      </c>
      <c r="E37" s="24" t="n">
        <f aca="false">IFERROR(AVERAGEIFS(Pedidos!$S$2:$S$2224,Pedidos!$X$2:$X$2224,"SIM",Pedidos!$I$2:$I$2224,"Tsl Filial Sp"),"")</f>
        <v>167.023117637644</v>
      </c>
      <c r="F37" s="25" t="n">
        <f aca="false">IFERROR(E37/D37-1,"")</f>
        <v>0.436009962433954</v>
      </c>
      <c r="G37" s="22" t="n">
        <f aca="false">IFERROR(SUMIFS(Pedidos!$J$2:$J$2224,Pedidos!$X$2:$X$2224,"SIM",Pedidos!$I$2:$I$2224,"Tsl Filial Sp")/SUMIFS(Pedidos!$H$2:$H$2224,Pedidos!$X$2:$X$2224,"SIM",Pedidos!$I$2:$I$2224,"Tsl Filial Sp"),"")</f>
        <v>0.184113234445039</v>
      </c>
      <c r="H37" s="22" t="n">
        <f aca="false">IFERROR(SUMIFS(Pedidos!$S$2:$S$2224,Pedidos!$X$2:$X$2224,"SIM",Pedidos!$I$2:$I$2224,"Tsl Filial Sp")/SUMIFS(Pedidos!$H$2:$H$2224,Pedidos!$X$2:$X$2224,"SIM",Pedidos!$I$2:$I$2224,"Tsl Filial Sp"),"")</f>
        <v>0.264388438879014</v>
      </c>
      <c r="I37" s="22" t="n">
        <f aca="false">IFERROR(COUNTIFS(Pedidos!$X$2:$X$2224,"SIM",Pedidos!$I$2:$I$2224,"Tsl Filial Sp",Pedidos!$V$2:$V$2224,"SIM")/B37,"")</f>
        <v>0.00563380281690141</v>
      </c>
      <c r="J37" s="24" t="n">
        <f aca="false">IFERROR(AVERAGEIFS(Pedidos!$K$2:$K$2224,Pedidos!$X$2:$X$2224,"SIM",Pedidos!$I$2:$I$2224,"Tsl Filial Sp"),"")</f>
        <v>114.065852112676</v>
      </c>
      <c r="K37" s="22" t="n">
        <f aca="false">IFERROR(MAX(0,1-D37/E37),"")</f>
        <v>0.303626001100258</v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3" t="s">
        <v>121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45" hidden="false" customHeight="true" outlineLevel="0" collapsed="false">
      <c r="A40" s="4" t="s">
        <v>103</v>
      </c>
      <c r="B40" s="4" t="s">
        <v>31</v>
      </c>
      <c r="C40" s="4" t="s">
        <v>104</v>
      </c>
      <c r="D40" s="4" t="s">
        <v>67</v>
      </c>
      <c r="E40" s="4" t="s">
        <v>68</v>
      </c>
      <c r="F40" s="4" t="s">
        <v>70</v>
      </c>
      <c r="G40" s="4" t="s">
        <v>71</v>
      </c>
      <c r="H40" s="4" t="s">
        <v>72</v>
      </c>
      <c r="I40" s="4" t="s">
        <v>55</v>
      </c>
      <c r="J40" s="4" t="s">
        <v>73</v>
      </c>
      <c r="K40" s="4" t="s">
        <v>75</v>
      </c>
    </row>
    <row r="41" customFormat="false" ht="15" hidden="false" customHeight="false" outlineLevel="0" collapsed="false">
      <c r="A41" s="14" t="s">
        <v>105</v>
      </c>
      <c r="B41" s="15" t="n">
        <f aca="false">COUNTIFS(Pedidos!$X$2:$X$2224,"SIM",Pedidos!$I$2:$I$2224,"Tsl Transportes",Pedidos!$F$2:$F$2224,$A41)</f>
        <v>32</v>
      </c>
      <c r="C41" s="17" t="n">
        <f aca="false">IFERROR(AVERAGEIFS(Pedidos!$G$2:$G$2224,Pedidos!$X$2:$X$2224,"SIM",Pedidos!$I$2:$I$2224,"Tsl Transportes",Pedidos!$F$2:$F$2224,$A41),"")</f>
        <v>18.25</v>
      </c>
      <c r="D41" s="18" t="n">
        <f aca="false">IFERROR(AVERAGEIFS(Pedidos!$J$2:$J$2224,Pedidos!$X$2:$X$2224,"SIM",Pedidos!$I$2:$I$2224,"Tsl Transportes",Pedidos!$F$2:$F$2224,$A41),"")</f>
        <v>71.07625</v>
      </c>
      <c r="E41" s="18" t="n">
        <f aca="false">IFERROR(AVERAGEIFS(Pedidos!$S$2:$S$2224,Pedidos!$X$2:$X$2224,"SIM",Pedidos!$I$2:$I$2224,"Tsl Transportes",Pedidos!$F$2:$F$2224,$A41),"")</f>
        <v>76.3413352272727</v>
      </c>
      <c r="F41" s="19" t="n">
        <f aca="false">IFERROR(E41/D41-1,"")</f>
        <v>0.0740765758924074</v>
      </c>
      <c r="G41" s="16" t="n">
        <f aca="false">IFERROR(SUMIFS(Pedidos!$J$2:$J$2224,Pedidos!$X$2:$X$2224,"SIM",Pedidos!$I$2:$I$2224,"Tsl Transportes",Pedidos!$F$2:$F$2224,$A41)/SUMIFS(Pedidos!$H$2:$H$2224,Pedidos!$X$2:$X$2224,"SIM",Pedidos!$I$2:$I$2224,"Tsl Transportes",Pedidos!$F$2:$F$2224,$A41),"")</f>
        <v>0.221886843992215</v>
      </c>
      <c r="H41" s="16" t="n">
        <f aca="false">IFERROR(SUMIFS(Pedidos!$S$2:$S$2224,Pedidos!$X$2:$X$2224,"SIM",Pedidos!$I$2:$I$2224,"Tsl Transportes",Pedidos!$F$2:$F$2224,$A41)/SUMIFS(Pedidos!$H$2:$H$2224,Pedidos!$X$2:$X$2224,"SIM",Pedidos!$I$2:$I$2224,"Tsl Transportes",Pedidos!$F$2:$F$2224,$A41),"")</f>
        <v>0.238323461630731</v>
      </c>
      <c r="I41" s="16" t="n">
        <f aca="false">IFERROR(COUNTIFS(Pedidos!$X$2:$X$2224,"SIM",Pedidos!$I$2:$I$2224,"Tsl Transportes",Pedidos!$F$2:$F$2224,$A41,Pedidos!$V$2:$V$2224,"SIM")/B41,"")</f>
        <v>0.1875</v>
      </c>
      <c r="J41" s="18" t="n">
        <f aca="false">IFERROR(AVERAGEIFS(Pedidos!$K$2:$K$2224,Pedidos!$X$2:$X$2224,"SIM",Pedidos!$I$2:$I$2224,"Tsl Transportes",Pedidos!$F$2:$F$2224,$A41),"")</f>
        <v>51.1728125</v>
      </c>
      <c r="K41" s="16" t="n">
        <f aca="false">IFERROR(MAX(0,1-D41/E41),"")</f>
        <v>0.0689676858755254</v>
      </c>
    </row>
    <row r="42" customFormat="false" ht="15" hidden="false" customHeight="false" outlineLevel="0" collapsed="false">
      <c r="A42" s="14" t="s">
        <v>106</v>
      </c>
      <c r="B42" s="15" t="n">
        <f aca="false">COUNTIFS(Pedidos!$X$2:$X$2224,"SIM",Pedidos!$I$2:$I$2224,"Tsl Transportes",Pedidos!$F$2:$F$2224,$A42)</f>
        <v>77</v>
      </c>
      <c r="C42" s="17" t="n">
        <f aca="false">IFERROR(AVERAGEIFS(Pedidos!$G$2:$G$2224,Pedidos!$X$2:$X$2224,"SIM",Pedidos!$I$2:$I$2224,"Tsl Transportes",Pedidos!$F$2:$F$2224,$A42),"")</f>
        <v>28.9035064935065</v>
      </c>
      <c r="D42" s="18" t="n">
        <f aca="false">IFERROR(AVERAGEIFS(Pedidos!$J$2:$J$2224,Pedidos!$X$2:$X$2224,"SIM",Pedidos!$I$2:$I$2224,"Tsl Transportes",Pedidos!$F$2:$F$2224,$A42),"")</f>
        <v>94.6718181818182</v>
      </c>
      <c r="E42" s="18" t="n">
        <f aca="false">IFERROR(AVERAGEIFS(Pedidos!$S$2:$S$2224,Pedidos!$X$2:$X$2224,"SIM",Pedidos!$I$2:$I$2224,"Tsl Transportes",Pedidos!$F$2:$F$2224,$A42),"")</f>
        <v>134.367504427391</v>
      </c>
      <c r="F42" s="19" t="n">
        <f aca="false">IFERROR(E42/D42-1,"")</f>
        <v>0.419297812252181</v>
      </c>
      <c r="G42" s="16" t="n">
        <f aca="false">IFERROR(SUMIFS(Pedidos!$J$2:$J$2224,Pedidos!$X$2:$X$2224,"SIM",Pedidos!$I$2:$I$2224,"Tsl Transportes",Pedidos!$F$2:$F$2224,$A42)/SUMIFS(Pedidos!$H$2:$H$2224,Pedidos!$X$2:$X$2224,"SIM",Pedidos!$I$2:$I$2224,"Tsl Transportes",Pedidos!$F$2:$F$2224,$A42),"")</f>
        <v>0.22413772958826</v>
      </c>
      <c r="H42" s="16" t="n">
        <f aca="false">IFERROR(SUMIFS(Pedidos!$S$2:$S$2224,Pedidos!$X$2:$X$2224,"SIM",Pedidos!$I$2:$I$2224,"Tsl Transportes",Pedidos!$F$2:$F$2224,$A42)/SUMIFS(Pedidos!$H$2:$H$2224,Pedidos!$X$2:$X$2224,"SIM",Pedidos!$I$2:$I$2224,"Tsl Transportes",Pedidos!$F$2:$F$2224,$A42),"")</f>
        <v>0.318118189247788</v>
      </c>
      <c r="I42" s="16" t="n">
        <f aca="false">IFERROR(COUNTIFS(Pedidos!$X$2:$X$2224,"SIM",Pedidos!$I$2:$I$2224,"Tsl Transportes",Pedidos!$F$2:$F$2224,$A42,Pedidos!$V$2:$V$2224,"SIM")/B42,"")</f>
        <v>0</v>
      </c>
      <c r="J42" s="18" t="n">
        <f aca="false">IFERROR(AVERAGEIFS(Pedidos!$K$2:$K$2224,Pedidos!$X$2:$X$2224,"SIM",Pedidos!$I$2:$I$2224,"Tsl Transportes",Pedidos!$F$2:$F$2224,$A42),"")</f>
        <v>96.5603896103896</v>
      </c>
      <c r="K42" s="16" t="n">
        <f aca="false">IFERROR(MAX(0,1-D42/E42),"")</f>
        <v>0.295426237279143</v>
      </c>
    </row>
    <row r="43" customFormat="false" ht="15" hidden="false" customHeight="false" outlineLevel="0" collapsed="false">
      <c r="A43" s="14" t="s">
        <v>107</v>
      </c>
      <c r="B43" s="15" t="n">
        <f aca="false">COUNTIFS(Pedidos!$X$2:$X$2224,"SIM",Pedidos!$I$2:$I$2224,"Tsl Transportes",Pedidos!$F$2:$F$2224,$A43)</f>
        <v>68</v>
      </c>
      <c r="C43" s="17" t="n">
        <f aca="false">IFERROR(AVERAGEIFS(Pedidos!$G$2:$G$2224,Pedidos!$X$2:$X$2224,"SIM",Pedidos!$I$2:$I$2224,"Tsl Transportes",Pedidos!$F$2:$F$2224,$A43),"")</f>
        <v>37.6114705882353</v>
      </c>
      <c r="D43" s="18" t="n">
        <f aca="false">IFERROR(AVERAGEIFS(Pedidos!$J$2:$J$2224,Pedidos!$X$2:$X$2224,"SIM",Pedidos!$I$2:$I$2224,"Tsl Transportes",Pedidos!$F$2:$F$2224,$A43),"")</f>
        <v>109.974705882353</v>
      </c>
      <c r="E43" s="18" t="n">
        <f aca="false">IFERROR(AVERAGEIFS(Pedidos!$S$2:$S$2224,Pedidos!$X$2:$X$2224,"SIM",Pedidos!$I$2:$I$2224,"Tsl Transportes",Pedidos!$F$2:$F$2224,$A43),"")</f>
        <v>153.602421457219</v>
      </c>
      <c r="F43" s="19" t="n">
        <f aca="false">IFERROR(E43/D43-1,"")</f>
        <v>0.396706817488902</v>
      </c>
      <c r="G43" s="16" t="n">
        <f aca="false">IFERROR(SUMIFS(Pedidos!$J$2:$J$2224,Pedidos!$X$2:$X$2224,"SIM",Pedidos!$I$2:$I$2224,"Tsl Transportes",Pedidos!$F$2:$F$2224,$A43)/SUMIFS(Pedidos!$H$2:$H$2224,Pedidos!$X$2:$X$2224,"SIM",Pedidos!$I$2:$I$2224,"Tsl Transportes",Pedidos!$F$2:$F$2224,$A43),"")</f>
        <v>0.23763852459902</v>
      </c>
      <c r="H43" s="16" t="n">
        <f aca="false">IFERROR(SUMIFS(Pedidos!$S$2:$S$2224,Pedidos!$X$2:$X$2224,"SIM",Pedidos!$I$2:$I$2224,"Tsl Transportes",Pedidos!$F$2:$F$2224,$A43)/SUMIFS(Pedidos!$H$2:$H$2224,Pedidos!$X$2:$X$2224,"SIM",Pedidos!$I$2:$I$2224,"Tsl Transportes",Pedidos!$F$2:$F$2224,$A43),"")</f>
        <v>0.331911347405455</v>
      </c>
      <c r="I43" s="16" t="n">
        <f aca="false">IFERROR(COUNTIFS(Pedidos!$X$2:$X$2224,"SIM",Pedidos!$I$2:$I$2224,"Tsl Transportes",Pedidos!$F$2:$F$2224,$A43,Pedidos!$V$2:$V$2224,"SIM")/B43,"")</f>
        <v>0</v>
      </c>
      <c r="J43" s="18" t="n">
        <f aca="false">IFERROR(AVERAGEIFS(Pedidos!$K$2:$K$2224,Pedidos!$X$2:$X$2224,"SIM",Pedidos!$I$2:$I$2224,"Tsl Transportes",Pedidos!$F$2:$F$2224,$A43),"")</f>
        <v>108.916764705882</v>
      </c>
      <c r="K43" s="16" t="n">
        <f aca="false">IFERROR(MAX(0,1-D43/E43),"")</f>
        <v>0.284030128958724</v>
      </c>
    </row>
    <row r="44" customFormat="false" ht="15" hidden="false" customHeight="false" outlineLevel="0" collapsed="false">
      <c r="A44" s="14" t="s">
        <v>108</v>
      </c>
      <c r="B44" s="15" t="n">
        <f aca="false">COUNTIFS(Pedidos!$X$2:$X$2224,"SIM",Pedidos!$I$2:$I$2224,"Tsl Transportes",Pedidos!$F$2:$F$2224,$A44)</f>
        <v>75</v>
      </c>
      <c r="C44" s="17" t="n">
        <f aca="false">IFERROR(AVERAGEIFS(Pedidos!$G$2:$G$2224,Pedidos!$X$2:$X$2224,"SIM",Pedidos!$I$2:$I$2224,"Tsl Transportes",Pedidos!$F$2:$F$2224,$A44),"")</f>
        <v>45.3293333333333</v>
      </c>
      <c r="D44" s="18" t="n">
        <f aca="false">IFERROR(AVERAGEIFS(Pedidos!$J$2:$J$2224,Pedidos!$X$2:$X$2224,"SIM",Pedidos!$I$2:$I$2224,"Tsl Transportes",Pedidos!$F$2:$F$2224,$A44),"")</f>
        <v>118.771066666667</v>
      </c>
      <c r="E44" s="18" t="n">
        <f aca="false">IFERROR(AVERAGEIFS(Pedidos!$S$2:$S$2224,Pedidos!$X$2:$X$2224,"SIM",Pedidos!$I$2:$I$2224,"Tsl Transportes",Pedidos!$F$2:$F$2224,$A44),"")</f>
        <v>160.394495454545</v>
      </c>
      <c r="F44" s="19" t="n">
        <f aca="false">IFERROR(E44/D44-1,"")</f>
        <v>0.350450913307832</v>
      </c>
      <c r="G44" s="16" t="n">
        <f aca="false">IFERROR(SUMIFS(Pedidos!$J$2:$J$2224,Pedidos!$X$2:$X$2224,"SIM",Pedidos!$I$2:$I$2224,"Tsl Transportes",Pedidos!$F$2:$F$2224,$A44)/SUMIFS(Pedidos!$H$2:$H$2224,Pedidos!$X$2:$X$2224,"SIM",Pedidos!$I$2:$I$2224,"Tsl Transportes",Pedidos!$F$2:$F$2224,$A44),"")</f>
        <v>0.202442584114817</v>
      </c>
      <c r="H44" s="16" t="n">
        <f aca="false">IFERROR(SUMIFS(Pedidos!$S$2:$S$2224,Pedidos!$X$2:$X$2224,"SIM",Pedidos!$I$2:$I$2224,"Tsl Transportes",Pedidos!$F$2:$F$2224,$A44)/SUMIFS(Pedidos!$H$2:$H$2224,Pedidos!$X$2:$X$2224,"SIM",Pedidos!$I$2:$I$2224,"Tsl Transportes",Pedidos!$F$2:$F$2224,$A44),"")</f>
        <v>0.273388772610253</v>
      </c>
      <c r="I44" s="16" t="n">
        <f aca="false">IFERROR(COUNTIFS(Pedidos!$X$2:$X$2224,"SIM",Pedidos!$I$2:$I$2224,"Tsl Transportes",Pedidos!$F$2:$F$2224,$A44,Pedidos!$V$2:$V$2224,"SIM")/B44,"")</f>
        <v>0</v>
      </c>
      <c r="J44" s="18" t="n">
        <f aca="false">IFERROR(AVERAGEIFS(Pedidos!$K$2:$K$2224,Pedidos!$X$2:$X$2224,"SIM",Pedidos!$I$2:$I$2224,"Tsl Transportes",Pedidos!$F$2:$F$2224,$A44),"")</f>
        <v>110.583466666667</v>
      </c>
      <c r="K44" s="16" t="n">
        <f aca="false">IFERROR(MAX(0,1-D44/E44),"")</f>
        <v>0.259506591357274</v>
      </c>
    </row>
    <row r="45" customFormat="false" ht="15" hidden="false" customHeight="false" outlineLevel="0" collapsed="false">
      <c r="A45" s="14" t="s">
        <v>109</v>
      </c>
      <c r="B45" s="15" t="n">
        <f aca="false">COUNTIFS(Pedidos!$X$2:$X$2224,"SIM",Pedidos!$I$2:$I$2224,"Tsl Transportes",Pedidos!$F$2:$F$2224,$A45)</f>
        <v>131</v>
      </c>
      <c r="C45" s="17" t="n">
        <f aca="false">IFERROR(AVERAGEIFS(Pedidos!$G$2:$G$2224,Pedidos!$X$2:$X$2224,"SIM",Pedidos!$I$2:$I$2224,"Tsl Transportes",Pedidos!$F$2:$F$2224,$A45),"")</f>
        <v>53.5468702290076</v>
      </c>
      <c r="D45" s="18" t="n">
        <f aca="false">IFERROR(AVERAGEIFS(Pedidos!$J$2:$J$2224,Pedidos!$X$2:$X$2224,"SIM",Pedidos!$I$2:$I$2224,"Tsl Transportes",Pedidos!$F$2:$F$2224,$A45),"")</f>
        <v>127.70786259542</v>
      </c>
      <c r="E45" s="18" t="n">
        <f aca="false">IFERROR(AVERAGEIFS(Pedidos!$S$2:$S$2224,Pedidos!$X$2:$X$2224,"SIM",Pedidos!$I$2:$I$2224,"Tsl Transportes",Pedidos!$F$2:$F$2224,$A45),"")</f>
        <v>180.446433900069</v>
      </c>
      <c r="F45" s="19" t="n">
        <f aca="false">IFERROR(E45/D45-1,"")</f>
        <v>0.412962602558983</v>
      </c>
      <c r="G45" s="16" t="n">
        <f aca="false">IFERROR(SUMIFS(Pedidos!$J$2:$J$2224,Pedidos!$X$2:$X$2224,"SIM",Pedidos!$I$2:$I$2224,"Tsl Transportes",Pedidos!$F$2:$F$2224,$A45)/SUMIFS(Pedidos!$H$2:$H$2224,Pedidos!$X$2:$X$2224,"SIM",Pedidos!$I$2:$I$2224,"Tsl Transportes",Pedidos!$F$2:$F$2224,$A45),"")</f>
        <v>0.182371767304695</v>
      </c>
      <c r="H45" s="16" t="n">
        <f aca="false">IFERROR(SUMIFS(Pedidos!$S$2:$S$2224,Pedidos!$X$2:$X$2224,"SIM",Pedidos!$I$2:$I$2224,"Tsl Transportes",Pedidos!$F$2:$F$2224,$A45)/SUMIFS(Pedidos!$H$2:$H$2224,Pedidos!$X$2:$X$2224,"SIM",Pedidos!$I$2:$I$2224,"Tsl Transportes",Pedidos!$F$2:$F$2224,$A45),"")</f>
        <v>0.257684486964123</v>
      </c>
      <c r="I45" s="16" t="n">
        <f aca="false">IFERROR(COUNTIFS(Pedidos!$X$2:$X$2224,"SIM",Pedidos!$I$2:$I$2224,"Tsl Transportes",Pedidos!$F$2:$F$2224,$A45,Pedidos!$V$2:$V$2224,"SIM")/B45,"")</f>
        <v>0</v>
      </c>
      <c r="J45" s="18" t="n">
        <f aca="false">IFERROR(AVERAGEIFS(Pedidos!$K$2:$K$2224,Pedidos!$X$2:$X$2224,"SIM",Pedidos!$I$2:$I$2224,"Tsl Transportes",Pedidos!$F$2:$F$2224,$A45),"")</f>
        <v>123.581984732824</v>
      </c>
      <c r="K45" s="16" t="n">
        <f aca="false">IFERROR(MAX(0,1-D45/E45),"")</f>
        <v>0.292267185140694</v>
      </c>
    </row>
    <row r="46" customFormat="false" ht="15" hidden="false" customHeight="false" outlineLevel="0" collapsed="false">
      <c r="A46" s="14" t="s">
        <v>110</v>
      </c>
      <c r="B46" s="15" t="n">
        <f aca="false">COUNTIFS(Pedidos!$X$2:$X$2224,"SIM",Pedidos!$I$2:$I$2224,"Tsl Transportes",Pedidos!$F$2:$F$2224,$A46)</f>
        <v>50</v>
      </c>
      <c r="C46" s="17" t="n">
        <f aca="false">IFERROR(AVERAGEIFS(Pedidos!$G$2:$G$2224,Pedidos!$X$2:$X$2224,"SIM",Pedidos!$I$2:$I$2224,"Tsl Transportes",Pedidos!$F$2:$F$2224,$A46),"")</f>
        <v>65.189</v>
      </c>
      <c r="D46" s="18" t="n">
        <f aca="false">IFERROR(AVERAGEIFS(Pedidos!$J$2:$J$2224,Pedidos!$X$2:$X$2224,"SIM",Pedidos!$I$2:$I$2224,"Tsl Transportes",Pedidos!$F$2:$F$2224,$A46),"")</f>
        <v>144.1524</v>
      </c>
      <c r="E46" s="18" t="n">
        <f aca="false">IFERROR(AVERAGEIFS(Pedidos!$S$2:$S$2224,Pedidos!$X$2:$X$2224,"SIM",Pedidos!$I$2:$I$2224,"Tsl Transportes",Pedidos!$F$2:$F$2224,$A46),"")</f>
        <v>216.025447727273</v>
      </c>
      <c r="F46" s="19" t="n">
        <f aca="false">IFERROR(E46/D46-1,"")</f>
        <v>0.498590711824935</v>
      </c>
      <c r="G46" s="16" t="n">
        <f aca="false">IFERROR(SUMIFS(Pedidos!$J$2:$J$2224,Pedidos!$X$2:$X$2224,"SIM",Pedidos!$I$2:$I$2224,"Tsl Transportes",Pedidos!$F$2:$F$2224,$A46)/SUMIFS(Pedidos!$H$2:$H$2224,Pedidos!$X$2:$X$2224,"SIM",Pedidos!$I$2:$I$2224,"Tsl Transportes",Pedidos!$F$2:$F$2224,$A46),"")</f>
        <v>0.191219972397926</v>
      </c>
      <c r="H46" s="16" t="n">
        <f aca="false">IFERROR(SUMIFS(Pedidos!$S$2:$S$2224,Pedidos!$X$2:$X$2224,"SIM",Pedidos!$I$2:$I$2224,"Tsl Transportes",Pedidos!$F$2:$F$2224,$A46)/SUMIFS(Pedidos!$H$2:$H$2224,Pedidos!$X$2:$X$2224,"SIM",Pedidos!$I$2:$I$2224,"Tsl Transportes",Pedidos!$F$2:$F$2224,$A46),"")</f>
        <v>0.286560474550953</v>
      </c>
      <c r="I46" s="16" t="n">
        <f aca="false">IFERROR(COUNTIFS(Pedidos!$X$2:$X$2224,"SIM",Pedidos!$I$2:$I$2224,"Tsl Transportes",Pedidos!$F$2:$F$2224,$A46,Pedidos!$V$2:$V$2224,"SIM")/B46,"")</f>
        <v>0</v>
      </c>
      <c r="J46" s="18" t="n">
        <f aca="false">IFERROR(AVERAGEIFS(Pedidos!$K$2:$K$2224,Pedidos!$X$2:$X$2224,"SIM",Pedidos!$I$2:$I$2224,"Tsl Transportes",Pedidos!$F$2:$F$2224,$A46),"")</f>
        <v>148.946</v>
      </c>
      <c r="K46" s="16" t="n">
        <f aca="false">IFERROR(MAX(0,1-D46/E46),"")</f>
        <v>0.332706394007852</v>
      </c>
    </row>
    <row r="47" customFormat="false" ht="15" hidden="false" customHeight="false" outlineLevel="0" collapsed="false">
      <c r="A47" s="14" t="s">
        <v>111</v>
      </c>
      <c r="B47" s="15" t="n">
        <f aca="false">COUNTIFS(Pedidos!$X$2:$X$2224,"SIM",Pedidos!$I$2:$I$2224,"Tsl Transportes",Pedidos!$F$2:$F$2224,$A47)</f>
        <v>5</v>
      </c>
      <c r="C47" s="17" t="n">
        <f aca="false">IFERROR(AVERAGEIFS(Pedidos!$G$2:$G$2224,Pedidos!$X$2:$X$2224,"SIM",Pedidos!$I$2:$I$2224,"Tsl Transportes",Pedidos!$F$2:$F$2224,$A47),"")</f>
        <v>75.34</v>
      </c>
      <c r="D47" s="18" t="n">
        <f aca="false">IFERROR(AVERAGEIFS(Pedidos!$J$2:$J$2224,Pedidos!$X$2:$X$2224,"SIM",Pedidos!$I$2:$I$2224,"Tsl Transportes",Pedidos!$F$2:$F$2224,$A47),"")</f>
        <v>153.752</v>
      </c>
      <c r="E47" s="18" t="n">
        <f aca="false">IFERROR(AVERAGEIFS(Pedidos!$S$2:$S$2224,Pedidos!$X$2:$X$2224,"SIM",Pedidos!$I$2:$I$2224,"Tsl Transportes",Pedidos!$F$2:$F$2224,$A47),"")</f>
        <v>209.872295454545</v>
      </c>
      <c r="F47" s="19" t="n">
        <f aca="false">IFERROR(E47/D47-1,"")</f>
        <v>0.36500530370041</v>
      </c>
      <c r="G47" s="16" t="n">
        <f aca="false">IFERROR(SUMIFS(Pedidos!$J$2:$J$2224,Pedidos!$X$2:$X$2224,"SIM",Pedidos!$I$2:$I$2224,"Tsl Transportes",Pedidos!$F$2:$F$2224,$A47)/SUMIFS(Pedidos!$H$2:$H$2224,Pedidos!$X$2:$X$2224,"SIM",Pedidos!$I$2:$I$2224,"Tsl Transportes",Pedidos!$F$2:$F$2224,$A47),"")</f>
        <v>0.158966087675765</v>
      </c>
      <c r="H47" s="16" t="n">
        <f aca="false">IFERROR(SUMIFS(Pedidos!$S$2:$S$2224,Pedidos!$X$2:$X$2224,"SIM",Pedidos!$I$2:$I$2224,"Tsl Transportes",Pedidos!$F$2:$F$2224,$A47)/SUMIFS(Pedidos!$H$2:$H$2224,Pedidos!$X$2:$X$2224,"SIM",Pedidos!$I$2:$I$2224,"Tsl Transportes",Pedidos!$F$2:$F$2224,$A47),"")</f>
        <v>0.216989552785924</v>
      </c>
      <c r="I47" s="16" t="n">
        <f aca="false">IFERROR(COUNTIFS(Pedidos!$X$2:$X$2224,"SIM",Pedidos!$I$2:$I$2224,"Tsl Transportes",Pedidos!$F$2:$F$2224,$A47,Pedidos!$V$2:$V$2224,"SIM")/B47,"")</f>
        <v>0</v>
      </c>
      <c r="J47" s="18" t="n">
        <f aca="false">IFERROR(AVERAGEIFS(Pedidos!$K$2:$K$2224,Pedidos!$X$2:$X$2224,"SIM",Pedidos!$I$2:$I$2224,"Tsl Transportes",Pedidos!$F$2:$F$2224,$A47),"")</f>
        <v>137.73</v>
      </c>
      <c r="K47" s="16" t="n">
        <f aca="false">IFERROR(MAX(0,1-D47/E47),"")</f>
        <v>0.267402113904549</v>
      </c>
    </row>
    <row r="48" customFormat="false" ht="15" hidden="false" customHeight="false" outlineLevel="0" collapsed="false">
      <c r="A48" s="14" t="s">
        <v>112</v>
      </c>
      <c r="B48" s="15" t="n">
        <f aca="false">COUNTIFS(Pedidos!$X$2:$X$2224,"SIM",Pedidos!$I$2:$I$2224,"Tsl Transportes",Pedidos!$F$2:$F$2224,$A48)</f>
        <v>5</v>
      </c>
      <c r="C48" s="17" t="n">
        <f aca="false">IFERROR(AVERAGEIFS(Pedidos!$G$2:$G$2224,Pedidos!$X$2:$X$2224,"SIM",Pedidos!$I$2:$I$2224,"Tsl Transportes",Pedidos!$F$2:$F$2224,$A48),"")</f>
        <v>84.1</v>
      </c>
      <c r="D48" s="18" t="n">
        <f aca="false">IFERROR(AVERAGEIFS(Pedidos!$J$2:$J$2224,Pedidos!$X$2:$X$2224,"SIM",Pedidos!$I$2:$I$2224,"Tsl Transportes",Pedidos!$F$2:$F$2224,$A48),"")</f>
        <v>176.928</v>
      </c>
      <c r="E48" s="18" t="n">
        <f aca="false">IFERROR(AVERAGEIFS(Pedidos!$S$2:$S$2224,Pedidos!$X$2:$X$2224,"SIM",Pedidos!$I$2:$I$2224,"Tsl Transportes",Pedidos!$F$2:$F$2224,$A48),"")</f>
        <v>258.858159090909</v>
      </c>
      <c r="F48" s="19" t="n">
        <f aca="false">IFERROR(E48/D48-1,"")</f>
        <v>0.463070622461731</v>
      </c>
      <c r="G48" s="16" t="n">
        <f aca="false">IFERROR(SUMIFS(Pedidos!$J$2:$J$2224,Pedidos!$X$2:$X$2224,"SIM",Pedidos!$I$2:$I$2224,"Tsl Transportes",Pedidos!$F$2:$F$2224,$A48)/SUMIFS(Pedidos!$H$2:$H$2224,Pedidos!$X$2:$X$2224,"SIM",Pedidos!$I$2:$I$2224,"Tsl Transportes",Pedidos!$F$2:$F$2224,$A48),"")</f>
        <v>0.191953756121694</v>
      </c>
      <c r="H48" s="16" t="n">
        <f aca="false">IFERROR(SUMIFS(Pedidos!$S$2:$S$2224,Pedidos!$X$2:$X$2224,"SIM",Pedidos!$I$2:$I$2224,"Tsl Transportes",Pedidos!$F$2:$F$2224,$A48)/SUMIFS(Pedidos!$H$2:$H$2224,Pedidos!$X$2:$X$2224,"SIM",Pedidos!$I$2:$I$2224,"Tsl Transportes",Pedidos!$F$2:$F$2224,$A48),"")</f>
        <v>0.280841901452834</v>
      </c>
      <c r="I48" s="16" t="n">
        <f aca="false">IFERROR(COUNTIFS(Pedidos!$X$2:$X$2224,"SIM",Pedidos!$I$2:$I$2224,"Tsl Transportes",Pedidos!$F$2:$F$2224,$A48,Pedidos!$V$2:$V$2224,"SIM")/B48,"")</f>
        <v>0</v>
      </c>
      <c r="J48" s="18" t="n">
        <f aca="false">IFERROR(AVERAGEIFS(Pedidos!$K$2:$K$2224,Pedidos!$X$2:$X$2224,"SIM",Pedidos!$I$2:$I$2224,"Tsl Transportes",Pedidos!$F$2:$F$2224,$A48),"")</f>
        <v>176.486</v>
      </c>
      <c r="K48" s="16" t="n">
        <f aca="false">IFERROR(MAX(0,1-D48/E48),"")</f>
        <v>0.316505994551772</v>
      </c>
    </row>
    <row r="49" customFormat="false" ht="15" hidden="false" customHeight="false" outlineLevel="0" collapsed="false">
      <c r="A49" s="14" t="s">
        <v>113</v>
      </c>
      <c r="B49" s="15" t="n">
        <f aca="false">COUNTIFS(Pedidos!$X$2:$X$2224,"SIM",Pedidos!$I$2:$I$2224,"Tsl Transportes",Pedidos!$F$2:$F$2224,$A49)</f>
        <v>12</v>
      </c>
      <c r="C49" s="17" t="n">
        <f aca="false">IFERROR(AVERAGEIFS(Pedidos!$G$2:$G$2224,Pedidos!$X$2:$X$2224,"SIM",Pedidos!$I$2:$I$2224,"Tsl Transportes",Pedidos!$F$2:$F$2224,$A49),"")</f>
        <v>110.591666666667</v>
      </c>
      <c r="D49" s="18" t="n">
        <f aca="false">IFERROR(AVERAGEIFS(Pedidos!$J$2:$J$2224,Pedidos!$X$2:$X$2224,"SIM",Pedidos!$I$2:$I$2224,"Tsl Transportes",Pedidos!$F$2:$F$2224,$A49),"")</f>
        <v>201.439166666667</v>
      </c>
      <c r="E49" s="18" t="n">
        <f aca="false">IFERROR(AVERAGEIFS(Pedidos!$S$2:$S$2224,Pedidos!$X$2:$X$2224,"SIM",Pedidos!$I$2:$I$2224,"Tsl Transportes",Pedidos!$F$2:$F$2224,$A49),"")</f>
        <v>324.561231060606</v>
      </c>
      <c r="F49" s="19" t="n">
        <f aca="false">IFERROR(E49/D49-1,"")</f>
        <v>0.61121214126981</v>
      </c>
      <c r="G49" s="16" t="n">
        <f aca="false">IFERROR(SUMIFS(Pedidos!$J$2:$J$2224,Pedidos!$X$2:$X$2224,"SIM",Pedidos!$I$2:$I$2224,"Tsl Transportes",Pedidos!$F$2:$F$2224,$A49)/SUMIFS(Pedidos!$H$2:$H$2224,Pedidos!$X$2:$X$2224,"SIM",Pedidos!$I$2:$I$2224,"Tsl Transportes",Pedidos!$F$2:$F$2224,$A49),"")</f>
        <v>0.166645180548882</v>
      </c>
      <c r="H49" s="16" t="n">
        <f aca="false">IFERROR(SUMIFS(Pedidos!$S$2:$S$2224,Pedidos!$X$2:$X$2224,"SIM",Pedidos!$I$2:$I$2224,"Tsl Transportes",Pedidos!$F$2:$F$2224,$A49)/SUMIFS(Pedidos!$H$2:$H$2224,Pedidos!$X$2:$X$2224,"SIM",Pedidos!$I$2:$I$2224,"Tsl Transportes",Pedidos!$F$2:$F$2224,$A49),"")</f>
        <v>0.268500738184458</v>
      </c>
      <c r="I49" s="16" t="n">
        <f aca="false">IFERROR(COUNTIFS(Pedidos!$X$2:$X$2224,"SIM",Pedidos!$I$2:$I$2224,"Tsl Transportes",Pedidos!$F$2:$F$2224,$A49,Pedidos!$V$2:$V$2224,"SIM")/B49,"")</f>
        <v>0</v>
      </c>
      <c r="J49" s="18" t="n">
        <f aca="false">IFERROR(AVERAGEIFS(Pedidos!$K$2:$K$2224,Pedidos!$X$2:$X$2224,"SIM",Pedidos!$I$2:$I$2224,"Tsl Transportes",Pedidos!$F$2:$F$2224,$A49),"")</f>
        <v>215.42</v>
      </c>
      <c r="K49" s="16" t="n">
        <f aca="false">IFERROR(MAX(0,1-D49/E49),"")</f>
        <v>0.379349264826237</v>
      </c>
    </row>
    <row r="50" customFormat="false" ht="15" hidden="false" customHeight="false" outlineLevel="0" collapsed="false">
      <c r="A50" s="14" t="s">
        <v>114</v>
      </c>
      <c r="B50" s="15" t="n">
        <f aca="false">COUNTIFS(Pedidos!$X$2:$X$2224,"SIM",Pedidos!$I$2:$I$2224,"Tsl Transportes",Pedidos!$F$2:$F$2224,$A50)</f>
        <v>25</v>
      </c>
      <c r="C50" s="17" t="n">
        <f aca="false">IFERROR(AVERAGEIFS(Pedidos!$G$2:$G$2224,Pedidos!$X$2:$X$2224,"SIM",Pedidos!$I$2:$I$2224,"Tsl Transportes",Pedidos!$F$2:$F$2224,$A50),"")</f>
        <v>129.036</v>
      </c>
      <c r="D50" s="18" t="n">
        <f aca="false">IFERROR(AVERAGEIFS(Pedidos!$J$2:$J$2224,Pedidos!$X$2:$X$2224,"SIM",Pedidos!$I$2:$I$2224,"Tsl Transportes",Pedidos!$F$2:$F$2224,$A50),"")</f>
        <v>243.2164</v>
      </c>
      <c r="E50" s="18" t="n">
        <f aca="false">IFERROR(AVERAGEIFS(Pedidos!$S$2:$S$2224,Pedidos!$X$2:$X$2224,"SIM",Pedidos!$I$2:$I$2224,"Tsl Transportes",Pedidos!$F$2:$F$2224,$A50),"")</f>
        <v>374.764763636364</v>
      </c>
      <c r="F50" s="19" t="n">
        <f aca="false">IFERROR(E50/D50-1,"")</f>
        <v>0.54086962736215</v>
      </c>
      <c r="G50" s="16" t="n">
        <f aca="false">IFERROR(SUMIFS(Pedidos!$J$2:$J$2224,Pedidos!$X$2:$X$2224,"SIM",Pedidos!$I$2:$I$2224,"Tsl Transportes",Pedidos!$F$2:$F$2224,$A50)/SUMIFS(Pedidos!$H$2:$H$2224,Pedidos!$X$2:$X$2224,"SIM",Pedidos!$I$2:$I$2224,"Tsl Transportes",Pedidos!$F$2:$F$2224,$A50),"")</f>
        <v>0.148479010805759</v>
      </c>
      <c r="H50" s="16" t="n">
        <f aca="false">IFERROR(SUMIFS(Pedidos!$S$2:$S$2224,Pedidos!$X$2:$X$2224,"SIM",Pedidos!$I$2:$I$2224,"Tsl Transportes",Pedidos!$F$2:$F$2224,$A50)/SUMIFS(Pedidos!$H$2:$H$2224,Pedidos!$X$2:$X$2224,"SIM",Pedidos!$I$2:$I$2224,"Tsl Transportes",Pedidos!$F$2:$F$2224,$A50),"")</f>
        <v>0.228786798051371</v>
      </c>
      <c r="I50" s="16" t="n">
        <f aca="false">IFERROR(COUNTIFS(Pedidos!$X$2:$X$2224,"SIM",Pedidos!$I$2:$I$2224,"Tsl Transportes",Pedidos!$F$2:$F$2224,$A50,Pedidos!$V$2:$V$2224,"SIM")/B50,"")</f>
        <v>0</v>
      </c>
      <c r="J50" s="18" t="n">
        <f aca="false">IFERROR(AVERAGEIFS(Pedidos!$K$2:$K$2224,Pedidos!$X$2:$X$2224,"SIM",Pedidos!$I$2:$I$2224,"Tsl Transportes",Pedidos!$F$2:$F$2224,$A50),"")</f>
        <v>248.7624</v>
      </c>
      <c r="K50" s="16" t="n">
        <f aca="false">IFERROR(MAX(0,1-D50/E50),"")</f>
        <v>0.351015827528561</v>
      </c>
    </row>
    <row r="51" customFormat="false" ht="15" hidden="false" customHeight="false" outlineLevel="0" collapsed="false">
      <c r="A51" s="14" t="s">
        <v>115</v>
      </c>
      <c r="B51" s="15" t="n">
        <f aca="false">COUNTIFS(Pedidos!$X$2:$X$2224,"SIM",Pedidos!$I$2:$I$2224,"Tsl Transportes",Pedidos!$F$2:$F$2224,$A51)</f>
        <v>0</v>
      </c>
      <c r="C51" s="17" t="str">
        <f aca="false">IFERROR(AVERAGEIFS(Pedidos!$G$2:$G$2224,Pedidos!$X$2:$X$2224,"SIM",Pedidos!$I$2:$I$2224,"Tsl Transportes",Pedidos!$F$2:$F$2224,$A51),"")</f>
        <v/>
      </c>
      <c r="D51" s="18" t="str">
        <f aca="false">IFERROR(AVERAGEIFS(Pedidos!$J$2:$J$2224,Pedidos!$X$2:$X$2224,"SIM",Pedidos!$I$2:$I$2224,"Tsl Transportes",Pedidos!$F$2:$F$2224,$A51),"")</f>
        <v/>
      </c>
      <c r="E51" s="18" t="str">
        <f aca="false">IFERROR(AVERAGEIFS(Pedidos!$S$2:$S$2224,Pedidos!$X$2:$X$2224,"SIM",Pedidos!$I$2:$I$2224,"Tsl Transportes",Pedidos!$F$2:$F$2224,$A51),"")</f>
        <v/>
      </c>
      <c r="F51" s="19" t="str">
        <f aca="false">IFERROR(E51/D51-1,"")</f>
        <v/>
      </c>
      <c r="G51" s="16" t="str">
        <f aca="false">IFERROR(SUMIFS(Pedidos!$J$2:$J$2224,Pedidos!$X$2:$X$2224,"SIM",Pedidos!$I$2:$I$2224,"Tsl Transportes",Pedidos!$F$2:$F$2224,$A51)/SUMIFS(Pedidos!$H$2:$H$2224,Pedidos!$X$2:$X$2224,"SIM",Pedidos!$I$2:$I$2224,"Tsl Transportes",Pedidos!$F$2:$F$2224,$A51),"")</f>
        <v/>
      </c>
      <c r="H51" s="16" t="str">
        <f aca="false">IFERROR(SUMIFS(Pedidos!$S$2:$S$2224,Pedidos!$X$2:$X$2224,"SIM",Pedidos!$I$2:$I$2224,"Tsl Transportes",Pedidos!$F$2:$F$2224,$A51)/SUMIFS(Pedidos!$H$2:$H$2224,Pedidos!$X$2:$X$2224,"SIM",Pedidos!$I$2:$I$2224,"Tsl Transportes",Pedidos!$F$2:$F$2224,$A51),"")</f>
        <v/>
      </c>
      <c r="I51" s="16" t="str">
        <f aca="false">IFERROR(COUNTIFS(Pedidos!$X$2:$X$2224,"SIM",Pedidos!$I$2:$I$2224,"Tsl Transportes",Pedidos!$F$2:$F$2224,$A51,Pedidos!$V$2:$V$2224,"SIM")/B51,"")</f>
        <v/>
      </c>
      <c r="J51" s="18" t="str">
        <f aca="false">IFERROR(AVERAGEIFS(Pedidos!$K$2:$K$2224,Pedidos!$X$2:$X$2224,"SIM",Pedidos!$I$2:$I$2224,"Tsl Transportes",Pedidos!$F$2:$F$2224,$A51),"")</f>
        <v/>
      </c>
      <c r="K51" s="16" t="str">
        <f aca="false">IFERROR(MAX(0,1-D51/E51),"")</f>
        <v/>
      </c>
    </row>
    <row r="52" customFormat="false" ht="15" hidden="false" customHeight="false" outlineLevel="0" collapsed="false">
      <c r="A52" s="14" t="s">
        <v>116</v>
      </c>
      <c r="B52" s="15" t="n">
        <f aca="false">COUNTIFS(Pedidos!$X$2:$X$2224,"SIM",Pedidos!$I$2:$I$2224,"Tsl Transportes",Pedidos!$F$2:$F$2224,$A52)</f>
        <v>0</v>
      </c>
      <c r="C52" s="17" t="str">
        <f aca="false">IFERROR(AVERAGEIFS(Pedidos!$G$2:$G$2224,Pedidos!$X$2:$X$2224,"SIM",Pedidos!$I$2:$I$2224,"Tsl Transportes",Pedidos!$F$2:$F$2224,$A52),"")</f>
        <v/>
      </c>
      <c r="D52" s="18" t="str">
        <f aca="false">IFERROR(AVERAGEIFS(Pedidos!$J$2:$J$2224,Pedidos!$X$2:$X$2224,"SIM",Pedidos!$I$2:$I$2224,"Tsl Transportes",Pedidos!$F$2:$F$2224,$A52),"")</f>
        <v/>
      </c>
      <c r="E52" s="18" t="str">
        <f aca="false">IFERROR(AVERAGEIFS(Pedidos!$S$2:$S$2224,Pedidos!$X$2:$X$2224,"SIM",Pedidos!$I$2:$I$2224,"Tsl Transportes",Pedidos!$F$2:$F$2224,$A52),"")</f>
        <v/>
      </c>
      <c r="F52" s="19" t="str">
        <f aca="false">IFERROR(E52/D52-1,"")</f>
        <v/>
      </c>
      <c r="G52" s="16" t="str">
        <f aca="false">IFERROR(SUMIFS(Pedidos!$J$2:$J$2224,Pedidos!$X$2:$X$2224,"SIM",Pedidos!$I$2:$I$2224,"Tsl Transportes",Pedidos!$F$2:$F$2224,$A52)/SUMIFS(Pedidos!$H$2:$H$2224,Pedidos!$X$2:$X$2224,"SIM",Pedidos!$I$2:$I$2224,"Tsl Transportes",Pedidos!$F$2:$F$2224,$A52),"")</f>
        <v/>
      </c>
      <c r="H52" s="16" t="str">
        <f aca="false">IFERROR(SUMIFS(Pedidos!$S$2:$S$2224,Pedidos!$X$2:$X$2224,"SIM",Pedidos!$I$2:$I$2224,"Tsl Transportes",Pedidos!$F$2:$F$2224,$A52)/SUMIFS(Pedidos!$H$2:$H$2224,Pedidos!$X$2:$X$2224,"SIM",Pedidos!$I$2:$I$2224,"Tsl Transportes",Pedidos!$F$2:$F$2224,$A52),"")</f>
        <v/>
      </c>
      <c r="I52" s="16" t="str">
        <f aca="false">IFERROR(COUNTIFS(Pedidos!$X$2:$X$2224,"SIM",Pedidos!$I$2:$I$2224,"Tsl Transportes",Pedidos!$F$2:$F$2224,$A52,Pedidos!$V$2:$V$2224,"SIM")/B52,"")</f>
        <v/>
      </c>
      <c r="J52" s="18" t="str">
        <f aca="false">IFERROR(AVERAGEIFS(Pedidos!$K$2:$K$2224,Pedidos!$X$2:$X$2224,"SIM",Pedidos!$I$2:$I$2224,"Tsl Transportes",Pedidos!$F$2:$F$2224,$A52),"")</f>
        <v/>
      </c>
      <c r="K52" s="16" t="str">
        <f aca="false">IFERROR(MAX(0,1-D52/E52),"")</f>
        <v/>
      </c>
    </row>
    <row r="53" customFormat="false" ht="15" hidden="false" customHeight="false" outlineLevel="0" collapsed="false">
      <c r="A53" s="14" t="s">
        <v>117</v>
      </c>
      <c r="B53" s="15" t="n">
        <f aca="false">COUNTIFS(Pedidos!$X$2:$X$2224,"SIM",Pedidos!$I$2:$I$2224,"Tsl Transportes",Pedidos!$F$2:$F$2224,$A53)</f>
        <v>1</v>
      </c>
      <c r="C53" s="17" t="n">
        <f aca="false">IFERROR(AVERAGEIFS(Pedidos!$G$2:$G$2224,Pedidos!$X$2:$X$2224,"SIM",Pedidos!$I$2:$I$2224,"Tsl Transportes",Pedidos!$F$2:$F$2224,$A53),"")</f>
        <v>200.3</v>
      </c>
      <c r="D53" s="18" t="n">
        <f aca="false">IFERROR(AVERAGEIFS(Pedidos!$J$2:$J$2224,Pedidos!$X$2:$X$2224,"SIM",Pedidos!$I$2:$I$2224,"Tsl Transportes",Pedidos!$F$2:$F$2224,$A53),"")</f>
        <v>338.2</v>
      </c>
      <c r="E53" s="18" t="n">
        <f aca="false">IFERROR(AVERAGEIFS(Pedidos!$S$2:$S$2224,Pedidos!$X$2:$X$2224,"SIM",Pedidos!$I$2:$I$2224,"Tsl Transportes",Pedidos!$F$2:$F$2224,$A53),"")</f>
        <v>593.327045454545</v>
      </c>
      <c r="F53" s="19" t="n">
        <f aca="false">IFERROR(E53/D53-1,"")</f>
        <v>0.754367372721897</v>
      </c>
      <c r="G53" s="16" t="n">
        <f aca="false">IFERROR(SUMIFS(Pedidos!$J$2:$J$2224,Pedidos!$X$2:$X$2224,"SIM",Pedidos!$I$2:$I$2224,"Tsl Transportes",Pedidos!$F$2:$F$2224,$A53)/SUMIFS(Pedidos!$H$2:$H$2224,Pedidos!$X$2:$X$2224,"SIM",Pedidos!$I$2:$I$2224,"Tsl Transportes",Pedidos!$F$2:$F$2224,$A53),"")</f>
        <v>0.159082570533505</v>
      </c>
      <c r="H53" s="16" t="n">
        <f aca="false">IFERROR(SUMIFS(Pedidos!$S$2:$S$2224,Pedidos!$X$2:$X$2224,"SIM",Pedidos!$I$2:$I$2224,"Tsl Transportes",Pedidos!$F$2:$F$2224,$A53)/SUMIFS(Pedidos!$H$2:$H$2224,Pedidos!$X$2:$X$2224,"SIM",Pedidos!$I$2:$I$2224,"Tsl Transportes",Pedidos!$F$2:$F$2224,$A53),"")</f>
        <v>0.279089271312711</v>
      </c>
      <c r="I53" s="16" t="n">
        <f aca="false">IFERROR(COUNTIFS(Pedidos!$X$2:$X$2224,"SIM",Pedidos!$I$2:$I$2224,"Tsl Transportes",Pedidos!$F$2:$F$2224,$A53,Pedidos!$V$2:$V$2224,"SIM")/B53,"")</f>
        <v>0</v>
      </c>
      <c r="J53" s="18" t="n">
        <f aca="false">IFERROR(AVERAGEIFS(Pedidos!$K$2:$K$2224,Pedidos!$X$2:$X$2224,"SIM",Pedidos!$I$2:$I$2224,"Tsl Transportes",Pedidos!$F$2:$F$2224,$A53),"")</f>
        <v>398.74</v>
      </c>
      <c r="K53" s="16" t="n">
        <f aca="false">IFERROR(MAX(0,1-D53/E53),"")</f>
        <v>0.429993959333328</v>
      </c>
    </row>
    <row r="54" customFormat="false" ht="15" hidden="false" customHeight="false" outlineLevel="0" collapsed="false">
      <c r="A54" s="14" t="s">
        <v>118</v>
      </c>
      <c r="B54" s="15" t="n">
        <f aca="false">COUNTIFS(Pedidos!$X$2:$X$2224,"SIM",Pedidos!$I$2:$I$2224,"Tsl Transportes",Pedidos!$F$2:$F$2224,$A54)</f>
        <v>0</v>
      </c>
      <c r="C54" s="17" t="str">
        <f aca="false">IFERROR(AVERAGEIFS(Pedidos!$G$2:$G$2224,Pedidos!$X$2:$X$2224,"SIM",Pedidos!$I$2:$I$2224,"Tsl Transportes",Pedidos!$F$2:$F$2224,$A54),"")</f>
        <v/>
      </c>
      <c r="D54" s="18" t="str">
        <f aca="false">IFERROR(AVERAGEIFS(Pedidos!$J$2:$J$2224,Pedidos!$X$2:$X$2224,"SIM",Pedidos!$I$2:$I$2224,"Tsl Transportes",Pedidos!$F$2:$F$2224,$A54),"")</f>
        <v/>
      </c>
      <c r="E54" s="18" t="str">
        <f aca="false">IFERROR(AVERAGEIFS(Pedidos!$S$2:$S$2224,Pedidos!$X$2:$X$2224,"SIM",Pedidos!$I$2:$I$2224,"Tsl Transportes",Pedidos!$F$2:$F$2224,$A54),"")</f>
        <v/>
      </c>
      <c r="F54" s="19" t="str">
        <f aca="false">IFERROR(E54/D54-1,"")</f>
        <v/>
      </c>
      <c r="G54" s="16" t="str">
        <f aca="false">IFERROR(SUMIFS(Pedidos!$J$2:$J$2224,Pedidos!$X$2:$X$2224,"SIM",Pedidos!$I$2:$I$2224,"Tsl Transportes",Pedidos!$F$2:$F$2224,$A54)/SUMIFS(Pedidos!$H$2:$H$2224,Pedidos!$X$2:$X$2224,"SIM",Pedidos!$I$2:$I$2224,"Tsl Transportes",Pedidos!$F$2:$F$2224,$A54),"")</f>
        <v/>
      </c>
      <c r="H54" s="16" t="str">
        <f aca="false">IFERROR(SUMIFS(Pedidos!$S$2:$S$2224,Pedidos!$X$2:$X$2224,"SIM",Pedidos!$I$2:$I$2224,"Tsl Transportes",Pedidos!$F$2:$F$2224,$A54)/SUMIFS(Pedidos!$H$2:$H$2224,Pedidos!$X$2:$X$2224,"SIM",Pedidos!$I$2:$I$2224,"Tsl Transportes",Pedidos!$F$2:$F$2224,$A54),"")</f>
        <v/>
      </c>
      <c r="I54" s="16" t="str">
        <f aca="false">IFERROR(COUNTIFS(Pedidos!$X$2:$X$2224,"SIM",Pedidos!$I$2:$I$2224,"Tsl Transportes",Pedidos!$F$2:$F$2224,$A54,Pedidos!$V$2:$V$2224,"SIM")/B54,"")</f>
        <v/>
      </c>
      <c r="J54" s="18" t="str">
        <f aca="false">IFERROR(AVERAGEIFS(Pedidos!$K$2:$K$2224,Pedidos!$X$2:$X$2224,"SIM",Pedidos!$I$2:$I$2224,"Tsl Transportes",Pedidos!$F$2:$F$2224,$A54),"")</f>
        <v/>
      </c>
      <c r="K54" s="16" t="str">
        <f aca="false">IFERROR(MAX(0,1-D54/E54),"")</f>
        <v/>
      </c>
    </row>
    <row r="55" customFormat="false" ht="15" hidden="false" customHeight="false" outlineLevel="0" collapsed="false">
      <c r="A55" s="20" t="s">
        <v>119</v>
      </c>
      <c r="B55" s="21" t="n">
        <f aca="false">COUNTIFS(Pedidos!$X$2:$X$2224,"SIM",Pedidos!$I$2:$I$2224,"Tsl Transportes")</f>
        <v>481</v>
      </c>
      <c r="C55" s="23" t="n">
        <f aca="false">IFERROR(AVERAGEIFS(Pedidos!$G$2:$G$2224,Pedidos!$X$2:$X$2224,"SIM",Pedidos!$I$2:$I$2224,"Tsl Transportes"),"")</f>
        <v>51.1256548856549</v>
      </c>
      <c r="D55" s="24" t="n">
        <f aca="false">IFERROR(AVERAGEIFS(Pedidos!$J$2:$J$2224,Pedidos!$X$2:$X$2224,"SIM",Pedidos!$I$2:$I$2224,"Tsl Transportes"),"")</f>
        <v>125.523721413721</v>
      </c>
      <c r="E55" s="24" t="n">
        <f aca="false">IFERROR(AVERAGEIFS(Pedidos!$S$2:$S$2224,Pedidos!$X$2:$X$2224,"SIM",Pedidos!$I$2:$I$2224,"Tsl Transportes"),"")</f>
        <v>178.595344689095</v>
      </c>
      <c r="F55" s="25" t="n">
        <f aca="false">IFERROR(E55/D55-1,"")</f>
        <v>0.422801544422438</v>
      </c>
      <c r="G55" s="22" t="n">
        <f aca="false">IFERROR(SUMIFS(Pedidos!$J$2:$J$2224,Pedidos!$X$2:$X$2224,"SIM",Pedidos!$I$2:$I$2224,"Tsl Transportes")/SUMIFS(Pedidos!$H$2:$H$2224,Pedidos!$X$2:$X$2224,"SIM",Pedidos!$I$2:$I$2224,"Tsl Transportes"),"")</f>
        <v>0.191855955641701</v>
      </c>
      <c r="H55" s="22" t="n">
        <f aca="false">IFERROR(SUMIFS(Pedidos!$S$2:$S$2224,Pedidos!$X$2:$X$2224,"SIM",Pedidos!$I$2:$I$2224,"Tsl Transportes")/SUMIFS(Pedidos!$H$2:$H$2224,Pedidos!$X$2:$X$2224,"SIM",Pedidos!$I$2:$I$2224,"Tsl Transportes"),"")</f>
        <v>0.272972949993654</v>
      </c>
      <c r="I55" s="22" t="n">
        <f aca="false">IFERROR(COUNTIFS(Pedidos!$X$2:$X$2224,"SIM",Pedidos!$I$2:$I$2224,"Tsl Transportes",Pedidos!$V$2:$V$2224,"SIM")/B55,"")</f>
        <v>0.0124740124740125</v>
      </c>
      <c r="J55" s="24" t="n">
        <f aca="false">IFERROR(AVERAGEIFS(Pedidos!$K$2:$K$2224,Pedidos!$X$2:$X$2224,"SIM",Pedidos!$I$2:$I$2224,"Tsl Transportes"),"")</f>
        <v>123.042079002079</v>
      </c>
      <c r="K55" s="22" t="n">
        <f aca="false">IFERROR(MAX(0,1-D55/E55),"")</f>
        <v>0.297161291453382</v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3" t="s">
        <v>122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45" hidden="false" customHeight="true" outlineLevel="0" collapsed="false">
      <c r="A58" s="4" t="s">
        <v>103</v>
      </c>
      <c r="B58" s="4" t="s">
        <v>31</v>
      </c>
      <c r="C58" s="4" t="s">
        <v>104</v>
      </c>
      <c r="D58" s="4" t="s">
        <v>67</v>
      </c>
      <c r="E58" s="4" t="s">
        <v>68</v>
      </c>
      <c r="F58" s="4" t="s">
        <v>70</v>
      </c>
      <c r="G58" s="4" t="s">
        <v>71</v>
      </c>
      <c r="H58" s="4" t="s">
        <v>72</v>
      </c>
      <c r="I58" s="4" t="s">
        <v>55</v>
      </c>
      <c r="J58" s="4" t="s">
        <v>73</v>
      </c>
      <c r="K58" s="4" t="s">
        <v>75</v>
      </c>
    </row>
    <row r="59" customFormat="false" ht="15" hidden="false" customHeight="false" outlineLevel="0" collapsed="false">
      <c r="A59" s="14" t="s">
        <v>105</v>
      </c>
      <c r="B59" s="15" t="n">
        <f aca="false">COUNTIFS(Pedidos!$X$2:$X$2224,"SIM",Pedidos!$I$2:$I$2224,"Jadlog Standard",Pedidos!$F$2:$F$2224,$A59)</f>
        <v>4</v>
      </c>
      <c r="C59" s="17" t="n">
        <f aca="false">IFERROR(AVERAGEIFS(Pedidos!$G$2:$G$2224,Pedidos!$X$2:$X$2224,"SIM",Pedidos!$I$2:$I$2224,"Jadlog Standard",Pedidos!$F$2:$F$2224,$A59),"")</f>
        <v>19.8</v>
      </c>
      <c r="D59" s="18" t="n">
        <f aca="false">IFERROR(AVERAGEIFS(Pedidos!$J$2:$J$2224,Pedidos!$X$2:$X$2224,"SIM",Pedidos!$I$2:$I$2224,"Jadlog Standard",Pedidos!$F$2:$F$2224,$A59),"")</f>
        <v>69.51</v>
      </c>
      <c r="E59" s="18" t="n">
        <f aca="false">IFERROR(AVERAGEIFS(Pedidos!$S$2:$S$2224,Pedidos!$X$2:$X$2224,"SIM",Pedidos!$I$2:$I$2224,"Jadlog Standard",Pedidos!$F$2:$F$2224,$A59),"")</f>
        <v>72.2579261363636</v>
      </c>
      <c r="F59" s="19" t="n">
        <f aca="false">IFERROR(E59/D59-1,"")</f>
        <v>0.0395328173840257</v>
      </c>
      <c r="G59" s="16" t="n">
        <f aca="false">IFERROR(SUMIFS(Pedidos!$J$2:$J$2224,Pedidos!$X$2:$X$2224,"SIM",Pedidos!$I$2:$I$2224,"Jadlog Standard",Pedidos!$F$2:$F$2224,$A59)/SUMIFS(Pedidos!$H$2:$H$2224,Pedidos!$X$2:$X$2224,"SIM",Pedidos!$I$2:$I$2224,"Jadlog Standard",Pedidos!$F$2:$F$2224,$A59),"")</f>
        <v>0.229920035723441</v>
      </c>
      <c r="H59" s="16" t="n">
        <f aca="false">IFERROR(SUMIFS(Pedidos!$S$2:$S$2224,Pedidos!$X$2:$X$2224,"SIM",Pedidos!$I$2:$I$2224,"Jadlog Standard",Pedidos!$F$2:$F$2224,$A59)/SUMIFS(Pedidos!$H$2:$H$2224,Pedidos!$X$2:$X$2224,"SIM",Pedidos!$I$2:$I$2224,"Jadlog Standard",Pedidos!$F$2:$F$2224,$A59),"")</f>
        <v>0.239009422508625</v>
      </c>
      <c r="I59" s="16" t="n">
        <f aca="false">IFERROR(COUNTIFS(Pedidos!$X$2:$X$2224,"SIM",Pedidos!$I$2:$I$2224,"Jadlog Standard",Pedidos!$F$2:$F$2224,$A59,Pedidos!$V$2:$V$2224,"SIM")/B59,"")</f>
        <v>0</v>
      </c>
      <c r="J59" s="18" t="n">
        <f aca="false">IFERROR(AVERAGEIFS(Pedidos!$K$2:$K$2224,Pedidos!$X$2:$X$2224,"SIM",Pedidos!$I$2:$I$2224,"Jadlog Standard",Pedidos!$F$2:$F$2224,$A59),"")</f>
        <v>46.98</v>
      </c>
      <c r="K59" s="16" t="n">
        <f aca="false">IFERROR(MAX(0,1-D59/E59),"")</f>
        <v>0.0380294077521378</v>
      </c>
    </row>
    <row r="60" customFormat="false" ht="15" hidden="false" customHeight="false" outlineLevel="0" collapsed="false">
      <c r="A60" s="14" t="s">
        <v>106</v>
      </c>
      <c r="B60" s="15" t="n">
        <f aca="false">COUNTIFS(Pedidos!$X$2:$X$2224,"SIM",Pedidos!$I$2:$I$2224,"Jadlog Standard",Pedidos!$F$2:$F$2224,$A60)</f>
        <v>6</v>
      </c>
      <c r="C60" s="17" t="n">
        <f aca="false">IFERROR(AVERAGEIFS(Pedidos!$G$2:$G$2224,Pedidos!$X$2:$X$2224,"SIM",Pedidos!$I$2:$I$2224,"Jadlog Standard",Pedidos!$F$2:$F$2224,$A60),"")</f>
        <v>21.4</v>
      </c>
      <c r="D60" s="18" t="n">
        <f aca="false">IFERROR(AVERAGEIFS(Pedidos!$J$2:$J$2224,Pedidos!$X$2:$X$2224,"SIM",Pedidos!$I$2:$I$2224,"Jadlog Standard",Pedidos!$F$2:$F$2224,$A60),"")</f>
        <v>86.3583333333333</v>
      </c>
      <c r="E60" s="18" t="n">
        <f aca="false">IFERROR(AVERAGEIFS(Pedidos!$S$2:$S$2224,Pedidos!$X$2:$X$2224,"SIM",Pedidos!$I$2:$I$2224,"Jadlog Standard",Pedidos!$F$2:$F$2224,$A60),"")</f>
        <v>120.724412878788</v>
      </c>
      <c r="F60" s="19" t="n">
        <f aca="false">IFERROR(E60/D60-1,"")</f>
        <v>0.397947461686244</v>
      </c>
      <c r="G60" s="16" t="n">
        <f aca="false">IFERROR(SUMIFS(Pedidos!$J$2:$J$2224,Pedidos!$X$2:$X$2224,"SIM",Pedidos!$I$2:$I$2224,"Jadlog Standard",Pedidos!$F$2:$F$2224,$A60)/SUMIFS(Pedidos!$H$2:$H$2224,Pedidos!$X$2:$X$2224,"SIM",Pedidos!$I$2:$I$2224,"Jadlog Standard",Pedidos!$F$2:$F$2224,$A60),"")</f>
        <v>0.191322103490802</v>
      </c>
      <c r="H60" s="16" t="n">
        <f aca="false">IFERROR(SUMIFS(Pedidos!$S$2:$S$2224,Pedidos!$X$2:$X$2224,"SIM",Pedidos!$I$2:$I$2224,"Jadlog Standard",Pedidos!$F$2:$F$2224,$A60)/SUMIFS(Pedidos!$H$2:$H$2224,Pedidos!$X$2:$X$2224,"SIM",Pedidos!$I$2:$I$2224,"Jadlog Standard",Pedidos!$F$2:$F$2224,$A60),"")</f>
        <v>0.26745824893944</v>
      </c>
      <c r="I60" s="16" t="n">
        <f aca="false">IFERROR(COUNTIFS(Pedidos!$X$2:$X$2224,"SIM",Pedidos!$I$2:$I$2224,"Jadlog Standard",Pedidos!$F$2:$F$2224,$A60,Pedidos!$V$2:$V$2224,"SIM")/B60,"")</f>
        <v>0</v>
      </c>
      <c r="J60" s="18" t="n">
        <f aca="false">IFERROR(AVERAGEIFS(Pedidos!$K$2:$K$2224,Pedidos!$X$2:$X$2224,"SIM",Pedidos!$I$2:$I$2224,"Jadlog Standard",Pedidos!$F$2:$F$2224,$A60),"")</f>
        <v>88.3333333333333</v>
      </c>
      <c r="K60" s="16" t="n">
        <f aca="false">IFERROR(MAX(0,1-D60/E60),"")</f>
        <v>0.284665534716325</v>
      </c>
    </row>
    <row r="61" customFormat="false" ht="15" hidden="false" customHeight="false" outlineLevel="0" collapsed="false">
      <c r="A61" s="14" t="s">
        <v>107</v>
      </c>
      <c r="B61" s="15" t="n">
        <f aca="false">COUNTIFS(Pedidos!$X$2:$X$2224,"SIM",Pedidos!$I$2:$I$2224,"Jadlog Standard",Pedidos!$F$2:$F$2224,$A61)</f>
        <v>0</v>
      </c>
      <c r="C61" s="17" t="str">
        <f aca="false">IFERROR(AVERAGEIFS(Pedidos!$G$2:$G$2224,Pedidos!$X$2:$X$2224,"SIM",Pedidos!$I$2:$I$2224,"Jadlog Standard",Pedidos!$F$2:$F$2224,$A61),"")</f>
        <v/>
      </c>
      <c r="D61" s="18" t="str">
        <f aca="false">IFERROR(AVERAGEIFS(Pedidos!$J$2:$J$2224,Pedidos!$X$2:$X$2224,"SIM",Pedidos!$I$2:$I$2224,"Jadlog Standard",Pedidos!$F$2:$F$2224,$A61),"")</f>
        <v/>
      </c>
      <c r="E61" s="18" t="str">
        <f aca="false">IFERROR(AVERAGEIFS(Pedidos!$S$2:$S$2224,Pedidos!$X$2:$X$2224,"SIM",Pedidos!$I$2:$I$2224,"Jadlog Standard",Pedidos!$F$2:$F$2224,$A61),"")</f>
        <v/>
      </c>
      <c r="F61" s="19" t="str">
        <f aca="false">IFERROR(E61/D61-1,"")</f>
        <v/>
      </c>
      <c r="G61" s="16" t="str">
        <f aca="false">IFERROR(SUMIFS(Pedidos!$J$2:$J$2224,Pedidos!$X$2:$X$2224,"SIM",Pedidos!$I$2:$I$2224,"Jadlog Standard",Pedidos!$F$2:$F$2224,$A61)/SUMIFS(Pedidos!$H$2:$H$2224,Pedidos!$X$2:$X$2224,"SIM",Pedidos!$I$2:$I$2224,"Jadlog Standard",Pedidos!$F$2:$F$2224,$A61),"")</f>
        <v/>
      </c>
      <c r="H61" s="16" t="str">
        <f aca="false">IFERROR(SUMIFS(Pedidos!$S$2:$S$2224,Pedidos!$X$2:$X$2224,"SIM",Pedidos!$I$2:$I$2224,"Jadlog Standard",Pedidos!$F$2:$F$2224,$A61)/SUMIFS(Pedidos!$H$2:$H$2224,Pedidos!$X$2:$X$2224,"SIM",Pedidos!$I$2:$I$2224,"Jadlog Standard",Pedidos!$F$2:$F$2224,$A61),"")</f>
        <v/>
      </c>
      <c r="I61" s="16" t="str">
        <f aca="false">IFERROR(COUNTIFS(Pedidos!$X$2:$X$2224,"SIM",Pedidos!$I$2:$I$2224,"Jadlog Standard",Pedidos!$F$2:$F$2224,$A61,Pedidos!$V$2:$V$2224,"SIM")/B61,"")</f>
        <v/>
      </c>
      <c r="J61" s="18" t="str">
        <f aca="false">IFERROR(AVERAGEIFS(Pedidos!$K$2:$K$2224,Pedidos!$X$2:$X$2224,"SIM",Pedidos!$I$2:$I$2224,"Jadlog Standard",Pedidos!$F$2:$F$2224,$A61),"")</f>
        <v/>
      </c>
      <c r="K61" s="16" t="str">
        <f aca="false">IFERROR(MAX(0,1-D61/E61),"")</f>
        <v/>
      </c>
    </row>
    <row r="62" customFormat="false" ht="15" hidden="false" customHeight="false" outlineLevel="0" collapsed="false">
      <c r="A62" s="14" t="s">
        <v>108</v>
      </c>
      <c r="B62" s="15" t="n">
        <f aca="false">COUNTIFS(Pedidos!$X$2:$X$2224,"SIM",Pedidos!$I$2:$I$2224,"Jadlog Standard",Pedidos!$F$2:$F$2224,$A62)</f>
        <v>0</v>
      </c>
      <c r="C62" s="17" t="str">
        <f aca="false">IFERROR(AVERAGEIFS(Pedidos!$G$2:$G$2224,Pedidos!$X$2:$X$2224,"SIM",Pedidos!$I$2:$I$2224,"Jadlog Standard",Pedidos!$F$2:$F$2224,$A62),"")</f>
        <v/>
      </c>
      <c r="D62" s="18" t="str">
        <f aca="false">IFERROR(AVERAGEIFS(Pedidos!$J$2:$J$2224,Pedidos!$X$2:$X$2224,"SIM",Pedidos!$I$2:$I$2224,"Jadlog Standard",Pedidos!$F$2:$F$2224,$A62),"")</f>
        <v/>
      </c>
      <c r="E62" s="18" t="str">
        <f aca="false">IFERROR(AVERAGEIFS(Pedidos!$S$2:$S$2224,Pedidos!$X$2:$X$2224,"SIM",Pedidos!$I$2:$I$2224,"Jadlog Standard",Pedidos!$F$2:$F$2224,$A62),"")</f>
        <v/>
      </c>
      <c r="F62" s="19" t="str">
        <f aca="false">IFERROR(E62/D62-1,"")</f>
        <v/>
      </c>
      <c r="G62" s="16" t="str">
        <f aca="false">IFERROR(SUMIFS(Pedidos!$J$2:$J$2224,Pedidos!$X$2:$X$2224,"SIM",Pedidos!$I$2:$I$2224,"Jadlog Standard",Pedidos!$F$2:$F$2224,$A62)/SUMIFS(Pedidos!$H$2:$H$2224,Pedidos!$X$2:$X$2224,"SIM",Pedidos!$I$2:$I$2224,"Jadlog Standard",Pedidos!$F$2:$F$2224,$A62),"")</f>
        <v/>
      </c>
      <c r="H62" s="16" t="str">
        <f aca="false">IFERROR(SUMIFS(Pedidos!$S$2:$S$2224,Pedidos!$X$2:$X$2224,"SIM",Pedidos!$I$2:$I$2224,"Jadlog Standard",Pedidos!$F$2:$F$2224,$A62)/SUMIFS(Pedidos!$H$2:$H$2224,Pedidos!$X$2:$X$2224,"SIM",Pedidos!$I$2:$I$2224,"Jadlog Standard",Pedidos!$F$2:$F$2224,$A62),"")</f>
        <v/>
      </c>
      <c r="I62" s="16" t="str">
        <f aca="false">IFERROR(COUNTIFS(Pedidos!$X$2:$X$2224,"SIM",Pedidos!$I$2:$I$2224,"Jadlog Standard",Pedidos!$F$2:$F$2224,$A62,Pedidos!$V$2:$V$2224,"SIM")/B62,"")</f>
        <v/>
      </c>
      <c r="J62" s="18" t="str">
        <f aca="false">IFERROR(AVERAGEIFS(Pedidos!$K$2:$K$2224,Pedidos!$X$2:$X$2224,"SIM",Pedidos!$I$2:$I$2224,"Jadlog Standard",Pedidos!$F$2:$F$2224,$A62),"")</f>
        <v/>
      </c>
      <c r="K62" s="16" t="str">
        <f aca="false">IFERROR(MAX(0,1-D62/E62),"")</f>
        <v/>
      </c>
    </row>
    <row r="63" customFormat="false" ht="15" hidden="false" customHeight="false" outlineLevel="0" collapsed="false">
      <c r="A63" s="14" t="s">
        <v>109</v>
      </c>
      <c r="B63" s="15" t="n">
        <f aca="false">COUNTIFS(Pedidos!$X$2:$X$2224,"SIM",Pedidos!$I$2:$I$2224,"Jadlog Standard",Pedidos!$F$2:$F$2224,$A63)</f>
        <v>0</v>
      </c>
      <c r="C63" s="17" t="str">
        <f aca="false">IFERROR(AVERAGEIFS(Pedidos!$G$2:$G$2224,Pedidos!$X$2:$X$2224,"SIM",Pedidos!$I$2:$I$2224,"Jadlog Standard",Pedidos!$F$2:$F$2224,$A63),"")</f>
        <v/>
      </c>
      <c r="D63" s="18" t="str">
        <f aca="false">IFERROR(AVERAGEIFS(Pedidos!$J$2:$J$2224,Pedidos!$X$2:$X$2224,"SIM",Pedidos!$I$2:$I$2224,"Jadlog Standard",Pedidos!$F$2:$F$2224,$A63),"")</f>
        <v/>
      </c>
      <c r="E63" s="18" t="str">
        <f aca="false">IFERROR(AVERAGEIFS(Pedidos!$S$2:$S$2224,Pedidos!$X$2:$X$2224,"SIM",Pedidos!$I$2:$I$2224,"Jadlog Standard",Pedidos!$F$2:$F$2224,$A63),"")</f>
        <v/>
      </c>
      <c r="F63" s="19" t="str">
        <f aca="false">IFERROR(E63/D63-1,"")</f>
        <v/>
      </c>
      <c r="G63" s="16" t="str">
        <f aca="false">IFERROR(SUMIFS(Pedidos!$J$2:$J$2224,Pedidos!$X$2:$X$2224,"SIM",Pedidos!$I$2:$I$2224,"Jadlog Standard",Pedidos!$F$2:$F$2224,$A63)/SUMIFS(Pedidos!$H$2:$H$2224,Pedidos!$X$2:$X$2224,"SIM",Pedidos!$I$2:$I$2224,"Jadlog Standard",Pedidos!$F$2:$F$2224,$A63),"")</f>
        <v/>
      </c>
      <c r="H63" s="16" t="str">
        <f aca="false">IFERROR(SUMIFS(Pedidos!$S$2:$S$2224,Pedidos!$X$2:$X$2224,"SIM",Pedidos!$I$2:$I$2224,"Jadlog Standard",Pedidos!$F$2:$F$2224,$A63)/SUMIFS(Pedidos!$H$2:$H$2224,Pedidos!$X$2:$X$2224,"SIM",Pedidos!$I$2:$I$2224,"Jadlog Standard",Pedidos!$F$2:$F$2224,$A63),"")</f>
        <v/>
      </c>
      <c r="I63" s="16" t="str">
        <f aca="false">IFERROR(COUNTIFS(Pedidos!$X$2:$X$2224,"SIM",Pedidos!$I$2:$I$2224,"Jadlog Standard",Pedidos!$F$2:$F$2224,$A63,Pedidos!$V$2:$V$2224,"SIM")/B63,"")</f>
        <v/>
      </c>
      <c r="J63" s="18" t="str">
        <f aca="false">IFERROR(AVERAGEIFS(Pedidos!$K$2:$K$2224,Pedidos!$X$2:$X$2224,"SIM",Pedidos!$I$2:$I$2224,"Jadlog Standard",Pedidos!$F$2:$F$2224,$A63),"")</f>
        <v/>
      </c>
      <c r="K63" s="16" t="str">
        <f aca="false">IFERROR(MAX(0,1-D63/E63),"")</f>
        <v/>
      </c>
    </row>
    <row r="64" customFormat="false" ht="15" hidden="false" customHeight="false" outlineLevel="0" collapsed="false">
      <c r="A64" s="14" t="s">
        <v>110</v>
      </c>
      <c r="B64" s="15" t="n">
        <f aca="false">COUNTIFS(Pedidos!$X$2:$X$2224,"SIM",Pedidos!$I$2:$I$2224,"Jadlog Standard",Pedidos!$F$2:$F$2224,$A64)</f>
        <v>0</v>
      </c>
      <c r="C64" s="17" t="str">
        <f aca="false">IFERROR(AVERAGEIFS(Pedidos!$G$2:$G$2224,Pedidos!$X$2:$X$2224,"SIM",Pedidos!$I$2:$I$2224,"Jadlog Standard",Pedidos!$F$2:$F$2224,$A64),"")</f>
        <v/>
      </c>
      <c r="D64" s="18" t="str">
        <f aca="false">IFERROR(AVERAGEIFS(Pedidos!$J$2:$J$2224,Pedidos!$X$2:$X$2224,"SIM",Pedidos!$I$2:$I$2224,"Jadlog Standard",Pedidos!$F$2:$F$2224,$A64),"")</f>
        <v/>
      </c>
      <c r="E64" s="18" t="str">
        <f aca="false">IFERROR(AVERAGEIFS(Pedidos!$S$2:$S$2224,Pedidos!$X$2:$X$2224,"SIM",Pedidos!$I$2:$I$2224,"Jadlog Standard",Pedidos!$F$2:$F$2224,$A64),"")</f>
        <v/>
      </c>
      <c r="F64" s="19" t="str">
        <f aca="false">IFERROR(E64/D64-1,"")</f>
        <v/>
      </c>
      <c r="G64" s="16" t="str">
        <f aca="false">IFERROR(SUMIFS(Pedidos!$J$2:$J$2224,Pedidos!$X$2:$X$2224,"SIM",Pedidos!$I$2:$I$2224,"Jadlog Standard",Pedidos!$F$2:$F$2224,$A64)/SUMIFS(Pedidos!$H$2:$H$2224,Pedidos!$X$2:$X$2224,"SIM",Pedidos!$I$2:$I$2224,"Jadlog Standard",Pedidos!$F$2:$F$2224,$A64),"")</f>
        <v/>
      </c>
      <c r="H64" s="16" t="str">
        <f aca="false">IFERROR(SUMIFS(Pedidos!$S$2:$S$2224,Pedidos!$X$2:$X$2224,"SIM",Pedidos!$I$2:$I$2224,"Jadlog Standard",Pedidos!$F$2:$F$2224,$A64)/SUMIFS(Pedidos!$H$2:$H$2224,Pedidos!$X$2:$X$2224,"SIM",Pedidos!$I$2:$I$2224,"Jadlog Standard",Pedidos!$F$2:$F$2224,$A64),"")</f>
        <v/>
      </c>
      <c r="I64" s="16" t="str">
        <f aca="false">IFERROR(COUNTIFS(Pedidos!$X$2:$X$2224,"SIM",Pedidos!$I$2:$I$2224,"Jadlog Standard",Pedidos!$F$2:$F$2224,$A64,Pedidos!$V$2:$V$2224,"SIM")/B64,"")</f>
        <v/>
      </c>
      <c r="J64" s="18" t="str">
        <f aca="false">IFERROR(AVERAGEIFS(Pedidos!$K$2:$K$2224,Pedidos!$X$2:$X$2224,"SIM",Pedidos!$I$2:$I$2224,"Jadlog Standard",Pedidos!$F$2:$F$2224,$A64),"")</f>
        <v/>
      </c>
      <c r="K64" s="16" t="str">
        <f aca="false">IFERROR(MAX(0,1-D64/E64),"")</f>
        <v/>
      </c>
    </row>
    <row r="65" customFormat="false" ht="15" hidden="false" customHeight="false" outlineLevel="0" collapsed="false">
      <c r="A65" s="14" t="s">
        <v>111</v>
      </c>
      <c r="B65" s="15" t="n">
        <f aca="false">COUNTIFS(Pedidos!$X$2:$X$2224,"SIM",Pedidos!$I$2:$I$2224,"Jadlog Standard",Pedidos!$F$2:$F$2224,$A65)</f>
        <v>0</v>
      </c>
      <c r="C65" s="17" t="str">
        <f aca="false">IFERROR(AVERAGEIFS(Pedidos!$G$2:$G$2224,Pedidos!$X$2:$X$2224,"SIM",Pedidos!$I$2:$I$2224,"Jadlog Standard",Pedidos!$F$2:$F$2224,$A65),"")</f>
        <v/>
      </c>
      <c r="D65" s="18" t="str">
        <f aca="false">IFERROR(AVERAGEIFS(Pedidos!$J$2:$J$2224,Pedidos!$X$2:$X$2224,"SIM",Pedidos!$I$2:$I$2224,"Jadlog Standard",Pedidos!$F$2:$F$2224,$A65),"")</f>
        <v/>
      </c>
      <c r="E65" s="18" t="str">
        <f aca="false">IFERROR(AVERAGEIFS(Pedidos!$S$2:$S$2224,Pedidos!$X$2:$X$2224,"SIM",Pedidos!$I$2:$I$2224,"Jadlog Standard",Pedidos!$F$2:$F$2224,$A65),"")</f>
        <v/>
      </c>
      <c r="F65" s="19" t="str">
        <f aca="false">IFERROR(E65/D65-1,"")</f>
        <v/>
      </c>
      <c r="G65" s="16" t="str">
        <f aca="false">IFERROR(SUMIFS(Pedidos!$J$2:$J$2224,Pedidos!$X$2:$X$2224,"SIM",Pedidos!$I$2:$I$2224,"Jadlog Standard",Pedidos!$F$2:$F$2224,$A65)/SUMIFS(Pedidos!$H$2:$H$2224,Pedidos!$X$2:$X$2224,"SIM",Pedidos!$I$2:$I$2224,"Jadlog Standard",Pedidos!$F$2:$F$2224,$A65),"")</f>
        <v/>
      </c>
      <c r="H65" s="16" t="str">
        <f aca="false">IFERROR(SUMIFS(Pedidos!$S$2:$S$2224,Pedidos!$X$2:$X$2224,"SIM",Pedidos!$I$2:$I$2224,"Jadlog Standard",Pedidos!$F$2:$F$2224,$A65)/SUMIFS(Pedidos!$H$2:$H$2224,Pedidos!$X$2:$X$2224,"SIM",Pedidos!$I$2:$I$2224,"Jadlog Standard",Pedidos!$F$2:$F$2224,$A65),"")</f>
        <v/>
      </c>
      <c r="I65" s="16" t="str">
        <f aca="false">IFERROR(COUNTIFS(Pedidos!$X$2:$X$2224,"SIM",Pedidos!$I$2:$I$2224,"Jadlog Standard",Pedidos!$F$2:$F$2224,$A65,Pedidos!$V$2:$V$2224,"SIM")/B65,"")</f>
        <v/>
      </c>
      <c r="J65" s="18" t="str">
        <f aca="false">IFERROR(AVERAGEIFS(Pedidos!$K$2:$K$2224,Pedidos!$X$2:$X$2224,"SIM",Pedidos!$I$2:$I$2224,"Jadlog Standard",Pedidos!$F$2:$F$2224,$A65),"")</f>
        <v/>
      </c>
      <c r="K65" s="16" t="str">
        <f aca="false">IFERROR(MAX(0,1-D65/E65),"")</f>
        <v/>
      </c>
    </row>
    <row r="66" customFormat="false" ht="15" hidden="false" customHeight="false" outlineLevel="0" collapsed="false">
      <c r="A66" s="14" t="s">
        <v>112</v>
      </c>
      <c r="B66" s="15" t="n">
        <f aca="false">COUNTIFS(Pedidos!$X$2:$X$2224,"SIM",Pedidos!$I$2:$I$2224,"Jadlog Standard",Pedidos!$F$2:$F$2224,$A66)</f>
        <v>0</v>
      </c>
      <c r="C66" s="17" t="str">
        <f aca="false">IFERROR(AVERAGEIFS(Pedidos!$G$2:$G$2224,Pedidos!$X$2:$X$2224,"SIM",Pedidos!$I$2:$I$2224,"Jadlog Standard",Pedidos!$F$2:$F$2224,$A66),"")</f>
        <v/>
      </c>
      <c r="D66" s="18" t="str">
        <f aca="false">IFERROR(AVERAGEIFS(Pedidos!$J$2:$J$2224,Pedidos!$X$2:$X$2224,"SIM",Pedidos!$I$2:$I$2224,"Jadlog Standard",Pedidos!$F$2:$F$2224,$A66),"")</f>
        <v/>
      </c>
      <c r="E66" s="18" t="str">
        <f aca="false">IFERROR(AVERAGEIFS(Pedidos!$S$2:$S$2224,Pedidos!$X$2:$X$2224,"SIM",Pedidos!$I$2:$I$2224,"Jadlog Standard",Pedidos!$F$2:$F$2224,$A66),"")</f>
        <v/>
      </c>
      <c r="F66" s="19" t="str">
        <f aca="false">IFERROR(E66/D66-1,"")</f>
        <v/>
      </c>
      <c r="G66" s="16" t="str">
        <f aca="false">IFERROR(SUMIFS(Pedidos!$J$2:$J$2224,Pedidos!$X$2:$X$2224,"SIM",Pedidos!$I$2:$I$2224,"Jadlog Standard",Pedidos!$F$2:$F$2224,$A66)/SUMIFS(Pedidos!$H$2:$H$2224,Pedidos!$X$2:$X$2224,"SIM",Pedidos!$I$2:$I$2224,"Jadlog Standard",Pedidos!$F$2:$F$2224,$A66),"")</f>
        <v/>
      </c>
      <c r="H66" s="16" t="str">
        <f aca="false">IFERROR(SUMIFS(Pedidos!$S$2:$S$2224,Pedidos!$X$2:$X$2224,"SIM",Pedidos!$I$2:$I$2224,"Jadlog Standard",Pedidos!$F$2:$F$2224,$A66)/SUMIFS(Pedidos!$H$2:$H$2224,Pedidos!$X$2:$X$2224,"SIM",Pedidos!$I$2:$I$2224,"Jadlog Standard",Pedidos!$F$2:$F$2224,$A66),"")</f>
        <v/>
      </c>
      <c r="I66" s="16" t="str">
        <f aca="false">IFERROR(COUNTIFS(Pedidos!$X$2:$X$2224,"SIM",Pedidos!$I$2:$I$2224,"Jadlog Standard",Pedidos!$F$2:$F$2224,$A66,Pedidos!$V$2:$V$2224,"SIM")/B66,"")</f>
        <v/>
      </c>
      <c r="J66" s="18" t="str">
        <f aca="false">IFERROR(AVERAGEIFS(Pedidos!$K$2:$K$2224,Pedidos!$X$2:$X$2224,"SIM",Pedidos!$I$2:$I$2224,"Jadlog Standard",Pedidos!$F$2:$F$2224,$A66),"")</f>
        <v/>
      </c>
      <c r="K66" s="16" t="str">
        <f aca="false">IFERROR(MAX(0,1-D66/E66),"")</f>
        <v/>
      </c>
    </row>
    <row r="67" customFormat="false" ht="15" hidden="false" customHeight="false" outlineLevel="0" collapsed="false">
      <c r="A67" s="14" t="s">
        <v>113</v>
      </c>
      <c r="B67" s="15" t="n">
        <f aca="false">COUNTIFS(Pedidos!$X$2:$X$2224,"SIM",Pedidos!$I$2:$I$2224,"Jadlog Standard",Pedidos!$F$2:$F$2224,$A67)</f>
        <v>0</v>
      </c>
      <c r="C67" s="17" t="str">
        <f aca="false">IFERROR(AVERAGEIFS(Pedidos!$G$2:$G$2224,Pedidos!$X$2:$X$2224,"SIM",Pedidos!$I$2:$I$2224,"Jadlog Standard",Pedidos!$F$2:$F$2224,$A67),"")</f>
        <v/>
      </c>
      <c r="D67" s="18" t="str">
        <f aca="false">IFERROR(AVERAGEIFS(Pedidos!$J$2:$J$2224,Pedidos!$X$2:$X$2224,"SIM",Pedidos!$I$2:$I$2224,"Jadlog Standard",Pedidos!$F$2:$F$2224,$A67),"")</f>
        <v/>
      </c>
      <c r="E67" s="18" t="str">
        <f aca="false">IFERROR(AVERAGEIFS(Pedidos!$S$2:$S$2224,Pedidos!$X$2:$X$2224,"SIM",Pedidos!$I$2:$I$2224,"Jadlog Standard",Pedidos!$F$2:$F$2224,$A67),"")</f>
        <v/>
      </c>
      <c r="F67" s="19" t="str">
        <f aca="false">IFERROR(E67/D67-1,"")</f>
        <v/>
      </c>
      <c r="G67" s="16" t="str">
        <f aca="false">IFERROR(SUMIFS(Pedidos!$J$2:$J$2224,Pedidos!$X$2:$X$2224,"SIM",Pedidos!$I$2:$I$2224,"Jadlog Standard",Pedidos!$F$2:$F$2224,$A67)/SUMIFS(Pedidos!$H$2:$H$2224,Pedidos!$X$2:$X$2224,"SIM",Pedidos!$I$2:$I$2224,"Jadlog Standard",Pedidos!$F$2:$F$2224,$A67),"")</f>
        <v/>
      </c>
      <c r="H67" s="16" t="str">
        <f aca="false">IFERROR(SUMIFS(Pedidos!$S$2:$S$2224,Pedidos!$X$2:$X$2224,"SIM",Pedidos!$I$2:$I$2224,"Jadlog Standard",Pedidos!$F$2:$F$2224,$A67)/SUMIFS(Pedidos!$H$2:$H$2224,Pedidos!$X$2:$X$2224,"SIM",Pedidos!$I$2:$I$2224,"Jadlog Standard",Pedidos!$F$2:$F$2224,$A67),"")</f>
        <v/>
      </c>
      <c r="I67" s="16" t="str">
        <f aca="false">IFERROR(COUNTIFS(Pedidos!$X$2:$X$2224,"SIM",Pedidos!$I$2:$I$2224,"Jadlog Standard",Pedidos!$F$2:$F$2224,$A67,Pedidos!$V$2:$V$2224,"SIM")/B67,"")</f>
        <v/>
      </c>
      <c r="J67" s="18" t="str">
        <f aca="false">IFERROR(AVERAGEIFS(Pedidos!$K$2:$K$2224,Pedidos!$X$2:$X$2224,"SIM",Pedidos!$I$2:$I$2224,"Jadlog Standard",Pedidos!$F$2:$F$2224,$A67),"")</f>
        <v/>
      </c>
      <c r="K67" s="16" t="str">
        <f aca="false">IFERROR(MAX(0,1-D67/E67),"")</f>
        <v/>
      </c>
    </row>
    <row r="68" customFormat="false" ht="15" hidden="false" customHeight="false" outlineLevel="0" collapsed="false">
      <c r="A68" s="14" t="s">
        <v>114</v>
      </c>
      <c r="B68" s="15" t="n">
        <f aca="false">COUNTIFS(Pedidos!$X$2:$X$2224,"SIM",Pedidos!$I$2:$I$2224,"Jadlog Standard",Pedidos!$F$2:$F$2224,$A68)</f>
        <v>0</v>
      </c>
      <c r="C68" s="17" t="str">
        <f aca="false">IFERROR(AVERAGEIFS(Pedidos!$G$2:$G$2224,Pedidos!$X$2:$X$2224,"SIM",Pedidos!$I$2:$I$2224,"Jadlog Standard",Pedidos!$F$2:$F$2224,$A68),"")</f>
        <v/>
      </c>
      <c r="D68" s="18" t="str">
        <f aca="false">IFERROR(AVERAGEIFS(Pedidos!$J$2:$J$2224,Pedidos!$X$2:$X$2224,"SIM",Pedidos!$I$2:$I$2224,"Jadlog Standard",Pedidos!$F$2:$F$2224,$A68),"")</f>
        <v/>
      </c>
      <c r="E68" s="18" t="str">
        <f aca="false">IFERROR(AVERAGEIFS(Pedidos!$S$2:$S$2224,Pedidos!$X$2:$X$2224,"SIM",Pedidos!$I$2:$I$2224,"Jadlog Standard",Pedidos!$F$2:$F$2224,$A68),"")</f>
        <v/>
      </c>
      <c r="F68" s="19" t="str">
        <f aca="false">IFERROR(E68/D68-1,"")</f>
        <v/>
      </c>
      <c r="G68" s="16" t="str">
        <f aca="false">IFERROR(SUMIFS(Pedidos!$J$2:$J$2224,Pedidos!$X$2:$X$2224,"SIM",Pedidos!$I$2:$I$2224,"Jadlog Standard",Pedidos!$F$2:$F$2224,$A68)/SUMIFS(Pedidos!$H$2:$H$2224,Pedidos!$X$2:$X$2224,"SIM",Pedidos!$I$2:$I$2224,"Jadlog Standard",Pedidos!$F$2:$F$2224,$A68),"")</f>
        <v/>
      </c>
      <c r="H68" s="16" t="str">
        <f aca="false">IFERROR(SUMIFS(Pedidos!$S$2:$S$2224,Pedidos!$X$2:$X$2224,"SIM",Pedidos!$I$2:$I$2224,"Jadlog Standard",Pedidos!$F$2:$F$2224,$A68)/SUMIFS(Pedidos!$H$2:$H$2224,Pedidos!$X$2:$X$2224,"SIM",Pedidos!$I$2:$I$2224,"Jadlog Standard",Pedidos!$F$2:$F$2224,$A68),"")</f>
        <v/>
      </c>
      <c r="I68" s="16" t="str">
        <f aca="false">IFERROR(COUNTIFS(Pedidos!$X$2:$X$2224,"SIM",Pedidos!$I$2:$I$2224,"Jadlog Standard",Pedidos!$F$2:$F$2224,$A68,Pedidos!$V$2:$V$2224,"SIM")/B68,"")</f>
        <v/>
      </c>
      <c r="J68" s="18" t="str">
        <f aca="false">IFERROR(AVERAGEIFS(Pedidos!$K$2:$K$2224,Pedidos!$X$2:$X$2224,"SIM",Pedidos!$I$2:$I$2224,"Jadlog Standard",Pedidos!$F$2:$F$2224,$A68),"")</f>
        <v/>
      </c>
      <c r="K68" s="16" t="str">
        <f aca="false">IFERROR(MAX(0,1-D68/E68),"")</f>
        <v/>
      </c>
    </row>
    <row r="69" customFormat="false" ht="15" hidden="false" customHeight="false" outlineLevel="0" collapsed="false">
      <c r="A69" s="14" t="s">
        <v>115</v>
      </c>
      <c r="B69" s="15" t="n">
        <f aca="false">COUNTIFS(Pedidos!$X$2:$X$2224,"SIM",Pedidos!$I$2:$I$2224,"Jadlog Standard",Pedidos!$F$2:$F$2224,$A69)</f>
        <v>0</v>
      </c>
      <c r="C69" s="17" t="str">
        <f aca="false">IFERROR(AVERAGEIFS(Pedidos!$G$2:$G$2224,Pedidos!$X$2:$X$2224,"SIM",Pedidos!$I$2:$I$2224,"Jadlog Standard",Pedidos!$F$2:$F$2224,$A69),"")</f>
        <v/>
      </c>
      <c r="D69" s="18" t="str">
        <f aca="false">IFERROR(AVERAGEIFS(Pedidos!$J$2:$J$2224,Pedidos!$X$2:$X$2224,"SIM",Pedidos!$I$2:$I$2224,"Jadlog Standard",Pedidos!$F$2:$F$2224,$A69),"")</f>
        <v/>
      </c>
      <c r="E69" s="18" t="str">
        <f aca="false">IFERROR(AVERAGEIFS(Pedidos!$S$2:$S$2224,Pedidos!$X$2:$X$2224,"SIM",Pedidos!$I$2:$I$2224,"Jadlog Standard",Pedidos!$F$2:$F$2224,$A69),"")</f>
        <v/>
      </c>
      <c r="F69" s="19" t="str">
        <f aca="false">IFERROR(E69/D69-1,"")</f>
        <v/>
      </c>
      <c r="G69" s="16" t="str">
        <f aca="false">IFERROR(SUMIFS(Pedidos!$J$2:$J$2224,Pedidos!$X$2:$X$2224,"SIM",Pedidos!$I$2:$I$2224,"Jadlog Standard",Pedidos!$F$2:$F$2224,$A69)/SUMIFS(Pedidos!$H$2:$H$2224,Pedidos!$X$2:$X$2224,"SIM",Pedidos!$I$2:$I$2224,"Jadlog Standard",Pedidos!$F$2:$F$2224,$A69),"")</f>
        <v/>
      </c>
      <c r="H69" s="16" t="str">
        <f aca="false">IFERROR(SUMIFS(Pedidos!$S$2:$S$2224,Pedidos!$X$2:$X$2224,"SIM",Pedidos!$I$2:$I$2224,"Jadlog Standard",Pedidos!$F$2:$F$2224,$A69)/SUMIFS(Pedidos!$H$2:$H$2224,Pedidos!$X$2:$X$2224,"SIM",Pedidos!$I$2:$I$2224,"Jadlog Standard",Pedidos!$F$2:$F$2224,$A69),"")</f>
        <v/>
      </c>
      <c r="I69" s="16" t="str">
        <f aca="false">IFERROR(COUNTIFS(Pedidos!$X$2:$X$2224,"SIM",Pedidos!$I$2:$I$2224,"Jadlog Standard",Pedidos!$F$2:$F$2224,$A69,Pedidos!$V$2:$V$2224,"SIM")/B69,"")</f>
        <v/>
      </c>
      <c r="J69" s="18" t="str">
        <f aca="false">IFERROR(AVERAGEIFS(Pedidos!$K$2:$K$2224,Pedidos!$X$2:$X$2224,"SIM",Pedidos!$I$2:$I$2224,"Jadlog Standard",Pedidos!$F$2:$F$2224,$A69),"")</f>
        <v/>
      </c>
      <c r="K69" s="16" t="str">
        <f aca="false">IFERROR(MAX(0,1-D69/E69),"")</f>
        <v/>
      </c>
    </row>
    <row r="70" customFormat="false" ht="15" hidden="false" customHeight="false" outlineLevel="0" collapsed="false">
      <c r="A70" s="14" t="s">
        <v>116</v>
      </c>
      <c r="B70" s="15" t="n">
        <f aca="false">COUNTIFS(Pedidos!$X$2:$X$2224,"SIM",Pedidos!$I$2:$I$2224,"Jadlog Standard",Pedidos!$F$2:$F$2224,$A70)</f>
        <v>0</v>
      </c>
      <c r="C70" s="17" t="str">
        <f aca="false">IFERROR(AVERAGEIFS(Pedidos!$G$2:$G$2224,Pedidos!$X$2:$X$2224,"SIM",Pedidos!$I$2:$I$2224,"Jadlog Standard",Pedidos!$F$2:$F$2224,$A70),"")</f>
        <v/>
      </c>
      <c r="D70" s="18" t="str">
        <f aca="false">IFERROR(AVERAGEIFS(Pedidos!$J$2:$J$2224,Pedidos!$X$2:$X$2224,"SIM",Pedidos!$I$2:$I$2224,"Jadlog Standard",Pedidos!$F$2:$F$2224,$A70),"")</f>
        <v/>
      </c>
      <c r="E70" s="18" t="str">
        <f aca="false">IFERROR(AVERAGEIFS(Pedidos!$S$2:$S$2224,Pedidos!$X$2:$X$2224,"SIM",Pedidos!$I$2:$I$2224,"Jadlog Standard",Pedidos!$F$2:$F$2224,$A70),"")</f>
        <v/>
      </c>
      <c r="F70" s="19" t="str">
        <f aca="false">IFERROR(E70/D70-1,"")</f>
        <v/>
      </c>
      <c r="G70" s="16" t="str">
        <f aca="false">IFERROR(SUMIFS(Pedidos!$J$2:$J$2224,Pedidos!$X$2:$X$2224,"SIM",Pedidos!$I$2:$I$2224,"Jadlog Standard",Pedidos!$F$2:$F$2224,$A70)/SUMIFS(Pedidos!$H$2:$H$2224,Pedidos!$X$2:$X$2224,"SIM",Pedidos!$I$2:$I$2224,"Jadlog Standard",Pedidos!$F$2:$F$2224,$A70),"")</f>
        <v/>
      </c>
      <c r="H70" s="16" t="str">
        <f aca="false">IFERROR(SUMIFS(Pedidos!$S$2:$S$2224,Pedidos!$X$2:$X$2224,"SIM",Pedidos!$I$2:$I$2224,"Jadlog Standard",Pedidos!$F$2:$F$2224,$A70)/SUMIFS(Pedidos!$H$2:$H$2224,Pedidos!$X$2:$X$2224,"SIM",Pedidos!$I$2:$I$2224,"Jadlog Standard",Pedidos!$F$2:$F$2224,$A70),"")</f>
        <v/>
      </c>
      <c r="I70" s="16" t="str">
        <f aca="false">IFERROR(COUNTIFS(Pedidos!$X$2:$X$2224,"SIM",Pedidos!$I$2:$I$2224,"Jadlog Standard",Pedidos!$F$2:$F$2224,$A70,Pedidos!$V$2:$V$2224,"SIM")/B70,"")</f>
        <v/>
      </c>
      <c r="J70" s="18" t="str">
        <f aca="false">IFERROR(AVERAGEIFS(Pedidos!$K$2:$K$2224,Pedidos!$X$2:$X$2224,"SIM",Pedidos!$I$2:$I$2224,"Jadlog Standard",Pedidos!$F$2:$F$2224,$A70),"")</f>
        <v/>
      </c>
      <c r="K70" s="16" t="str">
        <f aca="false">IFERROR(MAX(0,1-D70/E70),"")</f>
        <v/>
      </c>
    </row>
    <row r="71" customFormat="false" ht="15" hidden="false" customHeight="false" outlineLevel="0" collapsed="false">
      <c r="A71" s="14" t="s">
        <v>117</v>
      </c>
      <c r="B71" s="15" t="n">
        <f aca="false">COUNTIFS(Pedidos!$X$2:$X$2224,"SIM",Pedidos!$I$2:$I$2224,"Jadlog Standard",Pedidos!$F$2:$F$2224,$A71)</f>
        <v>0</v>
      </c>
      <c r="C71" s="17" t="str">
        <f aca="false">IFERROR(AVERAGEIFS(Pedidos!$G$2:$G$2224,Pedidos!$X$2:$X$2224,"SIM",Pedidos!$I$2:$I$2224,"Jadlog Standard",Pedidos!$F$2:$F$2224,$A71),"")</f>
        <v/>
      </c>
      <c r="D71" s="18" t="str">
        <f aca="false">IFERROR(AVERAGEIFS(Pedidos!$J$2:$J$2224,Pedidos!$X$2:$X$2224,"SIM",Pedidos!$I$2:$I$2224,"Jadlog Standard",Pedidos!$F$2:$F$2224,$A71),"")</f>
        <v/>
      </c>
      <c r="E71" s="18" t="str">
        <f aca="false">IFERROR(AVERAGEIFS(Pedidos!$S$2:$S$2224,Pedidos!$X$2:$X$2224,"SIM",Pedidos!$I$2:$I$2224,"Jadlog Standard",Pedidos!$F$2:$F$2224,$A71),"")</f>
        <v/>
      </c>
      <c r="F71" s="19" t="str">
        <f aca="false">IFERROR(E71/D71-1,"")</f>
        <v/>
      </c>
      <c r="G71" s="16" t="str">
        <f aca="false">IFERROR(SUMIFS(Pedidos!$J$2:$J$2224,Pedidos!$X$2:$X$2224,"SIM",Pedidos!$I$2:$I$2224,"Jadlog Standard",Pedidos!$F$2:$F$2224,$A71)/SUMIFS(Pedidos!$H$2:$H$2224,Pedidos!$X$2:$X$2224,"SIM",Pedidos!$I$2:$I$2224,"Jadlog Standard",Pedidos!$F$2:$F$2224,$A71),"")</f>
        <v/>
      </c>
      <c r="H71" s="16" t="str">
        <f aca="false">IFERROR(SUMIFS(Pedidos!$S$2:$S$2224,Pedidos!$X$2:$X$2224,"SIM",Pedidos!$I$2:$I$2224,"Jadlog Standard",Pedidos!$F$2:$F$2224,$A71)/SUMIFS(Pedidos!$H$2:$H$2224,Pedidos!$X$2:$X$2224,"SIM",Pedidos!$I$2:$I$2224,"Jadlog Standard",Pedidos!$F$2:$F$2224,$A71),"")</f>
        <v/>
      </c>
      <c r="I71" s="16" t="str">
        <f aca="false">IFERROR(COUNTIFS(Pedidos!$X$2:$X$2224,"SIM",Pedidos!$I$2:$I$2224,"Jadlog Standard",Pedidos!$F$2:$F$2224,$A71,Pedidos!$V$2:$V$2224,"SIM")/B71,"")</f>
        <v/>
      </c>
      <c r="J71" s="18" t="str">
        <f aca="false">IFERROR(AVERAGEIFS(Pedidos!$K$2:$K$2224,Pedidos!$X$2:$X$2224,"SIM",Pedidos!$I$2:$I$2224,"Jadlog Standard",Pedidos!$F$2:$F$2224,$A71),"")</f>
        <v/>
      </c>
      <c r="K71" s="16" t="str">
        <f aca="false">IFERROR(MAX(0,1-D71/E71),"")</f>
        <v/>
      </c>
    </row>
    <row r="72" customFormat="false" ht="15" hidden="false" customHeight="false" outlineLevel="0" collapsed="false">
      <c r="A72" s="14" t="s">
        <v>118</v>
      </c>
      <c r="B72" s="15" t="n">
        <f aca="false">COUNTIFS(Pedidos!$X$2:$X$2224,"SIM",Pedidos!$I$2:$I$2224,"Jadlog Standard",Pedidos!$F$2:$F$2224,$A72)</f>
        <v>0</v>
      </c>
      <c r="C72" s="17" t="str">
        <f aca="false">IFERROR(AVERAGEIFS(Pedidos!$G$2:$G$2224,Pedidos!$X$2:$X$2224,"SIM",Pedidos!$I$2:$I$2224,"Jadlog Standard",Pedidos!$F$2:$F$2224,$A72),"")</f>
        <v/>
      </c>
      <c r="D72" s="18" t="str">
        <f aca="false">IFERROR(AVERAGEIFS(Pedidos!$J$2:$J$2224,Pedidos!$X$2:$X$2224,"SIM",Pedidos!$I$2:$I$2224,"Jadlog Standard",Pedidos!$F$2:$F$2224,$A72),"")</f>
        <v/>
      </c>
      <c r="E72" s="18" t="str">
        <f aca="false">IFERROR(AVERAGEIFS(Pedidos!$S$2:$S$2224,Pedidos!$X$2:$X$2224,"SIM",Pedidos!$I$2:$I$2224,"Jadlog Standard",Pedidos!$F$2:$F$2224,$A72),"")</f>
        <v/>
      </c>
      <c r="F72" s="19" t="str">
        <f aca="false">IFERROR(E72/D72-1,"")</f>
        <v/>
      </c>
      <c r="G72" s="16" t="str">
        <f aca="false">IFERROR(SUMIFS(Pedidos!$J$2:$J$2224,Pedidos!$X$2:$X$2224,"SIM",Pedidos!$I$2:$I$2224,"Jadlog Standard",Pedidos!$F$2:$F$2224,$A72)/SUMIFS(Pedidos!$H$2:$H$2224,Pedidos!$X$2:$X$2224,"SIM",Pedidos!$I$2:$I$2224,"Jadlog Standard",Pedidos!$F$2:$F$2224,$A72),"")</f>
        <v/>
      </c>
      <c r="H72" s="16" t="str">
        <f aca="false">IFERROR(SUMIFS(Pedidos!$S$2:$S$2224,Pedidos!$X$2:$X$2224,"SIM",Pedidos!$I$2:$I$2224,"Jadlog Standard",Pedidos!$F$2:$F$2224,$A72)/SUMIFS(Pedidos!$H$2:$H$2224,Pedidos!$X$2:$X$2224,"SIM",Pedidos!$I$2:$I$2224,"Jadlog Standard",Pedidos!$F$2:$F$2224,$A72),"")</f>
        <v/>
      </c>
      <c r="I72" s="16" t="str">
        <f aca="false">IFERROR(COUNTIFS(Pedidos!$X$2:$X$2224,"SIM",Pedidos!$I$2:$I$2224,"Jadlog Standard",Pedidos!$F$2:$F$2224,$A72,Pedidos!$V$2:$V$2224,"SIM")/B72,"")</f>
        <v/>
      </c>
      <c r="J72" s="18" t="str">
        <f aca="false">IFERROR(AVERAGEIFS(Pedidos!$K$2:$K$2224,Pedidos!$X$2:$X$2224,"SIM",Pedidos!$I$2:$I$2224,"Jadlog Standard",Pedidos!$F$2:$F$2224,$A72),"")</f>
        <v/>
      </c>
      <c r="K72" s="16" t="str">
        <f aca="false">IFERROR(MAX(0,1-D72/E72),"")</f>
        <v/>
      </c>
    </row>
    <row r="73" customFormat="false" ht="15" hidden="false" customHeight="false" outlineLevel="0" collapsed="false">
      <c r="A73" s="20" t="s">
        <v>119</v>
      </c>
      <c r="B73" s="21" t="n">
        <f aca="false">COUNTIFS(Pedidos!$X$2:$X$2224,"SIM",Pedidos!$I$2:$I$2224,"Jadlog Standard")</f>
        <v>10</v>
      </c>
      <c r="C73" s="23" t="n">
        <f aca="false">IFERROR(AVERAGEIFS(Pedidos!$G$2:$G$2224,Pedidos!$X$2:$X$2224,"SIM",Pedidos!$I$2:$I$2224,"Jadlog Standard"),"")</f>
        <v>20.76</v>
      </c>
      <c r="D73" s="24" t="n">
        <f aca="false">IFERROR(AVERAGEIFS(Pedidos!$J$2:$J$2224,Pedidos!$X$2:$X$2224,"SIM",Pedidos!$I$2:$I$2224,"Jadlog Standard"),"")</f>
        <v>79.619</v>
      </c>
      <c r="E73" s="24" t="n">
        <f aca="false">IFERROR(AVERAGEIFS(Pedidos!$S$2:$S$2224,Pedidos!$X$2:$X$2224,"SIM",Pedidos!$I$2:$I$2224,"Jadlog Standard"),"")</f>
        <v>101.337818181818</v>
      </c>
      <c r="F73" s="25" t="n">
        <f aca="false">IFERROR(E73/D73-1,"")</f>
        <v>0.272784362800565</v>
      </c>
      <c r="G73" s="22" t="n">
        <f aca="false">IFERROR(SUMIFS(Pedidos!$J$2:$J$2224,Pedidos!$X$2:$X$2224,"SIM",Pedidos!$I$2:$I$2224,"Jadlog Standard")/SUMIFS(Pedidos!$H$2:$H$2224,Pedidos!$X$2:$X$2224,"SIM",Pedidos!$I$2:$I$2224,"Jadlog Standard"),"")</f>
        <v>0.203236716825567</v>
      </c>
      <c r="H73" s="22" t="n">
        <f aca="false">IFERROR(SUMIFS(Pedidos!$S$2:$S$2224,Pedidos!$X$2:$X$2224,"SIM",Pedidos!$I$2:$I$2224,"Jadlog Standard")/SUMIFS(Pedidos!$H$2:$H$2224,Pedidos!$X$2:$X$2224,"SIM",Pedidos!$I$2:$I$2224,"Jadlog Standard"),"")</f>
        <v>0.258676515122508</v>
      </c>
      <c r="I73" s="22" t="n">
        <f aca="false">IFERROR(COUNTIFS(Pedidos!$X$2:$X$2224,"SIM",Pedidos!$I$2:$I$2224,"Jadlog Standard",Pedidos!$V$2:$V$2224,"SIM")/B73,"")</f>
        <v>0</v>
      </c>
      <c r="J73" s="24" t="n">
        <f aca="false">IFERROR(AVERAGEIFS(Pedidos!$K$2:$K$2224,Pedidos!$X$2:$X$2224,"SIM",Pedidos!$I$2:$I$2224,"Jadlog Standard"),"")</f>
        <v>71.792</v>
      </c>
      <c r="K73" s="22" t="n">
        <f aca="false">IFERROR(MAX(0,1-D73/E73),"")</f>
        <v>0.214320957086828</v>
      </c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3" t="s">
        <v>123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45" hidden="false" customHeight="true" outlineLevel="0" collapsed="false">
      <c r="A76" s="4" t="s">
        <v>103</v>
      </c>
      <c r="B76" s="4" t="s">
        <v>31</v>
      </c>
      <c r="C76" s="4" t="s">
        <v>104</v>
      </c>
      <c r="D76" s="4" t="s">
        <v>67</v>
      </c>
      <c r="E76" s="4" t="s">
        <v>68</v>
      </c>
      <c r="F76" s="4" t="s">
        <v>70</v>
      </c>
      <c r="G76" s="4" t="s">
        <v>71</v>
      </c>
      <c r="H76" s="4" t="s">
        <v>72</v>
      </c>
      <c r="I76" s="4" t="s">
        <v>55</v>
      </c>
      <c r="J76" s="4" t="s">
        <v>73</v>
      </c>
      <c r="K76" s="4" t="s">
        <v>75</v>
      </c>
    </row>
    <row r="77" customFormat="false" ht="15" hidden="false" customHeight="false" outlineLevel="0" collapsed="false">
      <c r="A77" s="14" t="s">
        <v>105</v>
      </c>
      <c r="B77" s="15" t="n">
        <f aca="false">COUNTIFS(Pedidos!$X$2:$X$2224,"SIM",Pedidos!$I$2:$I$2224,"Prolog Transportes",Pedidos!$F$2:$F$2224,$A77)</f>
        <v>0</v>
      </c>
      <c r="C77" s="17" t="str">
        <f aca="false">IFERROR(AVERAGEIFS(Pedidos!$G$2:$G$2224,Pedidos!$X$2:$X$2224,"SIM",Pedidos!$I$2:$I$2224,"Prolog Transportes",Pedidos!$F$2:$F$2224,$A77),"")</f>
        <v/>
      </c>
      <c r="D77" s="18" t="str">
        <f aca="false">IFERROR(AVERAGEIFS(Pedidos!$J$2:$J$2224,Pedidos!$X$2:$X$2224,"SIM",Pedidos!$I$2:$I$2224,"Prolog Transportes",Pedidos!$F$2:$F$2224,$A77),"")</f>
        <v/>
      </c>
      <c r="E77" s="18" t="str">
        <f aca="false">IFERROR(AVERAGEIFS(Pedidos!$S$2:$S$2224,Pedidos!$X$2:$X$2224,"SIM",Pedidos!$I$2:$I$2224,"Prolog Transportes",Pedidos!$F$2:$F$2224,$A77),"")</f>
        <v/>
      </c>
      <c r="F77" s="19" t="str">
        <f aca="false">IFERROR(E77/D77-1,"")</f>
        <v/>
      </c>
      <c r="G77" s="16" t="str">
        <f aca="false">IFERROR(SUMIFS(Pedidos!$J$2:$J$2224,Pedidos!$X$2:$X$2224,"SIM",Pedidos!$I$2:$I$2224,"Prolog Transportes",Pedidos!$F$2:$F$2224,$A77)/SUMIFS(Pedidos!$H$2:$H$2224,Pedidos!$X$2:$X$2224,"SIM",Pedidos!$I$2:$I$2224,"Prolog Transportes",Pedidos!$F$2:$F$2224,$A77),"")</f>
        <v/>
      </c>
      <c r="H77" s="16" t="str">
        <f aca="false">IFERROR(SUMIFS(Pedidos!$S$2:$S$2224,Pedidos!$X$2:$X$2224,"SIM",Pedidos!$I$2:$I$2224,"Prolog Transportes",Pedidos!$F$2:$F$2224,$A77)/SUMIFS(Pedidos!$H$2:$H$2224,Pedidos!$X$2:$X$2224,"SIM",Pedidos!$I$2:$I$2224,"Prolog Transportes",Pedidos!$F$2:$F$2224,$A77),"")</f>
        <v/>
      </c>
      <c r="I77" s="16" t="str">
        <f aca="false">IFERROR(COUNTIFS(Pedidos!$X$2:$X$2224,"SIM",Pedidos!$I$2:$I$2224,"Prolog Transportes",Pedidos!$F$2:$F$2224,$A77,Pedidos!$V$2:$V$2224,"SIM")/B77,"")</f>
        <v/>
      </c>
      <c r="J77" s="18" t="str">
        <f aca="false">IFERROR(AVERAGEIFS(Pedidos!$K$2:$K$2224,Pedidos!$X$2:$X$2224,"SIM",Pedidos!$I$2:$I$2224,"Prolog Transportes",Pedidos!$F$2:$F$2224,$A77),"")</f>
        <v/>
      </c>
      <c r="K77" s="16" t="str">
        <f aca="false">IFERROR(MAX(0,1-D77/E77),"")</f>
        <v/>
      </c>
    </row>
    <row r="78" customFormat="false" ht="15" hidden="false" customHeight="false" outlineLevel="0" collapsed="false">
      <c r="A78" s="14" t="s">
        <v>106</v>
      </c>
      <c r="B78" s="15" t="n">
        <f aca="false">COUNTIFS(Pedidos!$X$2:$X$2224,"SIM",Pedidos!$I$2:$I$2224,"Prolog Transportes",Pedidos!$F$2:$F$2224,$A78)</f>
        <v>1</v>
      </c>
      <c r="C78" s="17" t="n">
        <f aca="false">IFERROR(AVERAGEIFS(Pedidos!$G$2:$G$2224,Pedidos!$X$2:$X$2224,"SIM",Pedidos!$I$2:$I$2224,"Prolog Transportes",Pedidos!$F$2:$F$2224,$A78),"")</f>
        <v>33</v>
      </c>
      <c r="D78" s="18" t="n">
        <f aca="false">IFERROR(AVERAGEIFS(Pedidos!$J$2:$J$2224,Pedidos!$X$2:$X$2224,"SIM",Pedidos!$I$2:$I$2224,"Prolog Transportes",Pedidos!$F$2:$F$2224,$A78),"")</f>
        <v>82.17</v>
      </c>
      <c r="E78" s="18" t="n">
        <f aca="false">IFERROR(AVERAGEIFS(Pedidos!$S$2:$S$2224,Pedidos!$X$2:$X$2224,"SIM",Pedidos!$I$2:$I$2224,"Prolog Transportes",Pedidos!$F$2:$F$2224,$A78),"")</f>
        <v>120.295454545455</v>
      </c>
      <c r="F78" s="19" t="n">
        <f aca="false">IFERROR(E78/D78-1,"")</f>
        <v>0.463982652372575</v>
      </c>
      <c r="G78" s="16" t="n">
        <f aca="false">IFERROR(SUMIFS(Pedidos!$J$2:$J$2224,Pedidos!$X$2:$X$2224,"SIM",Pedidos!$I$2:$I$2224,"Prolog Transportes",Pedidos!$F$2:$F$2224,$A78)/SUMIFS(Pedidos!$H$2:$H$2224,Pedidos!$X$2:$X$2224,"SIM",Pedidos!$I$2:$I$2224,"Prolog Transportes",Pedidos!$F$2:$F$2224,$A78),"")</f>
        <v>0.186754244414646</v>
      </c>
      <c r="H78" s="16" t="n">
        <f aca="false">IFERROR(SUMIFS(Pedidos!$S$2:$S$2224,Pedidos!$X$2:$X$2224,"SIM",Pedidos!$I$2:$I$2224,"Prolog Transportes",Pedidos!$F$2:$F$2224,$A78)/SUMIFS(Pedidos!$H$2:$H$2224,Pedidos!$X$2:$X$2224,"SIM",Pedidos!$I$2:$I$2224,"Prolog Transportes",Pedidos!$F$2:$F$2224,$A78),"")</f>
        <v>0.273404974079989</v>
      </c>
      <c r="I78" s="16" t="n">
        <f aca="false">IFERROR(COUNTIFS(Pedidos!$X$2:$X$2224,"SIM",Pedidos!$I$2:$I$2224,"Prolog Transportes",Pedidos!$F$2:$F$2224,$A78,Pedidos!$V$2:$V$2224,"SIM")/B78,"")</f>
        <v>0</v>
      </c>
      <c r="J78" s="18" t="n">
        <f aca="false">IFERROR(AVERAGEIFS(Pedidos!$K$2:$K$2224,Pedidos!$X$2:$X$2224,"SIM",Pedidos!$I$2:$I$2224,"Prolog Transportes",Pedidos!$F$2:$F$2224,$A78),"")</f>
        <v>82.21</v>
      </c>
      <c r="K78" s="16" t="n">
        <f aca="false">IFERROR(MAX(0,1-D78/E78),"")</f>
        <v>0.316931796712639</v>
      </c>
    </row>
    <row r="79" customFormat="false" ht="15" hidden="false" customHeight="false" outlineLevel="0" collapsed="false">
      <c r="A79" s="14" t="s">
        <v>107</v>
      </c>
      <c r="B79" s="15" t="n">
        <f aca="false">COUNTIFS(Pedidos!$X$2:$X$2224,"SIM",Pedidos!$I$2:$I$2224,"Prolog Transportes",Pedidos!$F$2:$F$2224,$A79)</f>
        <v>0</v>
      </c>
      <c r="C79" s="17" t="str">
        <f aca="false">IFERROR(AVERAGEIFS(Pedidos!$G$2:$G$2224,Pedidos!$X$2:$X$2224,"SIM",Pedidos!$I$2:$I$2224,"Prolog Transportes",Pedidos!$F$2:$F$2224,$A79),"")</f>
        <v/>
      </c>
      <c r="D79" s="18" t="str">
        <f aca="false">IFERROR(AVERAGEIFS(Pedidos!$J$2:$J$2224,Pedidos!$X$2:$X$2224,"SIM",Pedidos!$I$2:$I$2224,"Prolog Transportes",Pedidos!$F$2:$F$2224,$A79),"")</f>
        <v/>
      </c>
      <c r="E79" s="18" t="str">
        <f aca="false">IFERROR(AVERAGEIFS(Pedidos!$S$2:$S$2224,Pedidos!$X$2:$X$2224,"SIM",Pedidos!$I$2:$I$2224,"Prolog Transportes",Pedidos!$F$2:$F$2224,$A79),"")</f>
        <v/>
      </c>
      <c r="F79" s="19" t="str">
        <f aca="false">IFERROR(E79/D79-1,"")</f>
        <v/>
      </c>
      <c r="G79" s="16" t="str">
        <f aca="false">IFERROR(SUMIFS(Pedidos!$J$2:$J$2224,Pedidos!$X$2:$X$2224,"SIM",Pedidos!$I$2:$I$2224,"Prolog Transportes",Pedidos!$F$2:$F$2224,$A79)/SUMIFS(Pedidos!$H$2:$H$2224,Pedidos!$X$2:$X$2224,"SIM",Pedidos!$I$2:$I$2224,"Prolog Transportes",Pedidos!$F$2:$F$2224,$A79),"")</f>
        <v/>
      </c>
      <c r="H79" s="16" t="str">
        <f aca="false">IFERROR(SUMIFS(Pedidos!$S$2:$S$2224,Pedidos!$X$2:$X$2224,"SIM",Pedidos!$I$2:$I$2224,"Prolog Transportes",Pedidos!$F$2:$F$2224,$A79)/SUMIFS(Pedidos!$H$2:$H$2224,Pedidos!$X$2:$X$2224,"SIM",Pedidos!$I$2:$I$2224,"Prolog Transportes",Pedidos!$F$2:$F$2224,$A79),"")</f>
        <v/>
      </c>
      <c r="I79" s="16" t="str">
        <f aca="false">IFERROR(COUNTIFS(Pedidos!$X$2:$X$2224,"SIM",Pedidos!$I$2:$I$2224,"Prolog Transportes",Pedidos!$F$2:$F$2224,$A79,Pedidos!$V$2:$V$2224,"SIM")/B79,"")</f>
        <v/>
      </c>
      <c r="J79" s="18" t="str">
        <f aca="false">IFERROR(AVERAGEIFS(Pedidos!$K$2:$K$2224,Pedidos!$X$2:$X$2224,"SIM",Pedidos!$I$2:$I$2224,"Prolog Transportes",Pedidos!$F$2:$F$2224,$A79),"")</f>
        <v/>
      </c>
      <c r="K79" s="16" t="str">
        <f aca="false">IFERROR(MAX(0,1-D79/E79),"")</f>
        <v/>
      </c>
    </row>
    <row r="80" customFormat="false" ht="15" hidden="false" customHeight="false" outlineLevel="0" collapsed="false">
      <c r="A80" s="14" t="s">
        <v>108</v>
      </c>
      <c r="B80" s="15" t="n">
        <f aca="false">COUNTIFS(Pedidos!$X$2:$X$2224,"SIM",Pedidos!$I$2:$I$2224,"Prolog Transportes",Pedidos!$F$2:$F$2224,$A80)</f>
        <v>0</v>
      </c>
      <c r="C80" s="17" t="str">
        <f aca="false">IFERROR(AVERAGEIFS(Pedidos!$G$2:$G$2224,Pedidos!$X$2:$X$2224,"SIM",Pedidos!$I$2:$I$2224,"Prolog Transportes",Pedidos!$F$2:$F$2224,$A80),"")</f>
        <v/>
      </c>
      <c r="D80" s="18" t="str">
        <f aca="false">IFERROR(AVERAGEIFS(Pedidos!$J$2:$J$2224,Pedidos!$X$2:$X$2224,"SIM",Pedidos!$I$2:$I$2224,"Prolog Transportes",Pedidos!$F$2:$F$2224,$A80),"")</f>
        <v/>
      </c>
      <c r="E80" s="18" t="str">
        <f aca="false">IFERROR(AVERAGEIFS(Pedidos!$S$2:$S$2224,Pedidos!$X$2:$X$2224,"SIM",Pedidos!$I$2:$I$2224,"Prolog Transportes",Pedidos!$F$2:$F$2224,$A80),"")</f>
        <v/>
      </c>
      <c r="F80" s="19" t="str">
        <f aca="false">IFERROR(E80/D80-1,"")</f>
        <v/>
      </c>
      <c r="G80" s="16" t="str">
        <f aca="false">IFERROR(SUMIFS(Pedidos!$J$2:$J$2224,Pedidos!$X$2:$X$2224,"SIM",Pedidos!$I$2:$I$2224,"Prolog Transportes",Pedidos!$F$2:$F$2224,$A80)/SUMIFS(Pedidos!$H$2:$H$2224,Pedidos!$X$2:$X$2224,"SIM",Pedidos!$I$2:$I$2224,"Prolog Transportes",Pedidos!$F$2:$F$2224,$A80),"")</f>
        <v/>
      </c>
      <c r="H80" s="16" t="str">
        <f aca="false">IFERROR(SUMIFS(Pedidos!$S$2:$S$2224,Pedidos!$X$2:$X$2224,"SIM",Pedidos!$I$2:$I$2224,"Prolog Transportes",Pedidos!$F$2:$F$2224,$A80)/SUMIFS(Pedidos!$H$2:$H$2224,Pedidos!$X$2:$X$2224,"SIM",Pedidos!$I$2:$I$2224,"Prolog Transportes",Pedidos!$F$2:$F$2224,$A80),"")</f>
        <v/>
      </c>
      <c r="I80" s="16" t="str">
        <f aca="false">IFERROR(COUNTIFS(Pedidos!$X$2:$X$2224,"SIM",Pedidos!$I$2:$I$2224,"Prolog Transportes",Pedidos!$F$2:$F$2224,$A80,Pedidos!$V$2:$V$2224,"SIM")/B80,"")</f>
        <v/>
      </c>
      <c r="J80" s="18" t="str">
        <f aca="false">IFERROR(AVERAGEIFS(Pedidos!$K$2:$K$2224,Pedidos!$X$2:$X$2224,"SIM",Pedidos!$I$2:$I$2224,"Prolog Transportes",Pedidos!$F$2:$F$2224,$A80),"")</f>
        <v/>
      </c>
      <c r="K80" s="16" t="str">
        <f aca="false">IFERROR(MAX(0,1-D80/E80),"")</f>
        <v/>
      </c>
    </row>
    <row r="81" customFormat="false" ht="15" hidden="false" customHeight="false" outlineLevel="0" collapsed="false">
      <c r="A81" s="14" t="s">
        <v>109</v>
      </c>
      <c r="B81" s="15" t="n">
        <f aca="false">COUNTIFS(Pedidos!$X$2:$X$2224,"SIM",Pedidos!$I$2:$I$2224,"Prolog Transportes",Pedidos!$F$2:$F$2224,$A81)</f>
        <v>0</v>
      </c>
      <c r="C81" s="17" t="str">
        <f aca="false">IFERROR(AVERAGEIFS(Pedidos!$G$2:$G$2224,Pedidos!$X$2:$X$2224,"SIM",Pedidos!$I$2:$I$2224,"Prolog Transportes",Pedidos!$F$2:$F$2224,$A81),"")</f>
        <v/>
      </c>
      <c r="D81" s="18" t="str">
        <f aca="false">IFERROR(AVERAGEIFS(Pedidos!$J$2:$J$2224,Pedidos!$X$2:$X$2224,"SIM",Pedidos!$I$2:$I$2224,"Prolog Transportes",Pedidos!$F$2:$F$2224,$A81),"")</f>
        <v/>
      </c>
      <c r="E81" s="18" t="str">
        <f aca="false">IFERROR(AVERAGEIFS(Pedidos!$S$2:$S$2224,Pedidos!$X$2:$X$2224,"SIM",Pedidos!$I$2:$I$2224,"Prolog Transportes",Pedidos!$F$2:$F$2224,$A81),"")</f>
        <v/>
      </c>
      <c r="F81" s="19" t="str">
        <f aca="false">IFERROR(E81/D81-1,"")</f>
        <v/>
      </c>
      <c r="G81" s="16" t="str">
        <f aca="false">IFERROR(SUMIFS(Pedidos!$J$2:$J$2224,Pedidos!$X$2:$X$2224,"SIM",Pedidos!$I$2:$I$2224,"Prolog Transportes",Pedidos!$F$2:$F$2224,$A81)/SUMIFS(Pedidos!$H$2:$H$2224,Pedidos!$X$2:$X$2224,"SIM",Pedidos!$I$2:$I$2224,"Prolog Transportes",Pedidos!$F$2:$F$2224,$A81),"")</f>
        <v/>
      </c>
      <c r="H81" s="16" t="str">
        <f aca="false">IFERROR(SUMIFS(Pedidos!$S$2:$S$2224,Pedidos!$X$2:$X$2224,"SIM",Pedidos!$I$2:$I$2224,"Prolog Transportes",Pedidos!$F$2:$F$2224,$A81)/SUMIFS(Pedidos!$H$2:$H$2224,Pedidos!$X$2:$X$2224,"SIM",Pedidos!$I$2:$I$2224,"Prolog Transportes",Pedidos!$F$2:$F$2224,$A81),"")</f>
        <v/>
      </c>
      <c r="I81" s="16" t="str">
        <f aca="false">IFERROR(COUNTIFS(Pedidos!$X$2:$X$2224,"SIM",Pedidos!$I$2:$I$2224,"Prolog Transportes",Pedidos!$F$2:$F$2224,$A81,Pedidos!$V$2:$V$2224,"SIM")/B81,"")</f>
        <v/>
      </c>
      <c r="J81" s="18" t="str">
        <f aca="false">IFERROR(AVERAGEIFS(Pedidos!$K$2:$K$2224,Pedidos!$X$2:$X$2224,"SIM",Pedidos!$I$2:$I$2224,"Prolog Transportes",Pedidos!$F$2:$F$2224,$A81),"")</f>
        <v/>
      </c>
      <c r="K81" s="16" t="str">
        <f aca="false">IFERROR(MAX(0,1-D81/E81),"")</f>
        <v/>
      </c>
    </row>
    <row r="82" customFormat="false" ht="15" hidden="false" customHeight="false" outlineLevel="0" collapsed="false">
      <c r="A82" s="14" t="s">
        <v>110</v>
      </c>
      <c r="B82" s="15" t="n">
        <f aca="false">COUNTIFS(Pedidos!$X$2:$X$2224,"SIM",Pedidos!$I$2:$I$2224,"Prolog Transportes",Pedidos!$F$2:$F$2224,$A82)</f>
        <v>0</v>
      </c>
      <c r="C82" s="17" t="str">
        <f aca="false">IFERROR(AVERAGEIFS(Pedidos!$G$2:$G$2224,Pedidos!$X$2:$X$2224,"SIM",Pedidos!$I$2:$I$2224,"Prolog Transportes",Pedidos!$F$2:$F$2224,$A82),"")</f>
        <v/>
      </c>
      <c r="D82" s="18" t="str">
        <f aca="false">IFERROR(AVERAGEIFS(Pedidos!$J$2:$J$2224,Pedidos!$X$2:$X$2224,"SIM",Pedidos!$I$2:$I$2224,"Prolog Transportes",Pedidos!$F$2:$F$2224,$A82),"")</f>
        <v/>
      </c>
      <c r="E82" s="18" t="str">
        <f aca="false">IFERROR(AVERAGEIFS(Pedidos!$S$2:$S$2224,Pedidos!$X$2:$X$2224,"SIM",Pedidos!$I$2:$I$2224,"Prolog Transportes",Pedidos!$F$2:$F$2224,$A82),"")</f>
        <v/>
      </c>
      <c r="F82" s="19" t="str">
        <f aca="false">IFERROR(E82/D82-1,"")</f>
        <v/>
      </c>
      <c r="G82" s="16" t="str">
        <f aca="false">IFERROR(SUMIFS(Pedidos!$J$2:$J$2224,Pedidos!$X$2:$X$2224,"SIM",Pedidos!$I$2:$I$2224,"Prolog Transportes",Pedidos!$F$2:$F$2224,$A82)/SUMIFS(Pedidos!$H$2:$H$2224,Pedidos!$X$2:$X$2224,"SIM",Pedidos!$I$2:$I$2224,"Prolog Transportes",Pedidos!$F$2:$F$2224,$A82),"")</f>
        <v/>
      </c>
      <c r="H82" s="16" t="str">
        <f aca="false">IFERROR(SUMIFS(Pedidos!$S$2:$S$2224,Pedidos!$X$2:$X$2224,"SIM",Pedidos!$I$2:$I$2224,"Prolog Transportes",Pedidos!$F$2:$F$2224,$A82)/SUMIFS(Pedidos!$H$2:$H$2224,Pedidos!$X$2:$X$2224,"SIM",Pedidos!$I$2:$I$2224,"Prolog Transportes",Pedidos!$F$2:$F$2224,$A82),"")</f>
        <v/>
      </c>
      <c r="I82" s="16" t="str">
        <f aca="false">IFERROR(COUNTIFS(Pedidos!$X$2:$X$2224,"SIM",Pedidos!$I$2:$I$2224,"Prolog Transportes",Pedidos!$F$2:$F$2224,$A82,Pedidos!$V$2:$V$2224,"SIM")/B82,"")</f>
        <v/>
      </c>
      <c r="J82" s="18" t="str">
        <f aca="false">IFERROR(AVERAGEIFS(Pedidos!$K$2:$K$2224,Pedidos!$X$2:$X$2224,"SIM",Pedidos!$I$2:$I$2224,"Prolog Transportes",Pedidos!$F$2:$F$2224,$A82),"")</f>
        <v/>
      </c>
      <c r="K82" s="16" t="str">
        <f aca="false">IFERROR(MAX(0,1-D82/E82),"")</f>
        <v/>
      </c>
    </row>
    <row r="83" customFormat="false" ht="15" hidden="false" customHeight="false" outlineLevel="0" collapsed="false">
      <c r="A83" s="14" t="s">
        <v>111</v>
      </c>
      <c r="B83" s="15" t="n">
        <f aca="false">COUNTIFS(Pedidos!$X$2:$X$2224,"SIM",Pedidos!$I$2:$I$2224,"Prolog Transportes",Pedidos!$F$2:$F$2224,$A83)</f>
        <v>0</v>
      </c>
      <c r="C83" s="17" t="str">
        <f aca="false">IFERROR(AVERAGEIFS(Pedidos!$G$2:$G$2224,Pedidos!$X$2:$X$2224,"SIM",Pedidos!$I$2:$I$2224,"Prolog Transportes",Pedidos!$F$2:$F$2224,$A83),"")</f>
        <v/>
      </c>
      <c r="D83" s="18" t="str">
        <f aca="false">IFERROR(AVERAGEIFS(Pedidos!$J$2:$J$2224,Pedidos!$X$2:$X$2224,"SIM",Pedidos!$I$2:$I$2224,"Prolog Transportes",Pedidos!$F$2:$F$2224,$A83),"")</f>
        <v/>
      </c>
      <c r="E83" s="18" t="str">
        <f aca="false">IFERROR(AVERAGEIFS(Pedidos!$S$2:$S$2224,Pedidos!$X$2:$X$2224,"SIM",Pedidos!$I$2:$I$2224,"Prolog Transportes",Pedidos!$F$2:$F$2224,$A83),"")</f>
        <v/>
      </c>
      <c r="F83" s="19" t="str">
        <f aca="false">IFERROR(E83/D83-1,"")</f>
        <v/>
      </c>
      <c r="G83" s="16" t="str">
        <f aca="false">IFERROR(SUMIFS(Pedidos!$J$2:$J$2224,Pedidos!$X$2:$X$2224,"SIM",Pedidos!$I$2:$I$2224,"Prolog Transportes",Pedidos!$F$2:$F$2224,$A83)/SUMIFS(Pedidos!$H$2:$H$2224,Pedidos!$X$2:$X$2224,"SIM",Pedidos!$I$2:$I$2224,"Prolog Transportes",Pedidos!$F$2:$F$2224,$A83),"")</f>
        <v/>
      </c>
      <c r="H83" s="16" t="str">
        <f aca="false">IFERROR(SUMIFS(Pedidos!$S$2:$S$2224,Pedidos!$X$2:$X$2224,"SIM",Pedidos!$I$2:$I$2224,"Prolog Transportes",Pedidos!$F$2:$F$2224,$A83)/SUMIFS(Pedidos!$H$2:$H$2224,Pedidos!$X$2:$X$2224,"SIM",Pedidos!$I$2:$I$2224,"Prolog Transportes",Pedidos!$F$2:$F$2224,$A83),"")</f>
        <v/>
      </c>
      <c r="I83" s="16" t="str">
        <f aca="false">IFERROR(COUNTIFS(Pedidos!$X$2:$X$2224,"SIM",Pedidos!$I$2:$I$2224,"Prolog Transportes",Pedidos!$F$2:$F$2224,$A83,Pedidos!$V$2:$V$2224,"SIM")/B83,"")</f>
        <v/>
      </c>
      <c r="J83" s="18" t="str">
        <f aca="false">IFERROR(AVERAGEIFS(Pedidos!$K$2:$K$2224,Pedidos!$X$2:$X$2224,"SIM",Pedidos!$I$2:$I$2224,"Prolog Transportes",Pedidos!$F$2:$F$2224,$A83),"")</f>
        <v/>
      </c>
      <c r="K83" s="16" t="str">
        <f aca="false">IFERROR(MAX(0,1-D83/E83),"")</f>
        <v/>
      </c>
    </row>
    <row r="84" customFormat="false" ht="15" hidden="false" customHeight="false" outlineLevel="0" collapsed="false">
      <c r="A84" s="14" t="s">
        <v>112</v>
      </c>
      <c r="B84" s="15" t="n">
        <f aca="false">COUNTIFS(Pedidos!$X$2:$X$2224,"SIM",Pedidos!$I$2:$I$2224,"Prolog Transportes",Pedidos!$F$2:$F$2224,$A84)</f>
        <v>0</v>
      </c>
      <c r="C84" s="17" t="str">
        <f aca="false">IFERROR(AVERAGEIFS(Pedidos!$G$2:$G$2224,Pedidos!$X$2:$X$2224,"SIM",Pedidos!$I$2:$I$2224,"Prolog Transportes",Pedidos!$F$2:$F$2224,$A84),"")</f>
        <v/>
      </c>
      <c r="D84" s="18" t="str">
        <f aca="false">IFERROR(AVERAGEIFS(Pedidos!$J$2:$J$2224,Pedidos!$X$2:$X$2224,"SIM",Pedidos!$I$2:$I$2224,"Prolog Transportes",Pedidos!$F$2:$F$2224,$A84),"")</f>
        <v/>
      </c>
      <c r="E84" s="18" t="str">
        <f aca="false">IFERROR(AVERAGEIFS(Pedidos!$S$2:$S$2224,Pedidos!$X$2:$X$2224,"SIM",Pedidos!$I$2:$I$2224,"Prolog Transportes",Pedidos!$F$2:$F$2224,$A84),"")</f>
        <v/>
      </c>
      <c r="F84" s="19" t="str">
        <f aca="false">IFERROR(E84/D84-1,"")</f>
        <v/>
      </c>
      <c r="G84" s="16" t="str">
        <f aca="false">IFERROR(SUMIFS(Pedidos!$J$2:$J$2224,Pedidos!$X$2:$X$2224,"SIM",Pedidos!$I$2:$I$2224,"Prolog Transportes",Pedidos!$F$2:$F$2224,$A84)/SUMIFS(Pedidos!$H$2:$H$2224,Pedidos!$X$2:$X$2224,"SIM",Pedidos!$I$2:$I$2224,"Prolog Transportes",Pedidos!$F$2:$F$2224,$A84),"")</f>
        <v/>
      </c>
      <c r="H84" s="16" t="str">
        <f aca="false">IFERROR(SUMIFS(Pedidos!$S$2:$S$2224,Pedidos!$X$2:$X$2224,"SIM",Pedidos!$I$2:$I$2224,"Prolog Transportes",Pedidos!$F$2:$F$2224,$A84)/SUMIFS(Pedidos!$H$2:$H$2224,Pedidos!$X$2:$X$2224,"SIM",Pedidos!$I$2:$I$2224,"Prolog Transportes",Pedidos!$F$2:$F$2224,$A84),"")</f>
        <v/>
      </c>
      <c r="I84" s="16" t="str">
        <f aca="false">IFERROR(COUNTIFS(Pedidos!$X$2:$X$2224,"SIM",Pedidos!$I$2:$I$2224,"Prolog Transportes",Pedidos!$F$2:$F$2224,$A84,Pedidos!$V$2:$V$2224,"SIM")/B84,"")</f>
        <v/>
      </c>
      <c r="J84" s="18" t="str">
        <f aca="false">IFERROR(AVERAGEIFS(Pedidos!$K$2:$K$2224,Pedidos!$X$2:$X$2224,"SIM",Pedidos!$I$2:$I$2224,"Prolog Transportes",Pedidos!$F$2:$F$2224,$A84),"")</f>
        <v/>
      </c>
      <c r="K84" s="16" t="str">
        <f aca="false">IFERROR(MAX(0,1-D84/E84),"")</f>
        <v/>
      </c>
    </row>
    <row r="85" customFormat="false" ht="15" hidden="false" customHeight="false" outlineLevel="0" collapsed="false">
      <c r="A85" s="14" t="s">
        <v>113</v>
      </c>
      <c r="B85" s="15" t="n">
        <f aca="false">COUNTIFS(Pedidos!$X$2:$X$2224,"SIM",Pedidos!$I$2:$I$2224,"Prolog Transportes",Pedidos!$F$2:$F$2224,$A85)</f>
        <v>0</v>
      </c>
      <c r="C85" s="17" t="str">
        <f aca="false">IFERROR(AVERAGEIFS(Pedidos!$G$2:$G$2224,Pedidos!$X$2:$X$2224,"SIM",Pedidos!$I$2:$I$2224,"Prolog Transportes",Pedidos!$F$2:$F$2224,$A85),"")</f>
        <v/>
      </c>
      <c r="D85" s="18" t="str">
        <f aca="false">IFERROR(AVERAGEIFS(Pedidos!$J$2:$J$2224,Pedidos!$X$2:$X$2224,"SIM",Pedidos!$I$2:$I$2224,"Prolog Transportes",Pedidos!$F$2:$F$2224,$A85),"")</f>
        <v/>
      </c>
      <c r="E85" s="18" t="str">
        <f aca="false">IFERROR(AVERAGEIFS(Pedidos!$S$2:$S$2224,Pedidos!$X$2:$X$2224,"SIM",Pedidos!$I$2:$I$2224,"Prolog Transportes",Pedidos!$F$2:$F$2224,$A85),"")</f>
        <v/>
      </c>
      <c r="F85" s="19" t="str">
        <f aca="false">IFERROR(E85/D85-1,"")</f>
        <v/>
      </c>
      <c r="G85" s="16" t="str">
        <f aca="false">IFERROR(SUMIFS(Pedidos!$J$2:$J$2224,Pedidos!$X$2:$X$2224,"SIM",Pedidos!$I$2:$I$2224,"Prolog Transportes",Pedidos!$F$2:$F$2224,$A85)/SUMIFS(Pedidos!$H$2:$H$2224,Pedidos!$X$2:$X$2224,"SIM",Pedidos!$I$2:$I$2224,"Prolog Transportes",Pedidos!$F$2:$F$2224,$A85),"")</f>
        <v/>
      </c>
      <c r="H85" s="16" t="str">
        <f aca="false">IFERROR(SUMIFS(Pedidos!$S$2:$S$2224,Pedidos!$X$2:$X$2224,"SIM",Pedidos!$I$2:$I$2224,"Prolog Transportes",Pedidos!$F$2:$F$2224,$A85)/SUMIFS(Pedidos!$H$2:$H$2224,Pedidos!$X$2:$X$2224,"SIM",Pedidos!$I$2:$I$2224,"Prolog Transportes",Pedidos!$F$2:$F$2224,$A85),"")</f>
        <v/>
      </c>
      <c r="I85" s="16" t="str">
        <f aca="false">IFERROR(COUNTIFS(Pedidos!$X$2:$X$2224,"SIM",Pedidos!$I$2:$I$2224,"Prolog Transportes",Pedidos!$F$2:$F$2224,$A85,Pedidos!$V$2:$V$2224,"SIM")/B85,"")</f>
        <v/>
      </c>
      <c r="J85" s="18" t="str">
        <f aca="false">IFERROR(AVERAGEIFS(Pedidos!$K$2:$K$2224,Pedidos!$X$2:$X$2224,"SIM",Pedidos!$I$2:$I$2224,"Prolog Transportes",Pedidos!$F$2:$F$2224,$A85),"")</f>
        <v/>
      </c>
      <c r="K85" s="16" t="str">
        <f aca="false">IFERROR(MAX(0,1-D85/E85),"")</f>
        <v/>
      </c>
    </row>
    <row r="86" customFormat="false" ht="15" hidden="false" customHeight="false" outlineLevel="0" collapsed="false">
      <c r="A86" s="14" t="s">
        <v>114</v>
      </c>
      <c r="B86" s="15" t="n">
        <f aca="false">COUNTIFS(Pedidos!$X$2:$X$2224,"SIM",Pedidos!$I$2:$I$2224,"Prolog Transportes",Pedidos!$F$2:$F$2224,$A86)</f>
        <v>0</v>
      </c>
      <c r="C86" s="17" t="str">
        <f aca="false">IFERROR(AVERAGEIFS(Pedidos!$G$2:$G$2224,Pedidos!$X$2:$X$2224,"SIM",Pedidos!$I$2:$I$2224,"Prolog Transportes",Pedidos!$F$2:$F$2224,$A86),"")</f>
        <v/>
      </c>
      <c r="D86" s="18" t="str">
        <f aca="false">IFERROR(AVERAGEIFS(Pedidos!$J$2:$J$2224,Pedidos!$X$2:$X$2224,"SIM",Pedidos!$I$2:$I$2224,"Prolog Transportes",Pedidos!$F$2:$F$2224,$A86),"")</f>
        <v/>
      </c>
      <c r="E86" s="18" t="str">
        <f aca="false">IFERROR(AVERAGEIFS(Pedidos!$S$2:$S$2224,Pedidos!$X$2:$X$2224,"SIM",Pedidos!$I$2:$I$2224,"Prolog Transportes",Pedidos!$F$2:$F$2224,$A86),"")</f>
        <v/>
      </c>
      <c r="F86" s="19" t="str">
        <f aca="false">IFERROR(E86/D86-1,"")</f>
        <v/>
      </c>
      <c r="G86" s="16" t="str">
        <f aca="false">IFERROR(SUMIFS(Pedidos!$J$2:$J$2224,Pedidos!$X$2:$X$2224,"SIM",Pedidos!$I$2:$I$2224,"Prolog Transportes",Pedidos!$F$2:$F$2224,$A86)/SUMIFS(Pedidos!$H$2:$H$2224,Pedidos!$X$2:$X$2224,"SIM",Pedidos!$I$2:$I$2224,"Prolog Transportes",Pedidos!$F$2:$F$2224,$A86),"")</f>
        <v/>
      </c>
      <c r="H86" s="16" t="str">
        <f aca="false">IFERROR(SUMIFS(Pedidos!$S$2:$S$2224,Pedidos!$X$2:$X$2224,"SIM",Pedidos!$I$2:$I$2224,"Prolog Transportes",Pedidos!$F$2:$F$2224,$A86)/SUMIFS(Pedidos!$H$2:$H$2224,Pedidos!$X$2:$X$2224,"SIM",Pedidos!$I$2:$I$2224,"Prolog Transportes",Pedidos!$F$2:$F$2224,$A86),"")</f>
        <v/>
      </c>
      <c r="I86" s="16" t="str">
        <f aca="false">IFERROR(COUNTIFS(Pedidos!$X$2:$X$2224,"SIM",Pedidos!$I$2:$I$2224,"Prolog Transportes",Pedidos!$F$2:$F$2224,$A86,Pedidos!$V$2:$V$2224,"SIM")/B86,"")</f>
        <v/>
      </c>
      <c r="J86" s="18" t="str">
        <f aca="false">IFERROR(AVERAGEIFS(Pedidos!$K$2:$K$2224,Pedidos!$X$2:$X$2224,"SIM",Pedidos!$I$2:$I$2224,"Prolog Transportes",Pedidos!$F$2:$F$2224,$A86),"")</f>
        <v/>
      </c>
      <c r="K86" s="16" t="str">
        <f aca="false">IFERROR(MAX(0,1-D86/E86),"")</f>
        <v/>
      </c>
    </row>
    <row r="87" customFormat="false" ht="15" hidden="false" customHeight="false" outlineLevel="0" collapsed="false">
      <c r="A87" s="14" t="s">
        <v>115</v>
      </c>
      <c r="B87" s="15" t="n">
        <f aca="false">COUNTIFS(Pedidos!$X$2:$X$2224,"SIM",Pedidos!$I$2:$I$2224,"Prolog Transportes",Pedidos!$F$2:$F$2224,$A87)</f>
        <v>0</v>
      </c>
      <c r="C87" s="17" t="str">
        <f aca="false">IFERROR(AVERAGEIFS(Pedidos!$G$2:$G$2224,Pedidos!$X$2:$X$2224,"SIM",Pedidos!$I$2:$I$2224,"Prolog Transportes",Pedidos!$F$2:$F$2224,$A87),"")</f>
        <v/>
      </c>
      <c r="D87" s="18" t="str">
        <f aca="false">IFERROR(AVERAGEIFS(Pedidos!$J$2:$J$2224,Pedidos!$X$2:$X$2224,"SIM",Pedidos!$I$2:$I$2224,"Prolog Transportes",Pedidos!$F$2:$F$2224,$A87),"")</f>
        <v/>
      </c>
      <c r="E87" s="18" t="str">
        <f aca="false">IFERROR(AVERAGEIFS(Pedidos!$S$2:$S$2224,Pedidos!$X$2:$X$2224,"SIM",Pedidos!$I$2:$I$2224,"Prolog Transportes",Pedidos!$F$2:$F$2224,$A87),"")</f>
        <v/>
      </c>
      <c r="F87" s="19" t="str">
        <f aca="false">IFERROR(E87/D87-1,"")</f>
        <v/>
      </c>
      <c r="G87" s="16" t="str">
        <f aca="false">IFERROR(SUMIFS(Pedidos!$J$2:$J$2224,Pedidos!$X$2:$X$2224,"SIM",Pedidos!$I$2:$I$2224,"Prolog Transportes",Pedidos!$F$2:$F$2224,$A87)/SUMIFS(Pedidos!$H$2:$H$2224,Pedidos!$X$2:$X$2224,"SIM",Pedidos!$I$2:$I$2224,"Prolog Transportes",Pedidos!$F$2:$F$2224,$A87),"")</f>
        <v/>
      </c>
      <c r="H87" s="16" t="str">
        <f aca="false">IFERROR(SUMIFS(Pedidos!$S$2:$S$2224,Pedidos!$X$2:$X$2224,"SIM",Pedidos!$I$2:$I$2224,"Prolog Transportes",Pedidos!$F$2:$F$2224,$A87)/SUMIFS(Pedidos!$H$2:$H$2224,Pedidos!$X$2:$X$2224,"SIM",Pedidos!$I$2:$I$2224,"Prolog Transportes",Pedidos!$F$2:$F$2224,$A87),"")</f>
        <v/>
      </c>
      <c r="I87" s="16" t="str">
        <f aca="false">IFERROR(COUNTIFS(Pedidos!$X$2:$X$2224,"SIM",Pedidos!$I$2:$I$2224,"Prolog Transportes",Pedidos!$F$2:$F$2224,$A87,Pedidos!$V$2:$V$2224,"SIM")/B87,"")</f>
        <v/>
      </c>
      <c r="J87" s="18" t="str">
        <f aca="false">IFERROR(AVERAGEIFS(Pedidos!$K$2:$K$2224,Pedidos!$X$2:$X$2224,"SIM",Pedidos!$I$2:$I$2224,"Prolog Transportes",Pedidos!$F$2:$F$2224,$A87),"")</f>
        <v/>
      </c>
      <c r="K87" s="16" t="str">
        <f aca="false">IFERROR(MAX(0,1-D87/E87),"")</f>
        <v/>
      </c>
    </row>
    <row r="88" customFormat="false" ht="15" hidden="false" customHeight="false" outlineLevel="0" collapsed="false">
      <c r="A88" s="14" t="s">
        <v>116</v>
      </c>
      <c r="B88" s="15" t="n">
        <f aca="false">COUNTIFS(Pedidos!$X$2:$X$2224,"SIM",Pedidos!$I$2:$I$2224,"Prolog Transportes",Pedidos!$F$2:$F$2224,$A88)</f>
        <v>0</v>
      </c>
      <c r="C88" s="17" t="str">
        <f aca="false">IFERROR(AVERAGEIFS(Pedidos!$G$2:$G$2224,Pedidos!$X$2:$X$2224,"SIM",Pedidos!$I$2:$I$2224,"Prolog Transportes",Pedidos!$F$2:$F$2224,$A88),"")</f>
        <v/>
      </c>
      <c r="D88" s="18" t="str">
        <f aca="false">IFERROR(AVERAGEIFS(Pedidos!$J$2:$J$2224,Pedidos!$X$2:$X$2224,"SIM",Pedidos!$I$2:$I$2224,"Prolog Transportes",Pedidos!$F$2:$F$2224,$A88),"")</f>
        <v/>
      </c>
      <c r="E88" s="18" t="str">
        <f aca="false">IFERROR(AVERAGEIFS(Pedidos!$S$2:$S$2224,Pedidos!$X$2:$X$2224,"SIM",Pedidos!$I$2:$I$2224,"Prolog Transportes",Pedidos!$F$2:$F$2224,$A88),"")</f>
        <v/>
      </c>
      <c r="F88" s="19" t="str">
        <f aca="false">IFERROR(E88/D88-1,"")</f>
        <v/>
      </c>
      <c r="G88" s="16" t="str">
        <f aca="false">IFERROR(SUMIFS(Pedidos!$J$2:$J$2224,Pedidos!$X$2:$X$2224,"SIM",Pedidos!$I$2:$I$2224,"Prolog Transportes",Pedidos!$F$2:$F$2224,$A88)/SUMIFS(Pedidos!$H$2:$H$2224,Pedidos!$X$2:$X$2224,"SIM",Pedidos!$I$2:$I$2224,"Prolog Transportes",Pedidos!$F$2:$F$2224,$A88),"")</f>
        <v/>
      </c>
      <c r="H88" s="16" t="str">
        <f aca="false">IFERROR(SUMIFS(Pedidos!$S$2:$S$2224,Pedidos!$X$2:$X$2224,"SIM",Pedidos!$I$2:$I$2224,"Prolog Transportes",Pedidos!$F$2:$F$2224,$A88)/SUMIFS(Pedidos!$H$2:$H$2224,Pedidos!$X$2:$X$2224,"SIM",Pedidos!$I$2:$I$2224,"Prolog Transportes",Pedidos!$F$2:$F$2224,$A88),"")</f>
        <v/>
      </c>
      <c r="I88" s="16" t="str">
        <f aca="false">IFERROR(COUNTIFS(Pedidos!$X$2:$X$2224,"SIM",Pedidos!$I$2:$I$2224,"Prolog Transportes",Pedidos!$F$2:$F$2224,$A88,Pedidos!$V$2:$V$2224,"SIM")/B88,"")</f>
        <v/>
      </c>
      <c r="J88" s="18" t="str">
        <f aca="false">IFERROR(AVERAGEIFS(Pedidos!$K$2:$K$2224,Pedidos!$X$2:$X$2224,"SIM",Pedidos!$I$2:$I$2224,"Prolog Transportes",Pedidos!$F$2:$F$2224,$A88),"")</f>
        <v/>
      </c>
      <c r="K88" s="16" t="str">
        <f aca="false">IFERROR(MAX(0,1-D88/E88),"")</f>
        <v/>
      </c>
    </row>
    <row r="89" customFormat="false" ht="15" hidden="false" customHeight="false" outlineLevel="0" collapsed="false">
      <c r="A89" s="14" t="s">
        <v>117</v>
      </c>
      <c r="B89" s="15" t="n">
        <f aca="false">COUNTIFS(Pedidos!$X$2:$X$2224,"SIM",Pedidos!$I$2:$I$2224,"Prolog Transportes",Pedidos!$F$2:$F$2224,$A89)</f>
        <v>0</v>
      </c>
      <c r="C89" s="17" t="str">
        <f aca="false">IFERROR(AVERAGEIFS(Pedidos!$G$2:$G$2224,Pedidos!$X$2:$X$2224,"SIM",Pedidos!$I$2:$I$2224,"Prolog Transportes",Pedidos!$F$2:$F$2224,$A89),"")</f>
        <v/>
      </c>
      <c r="D89" s="18" t="str">
        <f aca="false">IFERROR(AVERAGEIFS(Pedidos!$J$2:$J$2224,Pedidos!$X$2:$X$2224,"SIM",Pedidos!$I$2:$I$2224,"Prolog Transportes",Pedidos!$F$2:$F$2224,$A89),"")</f>
        <v/>
      </c>
      <c r="E89" s="18" t="str">
        <f aca="false">IFERROR(AVERAGEIFS(Pedidos!$S$2:$S$2224,Pedidos!$X$2:$X$2224,"SIM",Pedidos!$I$2:$I$2224,"Prolog Transportes",Pedidos!$F$2:$F$2224,$A89),"")</f>
        <v/>
      </c>
      <c r="F89" s="19" t="str">
        <f aca="false">IFERROR(E89/D89-1,"")</f>
        <v/>
      </c>
      <c r="G89" s="16" t="str">
        <f aca="false">IFERROR(SUMIFS(Pedidos!$J$2:$J$2224,Pedidos!$X$2:$X$2224,"SIM",Pedidos!$I$2:$I$2224,"Prolog Transportes",Pedidos!$F$2:$F$2224,$A89)/SUMIFS(Pedidos!$H$2:$H$2224,Pedidos!$X$2:$X$2224,"SIM",Pedidos!$I$2:$I$2224,"Prolog Transportes",Pedidos!$F$2:$F$2224,$A89),"")</f>
        <v/>
      </c>
      <c r="H89" s="16" t="str">
        <f aca="false">IFERROR(SUMIFS(Pedidos!$S$2:$S$2224,Pedidos!$X$2:$X$2224,"SIM",Pedidos!$I$2:$I$2224,"Prolog Transportes",Pedidos!$F$2:$F$2224,$A89)/SUMIFS(Pedidos!$H$2:$H$2224,Pedidos!$X$2:$X$2224,"SIM",Pedidos!$I$2:$I$2224,"Prolog Transportes",Pedidos!$F$2:$F$2224,$A89),"")</f>
        <v/>
      </c>
      <c r="I89" s="16" t="str">
        <f aca="false">IFERROR(COUNTIFS(Pedidos!$X$2:$X$2224,"SIM",Pedidos!$I$2:$I$2224,"Prolog Transportes",Pedidos!$F$2:$F$2224,$A89,Pedidos!$V$2:$V$2224,"SIM")/B89,"")</f>
        <v/>
      </c>
      <c r="J89" s="18" t="str">
        <f aca="false">IFERROR(AVERAGEIFS(Pedidos!$K$2:$K$2224,Pedidos!$X$2:$X$2224,"SIM",Pedidos!$I$2:$I$2224,"Prolog Transportes",Pedidos!$F$2:$F$2224,$A89),"")</f>
        <v/>
      </c>
      <c r="K89" s="16" t="str">
        <f aca="false">IFERROR(MAX(0,1-D89/E89),"")</f>
        <v/>
      </c>
    </row>
    <row r="90" customFormat="false" ht="15" hidden="false" customHeight="false" outlineLevel="0" collapsed="false">
      <c r="A90" s="14" t="s">
        <v>118</v>
      </c>
      <c r="B90" s="15" t="n">
        <f aca="false">COUNTIFS(Pedidos!$X$2:$X$2224,"SIM",Pedidos!$I$2:$I$2224,"Prolog Transportes",Pedidos!$F$2:$F$2224,$A90)</f>
        <v>0</v>
      </c>
      <c r="C90" s="17" t="str">
        <f aca="false">IFERROR(AVERAGEIFS(Pedidos!$G$2:$G$2224,Pedidos!$X$2:$X$2224,"SIM",Pedidos!$I$2:$I$2224,"Prolog Transportes",Pedidos!$F$2:$F$2224,$A90),"")</f>
        <v/>
      </c>
      <c r="D90" s="18" t="str">
        <f aca="false">IFERROR(AVERAGEIFS(Pedidos!$J$2:$J$2224,Pedidos!$X$2:$X$2224,"SIM",Pedidos!$I$2:$I$2224,"Prolog Transportes",Pedidos!$F$2:$F$2224,$A90),"")</f>
        <v/>
      </c>
      <c r="E90" s="18" t="str">
        <f aca="false">IFERROR(AVERAGEIFS(Pedidos!$S$2:$S$2224,Pedidos!$X$2:$X$2224,"SIM",Pedidos!$I$2:$I$2224,"Prolog Transportes",Pedidos!$F$2:$F$2224,$A90),"")</f>
        <v/>
      </c>
      <c r="F90" s="19" t="str">
        <f aca="false">IFERROR(E90/D90-1,"")</f>
        <v/>
      </c>
      <c r="G90" s="16" t="str">
        <f aca="false">IFERROR(SUMIFS(Pedidos!$J$2:$J$2224,Pedidos!$X$2:$X$2224,"SIM",Pedidos!$I$2:$I$2224,"Prolog Transportes",Pedidos!$F$2:$F$2224,$A90)/SUMIFS(Pedidos!$H$2:$H$2224,Pedidos!$X$2:$X$2224,"SIM",Pedidos!$I$2:$I$2224,"Prolog Transportes",Pedidos!$F$2:$F$2224,$A90),"")</f>
        <v/>
      </c>
      <c r="H90" s="16" t="str">
        <f aca="false">IFERROR(SUMIFS(Pedidos!$S$2:$S$2224,Pedidos!$X$2:$X$2224,"SIM",Pedidos!$I$2:$I$2224,"Prolog Transportes",Pedidos!$F$2:$F$2224,$A90)/SUMIFS(Pedidos!$H$2:$H$2224,Pedidos!$X$2:$X$2224,"SIM",Pedidos!$I$2:$I$2224,"Prolog Transportes",Pedidos!$F$2:$F$2224,$A90),"")</f>
        <v/>
      </c>
      <c r="I90" s="16" t="str">
        <f aca="false">IFERROR(COUNTIFS(Pedidos!$X$2:$X$2224,"SIM",Pedidos!$I$2:$I$2224,"Prolog Transportes",Pedidos!$F$2:$F$2224,$A90,Pedidos!$V$2:$V$2224,"SIM")/B90,"")</f>
        <v/>
      </c>
      <c r="J90" s="18" t="str">
        <f aca="false">IFERROR(AVERAGEIFS(Pedidos!$K$2:$K$2224,Pedidos!$X$2:$X$2224,"SIM",Pedidos!$I$2:$I$2224,"Prolog Transportes",Pedidos!$F$2:$F$2224,$A90),"")</f>
        <v/>
      </c>
      <c r="K90" s="16" t="str">
        <f aca="false">IFERROR(MAX(0,1-D90/E90),"")</f>
        <v/>
      </c>
    </row>
    <row r="91" customFormat="false" ht="15" hidden="false" customHeight="false" outlineLevel="0" collapsed="false">
      <c r="A91" s="20" t="s">
        <v>119</v>
      </c>
      <c r="B91" s="21" t="n">
        <f aca="false">COUNTIFS(Pedidos!$X$2:$X$2224,"SIM",Pedidos!$I$2:$I$2224,"Prolog Transportes")</f>
        <v>1</v>
      </c>
      <c r="C91" s="23" t="n">
        <f aca="false">IFERROR(AVERAGEIFS(Pedidos!$G$2:$G$2224,Pedidos!$X$2:$X$2224,"SIM",Pedidos!$I$2:$I$2224,"Prolog Transportes"),"")</f>
        <v>33</v>
      </c>
      <c r="D91" s="24" t="n">
        <f aca="false">IFERROR(AVERAGEIFS(Pedidos!$J$2:$J$2224,Pedidos!$X$2:$X$2224,"SIM",Pedidos!$I$2:$I$2224,"Prolog Transportes"),"")</f>
        <v>82.17</v>
      </c>
      <c r="E91" s="24" t="n">
        <f aca="false">IFERROR(AVERAGEIFS(Pedidos!$S$2:$S$2224,Pedidos!$X$2:$X$2224,"SIM",Pedidos!$I$2:$I$2224,"Prolog Transportes"),"")</f>
        <v>120.295454545455</v>
      </c>
      <c r="F91" s="25" t="n">
        <f aca="false">IFERROR(E91/D91-1,"")</f>
        <v>0.463982652372575</v>
      </c>
      <c r="G91" s="22" t="n">
        <f aca="false">IFERROR(SUMIFS(Pedidos!$J$2:$J$2224,Pedidos!$X$2:$X$2224,"SIM",Pedidos!$I$2:$I$2224,"Prolog Transportes")/SUMIFS(Pedidos!$H$2:$H$2224,Pedidos!$X$2:$X$2224,"SIM",Pedidos!$I$2:$I$2224,"Prolog Transportes"),"")</f>
        <v>0.186754244414646</v>
      </c>
      <c r="H91" s="22" t="n">
        <f aca="false">IFERROR(SUMIFS(Pedidos!$S$2:$S$2224,Pedidos!$X$2:$X$2224,"SIM",Pedidos!$I$2:$I$2224,"Prolog Transportes")/SUMIFS(Pedidos!$H$2:$H$2224,Pedidos!$X$2:$X$2224,"SIM",Pedidos!$I$2:$I$2224,"Prolog Transportes"),"")</f>
        <v>0.273404974079989</v>
      </c>
      <c r="I91" s="22" t="n">
        <f aca="false">IFERROR(COUNTIFS(Pedidos!$X$2:$X$2224,"SIM",Pedidos!$I$2:$I$2224,"Prolog Transportes",Pedidos!$V$2:$V$2224,"SIM")/B91,"")</f>
        <v>0</v>
      </c>
      <c r="J91" s="24" t="n">
        <f aca="false">IFERROR(AVERAGEIFS(Pedidos!$K$2:$K$2224,Pedidos!$X$2:$X$2224,"SIM",Pedidos!$I$2:$I$2224,"Prolog Transportes"),"")</f>
        <v>82.21</v>
      </c>
      <c r="K91" s="22" t="n">
        <f aca="false">IFERROR(MAX(0,1-D91/E91),"")</f>
        <v>0.316931796712639</v>
      </c>
    </row>
  </sheetData>
  <conditionalFormatting sqref="F5:F1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3:F36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41:F54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9:F72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77:F90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6" min="2" style="0" width="9"/>
  </cols>
  <sheetData>
    <row r="1" customFormat="false" ht="17.35" hidden="false" customHeight="false" outlineLevel="0" collapsed="false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 t="s">
        <v>125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4" t="s">
        <v>63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4" t="s">
        <v>110</v>
      </c>
      <c r="H4" s="4" t="s">
        <v>111</v>
      </c>
      <c r="I4" s="4" t="s">
        <v>112</v>
      </c>
      <c r="J4" s="4" t="s">
        <v>113</v>
      </c>
      <c r="K4" s="4" t="s">
        <v>114</v>
      </c>
      <c r="L4" s="4" t="s">
        <v>115</v>
      </c>
      <c r="M4" s="4" t="s">
        <v>116</v>
      </c>
      <c r="N4" s="4" t="s">
        <v>117</v>
      </c>
      <c r="O4" s="4" t="s">
        <v>118</v>
      </c>
      <c r="P4" s="4" t="s">
        <v>126</v>
      </c>
    </row>
    <row r="5" customFormat="false" ht="15" hidden="false" customHeight="false" outlineLevel="0" collapsed="false">
      <c r="A5" s="14" t="s">
        <v>78</v>
      </c>
      <c r="B5" s="26" t="n">
        <f aca="false">COUNTIFS(Pedidos!$E$2:$E$2224,$A5,Pedidos!$F$2:$F$2224,"0-20")</f>
        <v>64</v>
      </c>
      <c r="C5" s="26" t="n">
        <f aca="false">COUNTIFS(Pedidos!$E$2:$E$2224,$A5,Pedidos!$F$2:$F$2224,"20-35")</f>
        <v>263</v>
      </c>
      <c r="D5" s="26" t="n">
        <f aca="false">COUNTIFS(Pedidos!$E$2:$E$2224,$A5,Pedidos!$F$2:$F$2224,"35-40")</f>
        <v>163</v>
      </c>
      <c r="E5" s="26" t="n">
        <f aca="false">COUNTIFS(Pedidos!$E$2:$E$2224,$A5,Pedidos!$F$2:$F$2224,"40-50")</f>
        <v>154</v>
      </c>
      <c r="F5" s="26" t="n">
        <f aca="false">COUNTIFS(Pedidos!$E$2:$E$2224,$A5,Pedidos!$F$2:$F$2224,"50-60")</f>
        <v>181</v>
      </c>
      <c r="G5" s="26" t="n">
        <f aca="false">COUNTIFS(Pedidos!$E$2:$E$2224,$A5,Pedidos!$F$2:$F$2224,"60-70")</f>
        <v>112</v>
      </c>
      <c r="H5" s="26" t="n">
        <f aca="false">COUNTIFS(Pedidos!$E$2:$E$2224,$A5,Pedidos!$F$2:$F$2224,"70-80")</f>
        <v>11</v>
      </c>
      <c r="I5" s="26" t="n">
        <f aca="false">COUNTIFS(Pedidos!$E$2:$E$2224,$A5,Pedidos!$F$2:$F$2224,"80-100")</f>
        <v>19</v>
      </c>
      <c r="J5" s="26" t="n">
        <f aca="false">COUNTIFS(Pedidos!$E$2:$E$2224,$A5,Pedidos!$F$2:$F$2224,"100-120")</f>
        <v>21</v>
      </c>
      <c r="K5" s="26" t="n">
        <f aca="false">COUNTIFS(Pedidos!$E$2:$E$2224,$A5,Pedidos!$F$2:$F$2224,"120-150")</f>
        <v>39</v>
      </c>
      <c r="L5" s="26" t="n">
        <f aca="false">COUNTIFS(Pedidos!$E$2:$E$2224,$A5,Pedidos!$F$2:$F$2224,"150-170")</f>
        <v>2</v>
      </c>
      <c r="M5" s="26" t="n">
        <f aca="false">COUNTIFS(Pedidos!$E$2:$E$2224,$A5,Pedidos!$F$2:$F$2224,"170-200")</f>
        <v>0</v>
      </c>
      <c r="N5" s="26" t="n">
        <f aca="false">COUNTIFS(Pedidos!$E$2:$E$2224,$A5,Pedidos!$F$2:$F$2224,"200-250")</f>
        <v>1</v>
      </c>
      <c r="O5" s="26" t="n">
        <f aca="false">COUNTIFS(Pedidos!$E$2:$E$2224,$A5,Pedidos!$F$2:$F$2224,"&gt;250")</f>
        <v>0</v>
      </c>
      <c r="P5" s="26" t="n">
        <f aca="false">COUNTIFS(Pedidos!$E$2:$E$2224,$A5)</f>
        <v>1030</v>
      </c>
    </row>
    <row r="6" customFormat="false" ht="15" hidden="false" customHeight="false" outlineLevel="0" collapsed="false">
      <c r="A6" s="14" t="s">
        <v>79</v>
      </c>
      <c r="B6" s="26" t="n">
        <f aca="false">COUNTIFS(Pedidos!$E$2:$E$2224,$A6,Pedidos!$F$2:$F$2224,"0-20")</f>
        <v>8</v>
      </c>
      <c r="C6" s="26" t="n">
        <f aca="false">COUNTIFS(Pedidos!$E$2:$E$2224,$A6,Pedidos!$F$2:$F$2224,"20-35")</f>
        <v>29</v>
      </c>
      <c r="D6" s="26" t="n">
        <f aca="false">COUNTIFS(Pedidos!$E$2:$E$2224,$A6,Pedidos!$F$2:$F$2224,"35-40")</f>
        <v>18</v>
      </c>
      <c r="E6" s="26" t="n">
        <f aca="false">COUNTIFS(Pedidos!$E$2:$E$2224,$A6,Pedidos!$F$2:$F$2224,"40-50")</f>
        <v>22</v>
      </c>
      <c r="F6" s="26" t="n">
        <f aca="false">COUNTIFS(Pedidos!$E$2:$E$2224,$A6,Pedidos!$F$2:$F$2224,"50-60")</f>
        <v>25</v>
      </c>
      <c r="G6" s="26" t="n">
        <f aca="false">COUNTIFS(Pedidos!$E$2:$E$2224,$A6,Pedidos!$F$2:$F$2224,"60-70")</f>
        <v>19</v>
      </c>
      <c r="H6" s="26" t="n">
        <f aca="false">COUNTIFS(Pedidos!$E$2:$E$2224,$A6,Pedidos!$F$2:$F$2224,"70-80")</f>
        <v>3</v>
      </c>
      <c r="I6" s="26" t="n">
        <f aca="false">COUNTIFS(Pedidos!$E$2:$E$2224,$A6,Pedidos!$F$2:$F$2224,"80-100")</f>
        <v>3</v>
      </c>
      <c r="J6" s="26" t="n">
        <f aca="false">COUNTIFS(Pedidos!$E$2:$E$2224,$A6,Pedidos!$F$2:$F$2224,"100-120")</f>
        <v>3</v>
      </c>
      <c r="K6" s="26" t="n">
        <f aca="false">COUNTIFS(Pedidos!$E$2:$E$2224,$A6,Pedidos!$F$2:$F$2224,"120-150")</f>
        <v>4</v>
      </c>
      <c r="L6" s="26" t="n">
        <f aca="false">COUNTIFS(Pedidos!$E$2:$E$2224,$A6,Pedidos!$F$2:$F$2224,"150-170")</f>
        <v>1</v>
      </c>
      <c r="M6" s="26" t="n">
        <f aca="false">COUNTIFS(Pedidos!$E$2:$E$2224,$A6,Pedidos!$F$2:$F$2224,"170-200")</f>
        <v>0</v>
      </c>
      <c r="N6" s="26" t="n">
        <f aca="false">COUNTIFS(Pedidos!$E$2:$E$2224,$A6,Pedidos!$F$2:$F$2224,"200-250")</f>
        <v>0</v>
      </c>
      <c r="O6" s="26" t="n">
        <f aca="false">COUNTIFS(Pedidos!$E$2:$E$2224,$A6,Pedidos!$F$2:$F$2224,"&gt;250")</f>
        <v>0</v>
      </c>
      <c r="P6" s="26" t="n">
        <f aca="false">COUNTIFS(Pedidos!$E$2:$E$2224,$A6)</f>
        <v>135</v>
      </c>
    </row>
    <row r="7" customFormat="false" ht="15" hidden="false" customHeight="false" outlineLevel="0" collapsed="false">
      <c r="A7" s="14" t="s">
        <v>80</v>
      </c>
      <c r="B7" s="26" t="n">
        <f aca="false">COUNTIFS(Pedidos!$E$2:$E$2224,$A7,Pedidos!$F$2:$F$2224,"0-20")</f>
        <v>6</v>
      </c>
      <c r="C7" s="26" t="n">
        <f aca="false">COUNTIFS(Pedidos!$E$2:$E$2224,$A7,Pedidos!$F$2:$F$2224,"20-35")</f>
        <v>16</v>
      </c>
      <c r="D7" s="26" t="n">
        <f aca="false">COUNTIFS(Pedidos!$E$2:$E$2224,$A7,Pedidos!$F$2:$F$2224,"35-40")</f>
        <v>11</v>
      </c>
      <c r="E7" s="26" t="n">
        <f aca="false">COUNTIFS(Pedidos!$E$2:$E$2224,$A7,Pedidos!$F$2:$F$2224,"40-50")</f>
        <v>16</v>
      </c>
      <c r="F7" s="26" t="n">
        <f aca="false">COUNTIFS(Pedidos!$E$2:$E$2224,$A7,Pedidos!$F$2:$F$2224,"50-60")</f>
        <v>34</v>
      </c>
      <c r="G7" s="26" t="n">
        <f aca="false">COUNTIFS(Pedidos!$E$2:$E$2224,$A7,Pedidos!$F$2:$F$2224,"60-70")</f>
        <v>12</v>
      </c>
      <c r="H7" s="26" t="n">
        <f aca="false">COUNTIFS(Pedidos!$E$2:$E$2224,$A7,Pedidos!$F$2:$F$2224,"70-80")</f>
        <v>1</v>
      </c>
      <c r="I7" s="26" t="n">
        <f aca="false">COUNTIFS(Pedidos!$E$2:$E$2224,$A7,Pedidos!$F$2:$F$2224,"80-100")</f>
        <v>1</v>
      </c>
      <c r="J7" s="26" t="n">
        <f aca="false">COUNTIFS(Pedidos!$E$2:$E$2224,$A7,Pedidos!$F$2:$F$2224,"100-120")</f>
        <v>4</v>
      </c>
      <c r="K7" s="26" t="n">
        <f aca="false">COUNTIFS(Pedidos!$E$2:$E$2224,$A7,Pedidos!$F$2:$F$2224,"120-150")</f>
        <v>5</v>
      </c>
      <c r="L7" s="26" t="n">
        <f aca="false">COUNTIFS(Pedidos!$E$2:$E$2224,$A7,Pedidos!$F$2:$F$2224,"150-170")</f>
        <v>0</v>
      </c>
      <c r="M7" s="26" t="n">
        <f aca="false">COUNTIFS(Pedidos!$E$2:$E$2224,$A7,Pedidos!$F$2:$F$2224,"170-200")</f>
        <v>0</v>
      </c>
      <c r="N7" s="26" t="n">
        <f aca="false">COUNTIFS(Pedidos!$E$2:$E$2224,$A7,Pedidos!$F$2:$F$2224,"200-250")</f>
        <v>0</v>
      </c>
      <c r="O7" s="26" t="n">
        <f aca="false">COUNTIFS(Pedidos!$E$2:$E$2224,$A7,Pedidos!$F$2:$F$2224,"&gt;250")</f>
        <v>0</v>
      </c>
      <c r="P7" s="26" t="n">
        <f aca="false">COUNTIFS(Pedidos!$E$2:$E$2224,$A7)</f>
        <v>106</v>
      </c>
    </row>
    <row r="8" customFormat="false" ht="15" hidden="false" customHeight="false" outlineLevel="0" collapsed="false">
      <c r="A8" s="14" t="s">
        <v>81</v>
      </c>
      <c r="B8" s="26" t="n">
        <f aca="false">COUNTIFS(Pedidos!$E$2:$E$2224,$A8,Pedidos!$F$2:$F$2224,"0-20")</f>
        <v>2</v>
      </c>
      <c r="C8" s="26" t="n">
        <f aca="false">COUNTIFS(Pedidos!$E$2:$E$2224,$A8,Pedidos!$F$2:$F$2224,"20-35")</f>
        <v>17</v>
      </c>
      <c r="D8" s="26" t="n">
        <f aca="false">COUNTIFS(Pedidos!$E$2:$E$2224,$A8,Pedidos!$F$2:$F$2224,"35-40")</f>
        <v>15</v>
      </c>
      <c r="E8" s="26" t="n">
        <f aca="false">COUNTIFS(Pedidos!$E$2:$E$2224,$A8,Pedidos!$F$2:$F$2224,"40-50")</f>
        <v>12</v>
      </c>
      <c r="F8" s="26" t="n">
        <f aca="false">COUNTIFS(Pedidos!$E$2:$E$2224,$A8,Pedidos!$F$2:$F$2224,"50-60")</f>
        <v>19</v>
      </c>
      <c r="G8" s="26" t="n">
        <f aca="false">COUNTIFS(Pedidos!$E$2:$E$2224,$A8,Pedidos!$F$2:$F$2224,"60-70")</f>
        <v>17</v>
      </c>
      <c r="H8" s="26" t="n">
        <f aca="false">COUNTIFS(Pedidos!$E$2:$E$2224,$A8,Pedidos!$F$2:$F$2224,"70-80")</f>
        <v>2</v>
      </c>
      <c r="I8" s="26" t="n">
        <f aca="false">COUNTIFS(Pedidos!$E$2:$E$2224,$A8,Pedidos!$F$2:$F$2224,"80-100")</f>
        <v>2</v>
      </c>
      <c r="J8" s="26" t="n">
        <f aca="false">COUNTIFS(Pedidos!$E$2:$E$2224,$A8,Pedidos!$F$2:$F$2224,"100-120")</f>
        <v>5</v>
      </c>
      <c r="K8" s="26" t="n">
        <f aca="false">COUNTIFS(Pedidos!$E$2:$E$2224,$A8,Pedidos!$F$2:$F$2224,"120-150")</f>
        <v>4</v>
      </c>
      <c r="L8" s="26" t="n">
        <f aca="false">COUNTIFS(Pedidos!$E$2:$E$2224,$A8,Pedidos!$F$2:$F$2224,"150-170")</f>
        <v>0</v>
      </c>
      <c r="M8" s="26" t="n">
        <f aca="false">COUNTIFS(Pedidos!$E$2:$E$2224,$A8,Pedidos!$F$2:$F$2224,"170-200")</f>
        <v>0</v>
      </c>
      <c r="N8" s="26" t="n">
        <f aca="false">COUNTIFS(Pedidos!$E$2:$E$2224,$A8,Pedidos!$F$2:$F$2224,"200-250")</f>
        <v>0</v>
      </c>
      <c r="O8" s="26" t="n">
        <f aca="false">COUNTIFS(Pedidos!$E$2:$E$2224,$A8,Pedidos!$F$2:$F$2224,"&gt;250")</f>
        <v>0</v>
      </c>
      <c r="P8" s="26" t="n">
        <f aca="false">COUNTIFS(Pedidos!$E$2:$E$2224,$A8)</f>
        <v>95</v>
      </c>
    </row>
    <row r="9" customFormat="false" ht="15" hidden="false" customHeight="false" outlineLevel="0" collapsed="false">
      <c r="A9" s="14" t="s">
        <v>82</v>
      </c>
      <c r="B9" s="26" t="n">
        <f aca="false">COUNTIFS(Pedidos!$E$2:$E$2224,$A9,Pedidos!$F$2:$F$2224,"0-20")</f>
        <v>2</v>
      </c>
      <c r="C9" s="26" t="n">
        <f aca="false">COUNTIFS(Pedidos!$E$2:$E$2224,$A9,Pedidos!$F$2:$F$2224,"20-35")</f>
        <v>11</v>
      </c>
      <c r="D9" s="26" t="n">
        <f aca="false">COUNTIFS(Pedidos!$E$2:$E$2224,$A9,Pedidos!$F$2:$F$2224,"35-40")</f>
        <v>11</v>
      </c>
      <c r="E9" s="26" t="n">
        <f aca="false">COUNTIFS(Pedidos!$E$2:$E$2224,$A9,Pedidos!$F$2:$F$2224,"40-50")</f>
        <v>15</v>
      </c>
      <c r="F9" s="26" t="n">
        <f aca="false">COUNTIFS(Pedidos!$E$2:$E$2224,$A9,Pedidos!$F$2:$F$2224,"50-60")</f>
        <v>19</v>
      </c>
      <c r="G9" s="26" t="n">
        <f aca="false">COUNTIFS(Pedidos!$E$2:$E$2224,$A9,Pedidos!$F$2:$F$2224,"60-70")</f>
        <v>7</v>
      </c>
      <c r="H9" s="26" t="n">
        <f aca="false">COUNTIFS(Pedidos!$E$2:$E$2224,$A9,Pedidos!$F$2:$F$2224,"70-80")</f>
        <v>0</v>
      </c>
      <c r="I9" s="26" t="n">
        <f aca="false">COUNTIFS(Pedidos!$E$2:$E$2224,$A9,Pedidos!$F$2:$F$2224,"80-100")</f>
        <v>1</v>
      </c>
      <c r="J9" s="26" t="n">
        <f aca="false">COUNTIFS(Pedidos!$E$2:$E$2224,$A9,Pedidos!$F$2:$F$2224,"100-120")</f>
        <v>1</v>
      </c>
      <c r="K9" s="26" t="n">
        <f aca="false">COUNTIFS(Pedidos!$E$2:$E$2224,$A9,Pedidos!$F$2:$F$2224,"120-150")</f>
        <v>1</v>
      </c>
      <c r="L9" s="26" t="n">
        <f aca="false">COUNTIFS(Pedidos!$E$2:$E$2224,$A9,Pedidos!$F$2:$F$2224,"150-170")</f>
        <v>0</v>
      </c>
      <c r="M9" s="26" t="n">
        <f aca="false">COUNTIFS(Pedidos!$E$2:$E$2224,$A9,Pedidos!$F$2:$F$2224,"170-200")</f>
        <v>0</v>
      </c>
      <c r="N9" s="26" t="n">
        <f aca="false">COUNTIFS(Pedidos!$E$2:$E$2224,$A9,Pedidos!$F$2:$F$2224,"200-250")</f>
        <v>0</v>
      </c>
      <c r="O9" s="26" t="n">
        <f aca="false">COUNTIFS(Pedidos!$E$2:$E$2224,$A9,Pedidos!$F$2:$F$2224,"&gt;250")</f>
        <v>0</v>
      </c>
      <c r="P9" s="26" t="n">
        <f aca="false">COUNTIFS(Pedidos!$E$2:$E$2224,$A9)</f>
        <v>68</v>
      </c>
    </row>
    <row r="10" customFormat="false" ht="15" hidden="false" customHeight="false" outlineLevel="0" collapsed="false">
      <c r="A10" s="14" t="s">
        <v>83</v>
      </c>
      <c r="B10" s="26" t="n">
        <f aca="false">COUNTIFS(Pedidos!$E$2:$E$2224,$A10,Pedidos!$F$2:$F$2224,"0-20")</f>
        <v>0</v>
      </c>
      <c r="C10" s="26" t="n">
        <f aca="false">COUNTIFS(Pedidos!$E$2:$E$2224,$A10,Pedidos!$F$2:$F$2224,"20-35")</f>
        <v>16</v>
      </c>
      <c r="D10" s="26" t="n">
        <f aca="false">COUNTIFS(Pedidos!$E$2:$E$2224,$A10,Pedidos!$F$2:$F$2224,"35-40")</f>
        <v>8</v>
      </c>
      <c r="E10" s="26" t="n">
        <f aca="false">COUNTIFS(Pedidos!$E$2:$E$2224,$A10,Pedidos!$F$2:$F$2224,"40-50")</f>
        <v>8</v>
      </c>
      <c r="F10" s="26" t="n">
        <f aca="false">COUNTIFS(Pedidos!$E$2:$E$2224,$A10,Pedidos!$F$2:$F$2224,"50-60")</f>
        <v>9</v>
      </c>
      <c r="G10" s="26" t="n">
        <f aca="false">COUNTIFS(Pedidos!$E$2:$E$2224,$A10,Pedidos!$F$2:$F$2224,"60-70")</f>
        <v>6</v>
      </c>
      <c r="H10" s="26" t="n">
        <f aca="false">COUNTIFS(Pedidos!$E$2:$E$2224,$A10,Pedidos!$F$2:$F$2224,"70-80")</f>
        <v>0</v>
      </c>
      <c r="I10" s="26" t="n">
        <f aca="false">COUNTIFS(Pedidos!$E$2:$E$2224,$A10,Pedidos!$F$2:$F$2224,"80-100")</f>
        <v>2</v>
      </c>
      <c r="J10" s="26" t="n">
        <f aca="false">COUNTIFS(Pedidos!$E$2:$E$2224,$A10,Pedidos!$F$2:$F$2224,"100-120")</f>
        <v>4</v>
      </c>
      <c r="K10" s="26" t="n">
        <f aca="false">COUNTIFS(Pedidos!$E$2:$E$2224,$A10,Pedidos!$F$2:$F$2224,"120-150")</f>
        <v>0</v>
      </c>
      <c r="L10" s="26" t="n">
        <f aca="false">COUNTIFS(Pedidos!$E$2:$E$2224,$A10,Pedidos!$F$2:$F$2224,"150-170")</f>
        <v>0</v>
      </c>
      <c r="M10" s="26" t="n">
        <f aca="false">COUNTIFS(Pedidos!$E$2:$E$2224,$A10,Pedidos!$F$2:$F$2224,"170-200")</f>
        <v>0</v>
      </c>
      <c r="N10" s="26" t="n">
        <f aca="false">COUNTIFS(Pedidos!$E$2:$E$2224,$A10,Pedidos!$F$2:$F$2224,"200-250")</f>
        <v>0</v>
      </c>
      <c r="O10" s="26" t="n">
        <f aca="false">COUNTIFS(Pedidos!$E$2:$E$2224,$A10,Pedidos!$F$2:$F$2224,"&gt;250")</f>
        <v>0</v>
      </c>
      <c r="P10" s="26" t="n">
        <f aca="false">COUNTIFS(Pedidos!$E$2:$E$2224,$A10)</f>
        <v>53</v>
      </c>
    </row>
    <row r="11" customFormat="false" ht="15" hidden="false" customHeight="false" outlineLevel="0" collapsed="false">
      <c r="A11" s="14" t="s">
        <v>84</v>
      </c>
      <c r="B11" s="26" t="n">
        <f aca="false">COUNTIFS(Pedidos!$E$2:$E$2224,$A11,Pedidos!$F$2:$F$2224,"0-20")</f>
        <v>4</v>
      </c>
      <c r="C11" s="26" t="n">
        <f aca="false">COUNTIFS(Pedidos!$E$2:$E$2224,$A11,Pedidos!$F$2:$F$2224,"20-35")</f>
        <v>3</v>
      </c>
      <c r="D11" s="26" t="n">
        <f aca="false">COUNTIFS(Pedidos!$E$2:$E$2224,$A11,Pedidos!$F$2:$F$2224,"35-40")</f>
        <v>6</v>
      </c>
      <c r="E11" s="26" t="n">
        <f aca="false">COUNTIFS(Pedidos!$E$2:$E$2224,$A11,Pedidos!$F$2:$F$2224,"40-50")</f>
        <v>11</v>
      </c>
      <c r="F11" s="26" t="n">
        <f aca="false">COUNTIFS(Pedidos!$E$2:$E$2224,$A11,Pedidos!$F$2:$F$2224,"50-60")</f>
        <v>10</v>
      </c>
      <c r="G11" s="26" t="n">
        <f aca="false">COUNTIFS(Pedidos!$E$2:$E$2224,$A11,Pedidos!$F$2:$F$2224,"60-70")</f>
        <v>7</v>
      </c>
      <c r="H11" s="26" t="n">
        <f aca="false">COUNTIFS(Pedidos!$E$2:$E$2224,$A11,Pedidos!$F$2:$F$2224,"70-80")</f>
        <v>3</v>
      </c>
      <c r="I11" s="26" t="n">
        <f aca="false">COUNTIFS(Pedidos!$E$2:$E$2224,$A11,Pedidos!$F$2:$F$2224,"80-100")</f>
        <v>2</v>
      </c>
      <c r="J11" s="26" t="n">
        <f aca="false">COUNTIFS(Pedidos!$E$2:$E$2224,$A11,Pedidos!$F$2:$F$2224,"100-120")</f>
        <v>2</v>
      </c>
      <c r="K11" s="26" t="n">
        <f aca="false">COUNTIFS(Pedidos!$E$2:$E$2224,$A11,Pedidos!$F$2:$F$2224,"120-150")</f>
        <v>1</v>
      </c>
      <c r="L11" s="26" t="n">
        <f aca="false">COUNTIFS(Pedidos!$E$2:$E$2224,$A11,Pedidos!$F$2:$F$2224,"150-170")</f>
        <v>0</v>
      </c>
      <c r="M11" s="26" t="n">
        <f aca="false">COUNTIFS(Pedidos!$E$2:$E$2224,$A11,Pedidos!$F$2:$F$2224,"170-200")</f>
        <v>0</v>
      </c>
      <c r="N11" s="26" t="n">
        <f aca="false">COUNTIFS(Pedidos!$E$2:$E$2224,$A11,Pedidos!$F$2:$F$2224,"200-250")</f>
        <v>0</v>
      </c>
      <c r="O11" s="26" t="n">
        <f aca="false">COUNTIFS(Pedidos!$E$2:$E$2224,$A11,Pedidos!$F$2:$F$2224,"&gt;250")</f>
        <v>0</v>
      </c>
      <c r="P11" s="26" t="n">
        <f aca="false">COUNTIFS(Pedidos!$E$2:$E$2224,$A11)</f>
        <v>49</v>
      </c>
    </row>
    <row r="12" customFormat="false" ht="15" hidden="false" customHeight="false" outlineLevel="0" collapsed="false">
      <c r="A12" s="14" t="s">
        <v>85</v>
      </c>
      <c r="B12" s="26" t="n">
        <f aca="false">COUNTIFS(Pedidos!$E$2:$E$2224,$A12,Pedidos!$F$2:$F$2224,"0-20")</f>
        <v>1</v>
      </c>
      <c r="C12" s="26" t="n">
        <f aca="false">COUNTIFS(Pedidos!$E$2:$E$2224,$A12,Pedidos!$F$2:$F$2224,"20-35")</f>
        <v>8</v>
      </c>
      <c r="D12" s="26" t="n">
        <f aca="false">COUNTIFS(Pedidos!$E$2:$E$2224,$A12,Pedidos!$F$2:$F$2224,"35-40")</f>
        <v>4</v>
      </c>
      <c r="E12" s="26" t="n">
        <f aca="false">COUNTIFS(Pedidos!$E$2:$E$2224,$A12,Pedidos!$F$2:$F$2224,"40-50")</f>
        <v>8</v>
      </c>
      <c r="F12" s="26" t="n">
        <f aca="false">COUNTIFS(Pedidos!$E$2:$E$2224,$A12,Pedidos!$F$2:$F$2224,"50-60")</f>
        <v>8</v>
      </c>
      <c r="G12" s="26" t="n">
        <f aca="false">COUNTIFS(Pedidos!$E$2:$E$2224,$A12,Pedidos!$F$2:$F$2224,"60-70")</f>
        <v>7</v>
      </c>
      <c r="H12" s="26" t="n">
        <f aca="false">COUNTIFS(Pedidos!$E$2:$E$2224,$A12,Pedidos!$F$2:$F$2224,"70-80")</f>
        <v>0</v>
      </c>
      <c r="I12" s="26" t="n">
        <f aca="false">COUNTIFS(Pedidos!$E$2:$E$2224,$A12,Pedidos!$F$2:$F$2224,"80-100")</f>
        <v>3</v>
      </c>
      <c r="J12" s="26" t="n">
        <f aca="false">COUNTIFS(Pedidos!$E$2:$E$2224,$A12,Pedidos!$F$2:$F$2224,"100-120")</f>
        <v>0</v>
      </c>
      <c r="K12" s="26" t="n">
        <f aca="false">COUNTIFS(Pedidos!$E$2:$E$2224,$A12,Pedidos!$F$2:$F$2224,"120-150")</f>
        <v>5</v>
      </c>
      <c r="L12" s="26" t="n">
        <f aca="false">COUNTIFS(Pedidos!$E$2:$E$2224,$A12,Pedidos!$F$2:$F$2224,"150-170")</f>
        <v>0</v>
      </c>
      <c r="M12" s="26" t="n">
        <f aca="false">COUNTIFS(Pedidos!$E$2:$E$2224,$A12,Pedidos!$F$2:$F$2224,"170-200")</f>
        <v>1</v>
      </c>
      <c r="N12" s="26" t="n">
        <f aca="false">COUNTIFS(Pedidos!$E$2:$E$2224,$A12,Pedidos!$F$2:$F$2224,"200-250")</f>
        <v>0</v>
      </c>
      <c r="O12" s="26" t="n">
        <f aca="false">COUNTIFS(Pedidos!$E$2:$E$2224,$A12,Pedidos!$F$2:$F$2224,"&gt;250")</f>
        <v>0</v>
      </c>
      <c r="P12" s="26" t="n">
        <f aca="false">COUNTIFS(Pedidos!$E$2:$E$2224,$A12)</f>
        <v>45</v>
      </c>
    </row>
    <row r="13" customFormat="false" ht="15" hidden="false" customHeight="false" outlineLevel="0" collapsed="false">
      <c r="A13" s="14" t="s">
        <v>86</v>
      </c>
      <c r="B13" s="26" t="n">
        <f aca="false">COUNTIFS(Pedidos!$E$2:$E$2224,$A13,Pedidos!$F$2:$F$2224,"0-20")</f>
        <v>1</v>
      </c>
      <c r="C13" s="26" t="n">
        <f aca="false">COUNTIFS(Pedidos!$E$2:$E$2224,$A13,Pedidos!$F$2:$F$2224,"20-35")</f>
        <v>5</v>
      </c>
      <c r="D13" s="26" t="n">
        <f aca="false">COUNTIFS(Pedidos!$E$2:$E$2224,$A13,Pedidos!$F$2:$F$2224,"35-40")</f>
        <v>6</v>
      </c>
      <c r="E13" s="26" t="n">
        <f aca="false">COUNTIFS(Pedidos!$E$2:$E$2224,$A13,Pedidos!$F$2:$F$2224,"40-50")</f>
        <v>8</v>
      </c>
      <c r="F13" s="26" t="n">
        <f aca="false">COUNTIFS(Pedidos!$E$2:$E$2224,$A13,Pedidos!$F$2:$F$2224,"50-60")</f>
        <v>7</v>
      </c>
      <c r="G13" s="26" t="n">
        <f aca="false">COUNTIFS(Pedidos!$E$2:$E$2224,$A13,Pedidos!$F$2:$F$2224,"60-70")</f>
        <v>4</v>
      </c>
      <c r="H13" s="26" t="n">
        <f aca="false">COUNTIFS(Pedidos!$E$2:$E$2224,$A13,Pedidos!$F$2:$F$2224,"70-80")</f>
        <v>0</v>
      </c>
      <c r="I13" s="26" t="n">
        <f aca="false">COUNTIFS(Pedidos!$E$2:$E$2224,$A13,Pedidos!$F$2:$F$2224,"80-100")</f>
        <v>2</v>
      </c>
      <c r="J13" s="26" t="n">
        <f aca="false">COUNTIFS(Pedidos!$E$2:$E$2224,$A13,Pedidos!$F$2:$F$2224,"100-120")</f>
        <v>1</v>
      </c>
      <c r="K13" s="26" t="n">
        <f aca="false">COUNTIFS(Pedidos!$E$2:$E$2224,$A13,Pedidos!$F$2:$F$2224,"120-150")</f>
        <v>3</v>
      </c>
      <c r="L13" s="26" t="n">
        <f aca="false">COUNTIFS(Pedidos!$E$2:$E$2224,$A13,Pedidos!$F$2:$F$2224,"150-170")</f>
        <v>0</v>
      </c>
      <c r="M13" s="26" t="n">
        <f aca="false">COUNTIFS(Pedidos!$E$2:$E$2224,$A13,Pedidos!$F$2:$F$2224,"170-200")</f>
        <v>0</v>
      </c>
      <c r="N13" s="26" t="n">
        <f aca="false">COUNTIFS(Pedidos!$E$2:$E$2224,$A13,Pedidos!$F$2:$F$2224,"200-250")</f>
        <v>0</v>
      </c>
      <c r="O13" s="26" t="n">
        <f aca="false">COUNTIFS(Pedidos!$E$2:$E$2224,$A13,Pedidos!$F$2:$F$2224,"&gt;250")</f>
        <v>0</v>
      </c>
      <c r="P13" s="26" t="n">
        <f aca="false">COUNTIFS(Pedidos!$E$2:$E$2224,$A13)</f>
        <v>37</v>
      </c>
    </row>
    <row r="14" customFormat="false" ht="15" hidden="false" customHeight="false" outlineLevel="0" collapsed="false">
      <c r="A14" s="14" t="s">
        <v>87</v>
      </c>
      <c r="B14" s="26" t="n">
        <f aca="false">COUNTIFS(Pedidos!$E$2:$E$2224,$A14,Pedidos!$F$2:$F$2224,"0-20")</f>
        <v>0</v>
      </c>
      <c r="C14" s="26" t="n">
        <f aca="false">COUNTIFS(Pedidos!$E$2:$E$2224,$A14,Pedidos!$F$2:$F$2224,"20-35")</f>
        <v>8</v>
      </c>
      <c r="D14" s="26" t="n">
        <f aca="false">COUNTIFS(Pedidos!$E$2:$E$2224,$A14,Pedidos!$F$2:$F$2224,"35-40")</f>
        <v>8</v>
      </c>
      <c r="E14" s="26" t="n">
        <f aca="false">COUNTIFS(Pedidos!$E$2:$E$2224,$A14,Pedidos!$F$2:$F$2224,"40-50")</f>
        <v>5</v>
      </c>
      <c r="F14" s="26" t="n">
        <f aca="false">COUNTIFS(Pedidos!$E$2:$E$2224,$A14,Pedidos!$F$2:$F$2224,"50-60")</f>
        <v>7</v>
      </c>
      <c r="G14" s="26" t="n">
        <f aca="false">COUNTIFS(Pedidos!$E$2:$E$2224,$A14,Pedidos!$F$2:$F$2224,"60-70")</f>
        <v>5</v>
      </c>
      <c r="H14" s="26" t="n">
        <f aca="false">COUNTIFS(Pedidos!$E$2:$E$2224,$A14,Pedidos!$F$2:$F$2224,"70-80")</f>
        <v>0</v>
      </c>
      <c r="I14" s="26" t="n">
        <f aca="false">COUNTIFS(Pedidos!$E$2:$E$2224,$A14,Pedidos!$F$2:$F$2224,"80-100")</f>
        <v>2</v>
      </c>
      <c r="J14" s="26" t="n">
        <f aca="false">COUNTIFS(Pedidos!$E$2:$E$2224,$A14,Pedidos!$F$2:$F$2224,"100-120")</f>
        <v>1</v>
      </c>
      <c r="K14" s="26" t="n">
        <f aca="false">COUNTIFS(Pedidos!$E$2:$E$2224,$A14,Pedidos!$F$2:$F$2224,"120-150")</f>
        <v>1</v>
      </c>
      <c r="L14" s="26" t="n">
        <f aca="false">COUNTIFS(Pedidos!$E$2:$E$2224,$A14,Pedidos!$F$2:$F$2224,"150-170")</f>
        <v>0</v>
      </c>
      <c r="M14" s="26" t="n">
        <f aca="false">COUNTIFS(Pedidos!$E$2:$E$2224,$A14,Pedidos!$F$2:$F$2224,"170-200")</f>
        <v>0</v>
      </c>
      <c r="N14" s="26" t="n">
        <f aca="false">COUNTIFS(Pedidos!$E$2:$E$2224,$A14,Pedidos!$F$2:$F$2224,"200-250")</f>
        <v>0</v>
      </c>
      <c r="O14" s="26" t="n">
        <f aca="false">COUNTIFS(Pedidos!$E$2:$E$2224,$A14,Pedidos!$F$2:$F$2224,"&gt;250")</f>
        <v>0</v>
      </c>
      <c r="P14" s="26" t="n">
        <f aca="false">COUNTIFS(Pedidos!$E$2:$E$2224,$A14)</f>
        <v>37</v>
      </c>
    </row>
    <row r="15" customFormat="false" ht="15" hidden="false" customHeight="false" outlineLevel="0" collapsed="false">
      <c r="A15" s="14" t="s">
        <v>88</v>
      </c>
      <c r="B15" s="26" t="n">
        <f aca="false">COUNTIFS(Pedidos!$E$2:$E$2224,$A15,Pedidos!$F$2:$F$2224,"0-20")</f>
        <v>3</v>
      </c>
      <c r="C15" s="26" t="n">
        <f aca="false">COUNTIFS(Pedidos!$E$2:$E$2224,$A15,Pedidos!$F$2:$F$2224,"20-35")</f>
        <v>6</v>
      </c>
      <c r="D15" s="26" t="n">
        <f aca="false">COUNTIFS(Pedidos!$E$2:$E$2224,$A15,Pedidos!$F$2:$F$2224,"35-40")</f>
        <v>5</v>
      </c>
      <c r="E15" s="26" t="n">
        <f aca="false">COUNTIFS(Pedidos!$E$2:$E$2224,$A15,Pedidos!$F$2:$F$2224,"40-50")</f>
        <v>8</v>
      </c>
      <c r="F15" s="26" t="n">
        <f aca="false">COUNTIFS(Pedidos!$E$2:$E$2224,$A15,Pedidos!$F$2:$F$2224,"50-60")</f>
        <v>9</v>
      </c>
      <c r="G15" s="26" t="n">
        <f aca="false">COUNTIFS(Pedidos!$E$2:$E$2224,$A15,Pedidos!$F$2:$F$2224,"60-70")</f>
        <v>2</v>
      </c>
      <c r="H15" s="26" t="n">
        <f aca="false">COUNTIFS(Pedidos!$E$2:$E$2224,$A15,Pedidos!$F$2:$F$2224,"70-80")</f>
        <v>1</v>
      </c>
      <c r="I15" s="26" t="n">
        <f aca="false">COUNTIFS(Pedidos!$E$2:$E$2224,$A15,Pedidos!$F$2:$F$2224,"80-100")</f>
        <v>1</v>
      </c>
      <c r="J15" s="26" t="n">
        <f aca="false">COUNTIFS(Pedidos!$E$2:$E$2224,$A15,Pedidos!$F$2:$F$2224,"100-120")</f>
        <v>0</v>
      </c>
      <c r="K15" s="26" t="n">
        <f aca="false">COUNTIFS(Pedidos!$E$2:$E$2224,$A15,Pedidos!$F$2:$F$2224,"120-150")</f>
        <v>0</v>
      </c>
      <c r="L15" s="26" t="n">
        <f aca="false">COUNTIFS(Pedidos!$E$2:$E$2224,$A15,Pedidos!$F$2:$F$2224,"150-170")</f>
        <v>0</v>
      </c>
      <c r="M15" s="26" t="n">
        <f aca="false">COUNTIFS(Pedidos!$E$2:$E$2224,$A15,Pedidos!$F$2:$F$2224,"170-200")</f>
        <v>0</v>
      </c>
      <c r="N15" s="26" t="n">
        <f aca="false">COUNTIFS(Pedidos!$E$2:$E$2224,$A15,Pedidos!$F$2:$F$2224,"200-250")</f>
        <v>0</v>
      </c>
      <c r="O15" s="26" t="n">
        <f aca="false">COUNTIFS(Pedidos!$E$2:$E$2224,$A15,Pedidos!$F$2:$F$2224,"&gt;250")</f>
        <v>0</v>
      </c>
      <c r="P15" s="26" t="n">
        <f aca="false">COUNTIFS(Pedidos!$E$2:$E$2224,$A15)</f>
        <v>35</v>
      </c>
    </row>
    <row r="16" customFormat="false" ht="15" hidden="false" customHeight="false" outlineLevel="0" collapsed="false">
      <c r="A16" s="14" t="s">
        <v>89</v>
      </c>
      <c r="B16" s="26" t="n">
        <f aca="false">COUNTIFS(Pedidos!$E$2:$E$2224,$A16,Pedidos!$F$2:$F$2224,"0-20")</f>
        <v>0</v>
      </c>
      <c r="C16" s="26" t="n">
        <f aca="false">COUNTIFS(Pedidos!$E$2:$E$2224,$A16,Pedidos!$F$2:$F$2224,"20-35")</f>
        <v>5</v>
      </c>
      <c r="D16" s="26" t="n">
        <f aca="false">COUNTIFS(Pedidos!$E$2:$E$2224,$A16,Pedidos!$F$2:$F$2224,"35-40")</f>
        <v>7</v>
      </c>
      <c r="E16" s="26" t="n">
        <f aca="false">COUNTIFS(Pedidos!$E$2:$E$2224,$A16,Pedidos!$F$2:$F$2224,"40-50")</f>
        <v>3</v>
      </c>
      <c r="F16" s="26" t="n">
        <f aca="false">COUNTIFS(Pedidos!$E$2:$E$2224,$A16,Pedidos!$F$2:$F$2224,"50-60")</f>
        <v>6</v>
      </c>
      <c r="G16" s="26" t="n">
        <f aca="false">COUNTIFS(Pedidos!$E$2:$E$2224,$A16,Pedidos!$F$2:$F$2224,"60-70")</f>
        <v>5</v>
      </c>
      <c r="H16" s="26" t="n">
        <f aca="false">COUNTIFS(Pedidos!$E$2:$E$2224,$A16,Pedidos!$F$2:$F$2224,"70-80")</f>
        <v>1</v>
      </c>
      <c r="I16" s="26" t="n">
        <f aca="false">COUNTIFS(Pedidos!$E$2:$E$2224,$A16,Pedidos!$F$2:$F$2224,"80-100")</f>
        <v>1</v>
      </c>
      <c r="J16" s="26" t="n">
        <f aca="false">COUNTIFS(Pedidos!$E$2:$E$2224,$A16,Pedidos!$F$2:$F$2224,"100-120")</f>
        <v>1</v>
      </c>
      <c r="K16" s="26" t="n">
        <f aca="false">COUNTIFS(Pedidos!$E$2:$E$2224,$A16,Pedidos!$F$2:$F$2224,"120-150")</f>
        <v>3</v>
      </c>
      <c r="L16" s="26" t="n">
        <f aca="false">COUNTIFS(Pedidos!$E$2:$E$2224,$A16,Pedidos!$F$2:$F$2224,"150-170")</f>
        <v>0</v>
      </c>
      <c r="M16" s="26" t="n">
        <f aca="false">COUNTIFS(Pedidos!$E$2:$E$2224,$A16,Pedidos!$F$2:$F$2224,"170-200")</f>
        <v>0</v>
      </c>
      <c r="N16" s="26" t="n">
        <f aca="false">COUNTIFS(Pedidos!$E$2:$E$2224,$A16,Pedidos!$F$2:$F$2224,"200-250")</f>
        <v>0</v>
      </c>
      <c r="O16" s="26" t="n">
        <f aca="false">COUNTIFS(Pedidos!$E$2:$E$2224,$A16,Pedidos!$F$2:$F$2224,"&gt;250")</f>
        <v>0</v>
      </c>
      <c r="P16" s="26" t="n">
        <f aca="false">COUNTIFS(Pedidos!$E$2:$E$2224,$A16)</f>
        <v>32</v>
      </c>
    </row>
    <row r="17" customFormat="false" ht="15" hidden="false" customHeight="false" outlineLevel="0" collapsed="false">
      <c r="A17" s="14" t="s">
        <v>90</v>
      </c>
      <c r="B17" s="26" t="n">
        <f aca="false">COUNTIFS(Pedidos!$E$2:$E$2224,$A17,Pedidos!$F$2:$F$2224,"0-20")</f>
        <v>0</v>
      </c>
      <c r="C17" s="26" t="n">
        <f aca="false">COUNTIFS(Pedidos!$E$2:$E$2224,$A17,Pedidos!$F$2:$F$2224,"20-35")</f>
        <v>6</v>
      </c>
      <c r="D17" s="26" t="n">
        <f aca="false">COUNTIFS(Pedidos!$E$2:$E$2224,$A17,Pedidos!$F$2:$F$2224,"35-40")</f>
        <v>7</v>
      </c>
      <c r="E17" s="26" t="n">
        <f aca="false">COUNTIFS(Pedidos!$E$2:$E$2224,$A17,Pedidos!$F$2:$F$2224,"40-50")</f>
        <v>3</v>
      </c>
      <c r="F17" s="26" t="n">
        <f aca="false">COUNTIFS(Pedidos!$E$2:$E$2224,$A17,Pedidos!$F$2:$F$2224,"50-60")</f>
        <v>8</v>
      </c>
      <c r="G17" s="26" t="n">
        <f aca="false">COUNTIFS(Pedidos!$E$2:$E$2224,$A17,Pedidos!$F$2:$F$2224,"60-70")</f>
        <v>3</v>
      </c>
      <c r="H17" s="26" t="n">
        <f aca="false">COUNTIFS(Pedidos!$E$2:$E$2224,$A17,Pedidos!$F$2:$F$2224,"70-80")</f>
        <v>1</v>
      </c>
      <c r="I17" s="26" t="n">
        <f aca="false">COUNTIFS(Pedidos!$E$2:$E$2224,$A17,Pedidos!$F$2:$F$2224,"80-100")</f>
        <v>0</v>
      </c>
      <c r="J17" s="26" t="n">
        <f aca="false">COUNTIFS(Pedidos!$E$2:$E$2224,$A17,Pedidos!$F$2:$F$2224,"100-120")</f>
        <v>1</v>
      </c>
      <c r="K17" s="26" t="n">
        <f aca="false">COUNTIFS(Pedidos!$E$2:$E$2224,$A17,Pedidos!$F$2:$F$2224,"120-150")</f>
        <v>3</v>
      </c>
      <c r="L17" s="26" t="n">
        <f aca="false">COUNTIFS(Pedidos!$E$2:$E$2224,$A17,Pedidos!$F$2:$F$2224,"150-170")</f>
        <v>0</v>
      </c>
      <c r="M17" s="26" t="n">
        <f aca="false">COUNTIFS(Pedidos!$E$2:$E$2224,$A17,Pedidos!$F$2:$F$2224,"170-200")</f>
        <v>0</v>
      </c>
      <c r="N17" s="26" t="n">
        <f aca="false">COUNTIFS(Pedidos!$E$2:$E$2224,$A17,Pedidos!$F$2:$F$2224,"200-250")</f>
        <v>0</v>
      </c>
      <c r="O17" s="26" t="n">
        <f aca="false">COUNTIFS(Pedidos!$E$2:$E$2224,$A17,Pedidos!$F$2:$F$2224,"&gt;250")</f>
        <v>0</v>
      </c>
      <c r="P17" s="26" t="n">
        <f aca="false">COUNTIFS(Pedidos!$E$2:$E$2224,$A17)</f>
        <v>32</v>
      </c>
    </row>
    <row r="18" customFormat="false" ht="15" hidden="false" customHeight="false" outlineLevel="0" collapsed="false">
      <c r="A18" s="14" t="s">
        <v>91</v>
      </c>
      <c r="B18" s="26" t="n">
        <f aca="false">COUNTIFS(Pedidos!$E$2:$E$2224,$A18,Pedidos!$F$2:$F$2224,"0-20")</f>
        <v>1</v>
      </c>
      <c r="C18" s="26" t="n">
        <f aca="false">COUNTIFS(Pedidos!$E$2:$E$2224,$A18,Pedidos!$F$2:$F$2224,"20-35")</f>
        <v>5</v>
      </c>
      <c r="D18" s="26" t="n">
        <f aca="false">COUNTIFS(Pedidos!$E$2:$E$2224,$A18,Pedidos!$F$2:$F$2224,"35-40")</f>
        <v>9</v>
      </c>
      <c r="E18" s="26" t="n">
        <f aca="false">COUNTIFS(Pedidos!$E$2:$E$2224,$A18,Pedidos!$F$2:$F$2224,"40-50")</f>
        <v>6</v>
      </c>
      <c r="F18" s="26" t="n">
        <f aca="false">COUNTIFS(Pedidos!$E$2:$E$2224,$A18,Pedidos!$F$2:$F$2224,"50-60")</f>
        <v>3</v>
      </c>
      <c r="G18" s="26" t="n">
        <f aca="false">COUNTIFS(Pedidos!$E$2:$E$2224,$A18,Pedidos!$F$2:$F$2224,"60-70")</f>
        <v>4</v>
      </c>
      <c r="H18" s="26" t="n">
        <f aca="false">COUNTIFS(Pedidos!$E$2:$E$2224,$A18,Pedidos!$F$2:$F$2224,"70-80")</f>
        <v>0</v>
      </c>
      <c r="I18" s="26" t="n">
        <f aca="false">COUNTIFS(Pedidos!$E$2:$E$2224,$A18,Pedidos!$F$2:$F$2224,"80-100")</f>
        <v>0</v>
      </c>
      <c r="J18" s="26" t="n">
        <f aca="false">COUNTIFS(Pedidos!$E$2:$E$2224,$A18,Pedidos!$F$2:$F$2224,"100-120")</f>
        <v>0</v>
      </c>
      <c r="K18" s="26" t="n">
        <f aca="false">COUNTIFS(Pedidos!$E$2:$E$2224,$A18,Pedidos!$F$2:$F$2224,"120-150")</f>
        <v>0</v>
      </c>
      <c r="L18" s="26" t="n">
        <f aca="false">COUNTIFS(Pedidos!$E$2:$E$2224,$A18,Pedidos!$F$2:$F$2224,"150-170")</f>
        <v>0</v>
      </c>
      <c r="M18" s="26" t="n">
        <f aca="false">COUNTIFS(Pedidos!$E$2:$E$2224,$A18,Pedidos!$F$2:$F$2224,"170-200")</f>
        <v>0</v>
      </c>
      <c r="N18" s="26" t="n">
        <f aca="false">COUNTIFS(Pedidos!$E$2:$E$2224,$A18,Pedidos!$F$2:$F$2224,"200-250")</f>
        <v>0</v>
      </c>
      <c r="O18" s="26" t="n">
        <f aca="false">COUNTIFS(Pedidos!$E$2:$E$2224,$A18,Pedidos!$F$2:$F$2224,"&gt;250")</f>
        <v>0</v>
      </c>
      <c r="P18" s="26" t="n">
        <f aca="false">COUNTIFS(Pedidos!$E$2:$E$2224,$A18)</f>
        <v>28</v>
      </c>
    </row>
    <row r="19" customFormat="false" ht="15" hidden="false" customHeight="false" outlineLevel="0" collapsed="false">
      <c r="A19" s="14" t="s">
        <v>92</v>
      </c>
      <c r="B19" s="26" t="n">
        <f aca="false">COUNTIFS(Pedidos!$E$2:$E$2224,$A19,Pedidos!$F$2:$F$2224,"0-20")</f>
        <v>0</v>
      </c>
      <c r="C19" s="26" t="n">
        <f aca="false">COUNTIFS(Pedidos!$E$2:$E$2224,$A19,Pedidos!$F$2:$F$2224,"20-35")</f>
        <v>6</v>
      </c>
      <c r="D19" s="26" t="n">
        <f aca="false">COUNTIFS(Pedidos!$E$2:$E$2224,$A19,Pedidos!$F$2:$F$2224,"35-40")</f>
        <v>6</v>
      </c>
      <c r="E19" s="26" t="n">
        <f aca="false">COUNTIFS(Pedidos!$E$2:$E$2224,$A19,Pedidos!$F$2:$F$2224,"40-50")</f>
        <v>5</v>
      </c>
      <c r="F19" s="26" t="n">
        <f aca="false">COUNTIFS(Pedidos!$E$2:$E$2224,$A19,Pedidos!$F$2:$F$2224,"50-60")</f>
        <v>3</v>
      </c>
      <c r="G19" s="26" t="n">
        <f aca="false">COUNTIFS(Pedidos!$E$2:$E$2224,$A19,Pedidos!$F$2:$F$2224,"60-70")</f>
        <v>6</v>
      </c>
      <c r="H19" s="26" t="n">
        <f aca="false">COUNTIFS(Pedidos!$E$2:$E$2224,$A19,Pedidos!$F$2:$F$2224,"70-80")</f>
        <v>1</v>
      </c>
      <c r="I19" s="26" t="n">
        <f aca="false">COUNTIFS(Pedidos!$E$2:$E$2224,$A19,Pedidos!$F$2:$F$2224,"80-100")</f>
        <v>1</v>
      </c>
      <c r="J19" s="26" t="n">
        <f aca="false">COUNTIFS(Pedidos!$E$2:$E$2224,$A19,Pedidos!$F$2:$F$2224,"100-120")</f>
        <v>0</v>
      </c>
      <c r="K19" s="26" t="n">
        <f aca="false">COUNTIFS(Pedidos!$E$2:$E$2224,$A19,Pedidos!$F$2:$F$2224,"120-150")</f>
        <v>0</v>
      </c>
      <c r="L19" s="26" t="n">
        <f aca="false">COUNTIFS(Pedidos!$E$2:$E$2224,$A19,Pedidos!$F$2:$F$2224,"150-170")</f>
        <v>0</v>
      </c>
      <c r="M19" s="26" t="n">
        <f aca="false">COUNTIFS(Pedidos!$E$2:$E$2224,$A19,Pedidos!$F$2:$F$2224,"170-200")</f>
        <v>0</v>
      </c>
      <c r="N19" s="26" t="n">
        <f aca="false">COUNTIFS(Pedidos!$E$2:$E$2224,$A19,Pedidos!$F$2:$F$2224,"200-250")</f>
        <v>0</v>
      </c>
      <c r="O19" s="26" t="n">
        <f aca="false">COUNTIFS(Pedidos!$E$2:$E$2224,$A19,Pedidos!$F$2:$F$2224,"&gt;250")</f>
        <v>0</v>
      </c>
      <c r="P19" s="26" t="n">
        <f aca="false">COUNTIFS(Pedidos!$E$2:$E$2224,$A19)</f>
        <v>28</v>
      </c>
    </row>
    <row r="20" customFormat="false" ht="15" hidden="false" customHeight="false" outlineLevel="0" collapsed="false">
      <c r="A20" s="14" t="s">
        <v>93</v>
      </c>
      <c r="B20" s="26" t="n">
        <f aca="false">COUNTIFS(Pedidos!$E$2:$E$2224,$A20,Pedidos!$F$2:$F$2224,"0-20")</f>
        <v>1</v>
      </c>
      <c r="C20" s="26" t="n">
        <f aca="false">COUNTIFS(Pedidos!$E$2:$E$2224,$A20,Pedidos!$F$2:$F$2224,"20-35")</f>
        <v>6</v>
      </c>
      <c r="D20" s="26" t="n">
        <f aca="false">COUNTIFS(Pedidos!$E$2:$E$2224,$A20,Pedidos!$F$2:$F$2224,"35-40")</f>
        <v>3</v>
      </c>
      <c r="E20" s="26" t="n">
        <f aca="false">COUNTIFS(Pedidos!$E$2:$E$2224,$A20,Pedidos!$F$2:$F$2224,"40-50")</f>
        <v>7</v>
      </c>
      <c r="F20" s="26" t="n">
        <f aca="false">COUNTIFS(Pedidos!$E$2:$E$2224,$A20,Pedidos!$F$2:$F$2224,"50-60")</f>
        <v>3</v>
      </c>
      <c r="G20" s="26" t="n">
        <f aca="false">COUNTIFS(Pedidos!$E$2:$E$2224,$A20,Pedidos!$F$2:$F$2224,"60-70")</f>
        <v>3</v>
      </c>
      <c r="H20" s="26" t="n">
        <f aca="false">COUNTIFS(Pedidos!$E$2:$E$2224,$A20,Pedidos!$F$2:$F$2224,"70-80")</f>
        <v>0</v>
      </c>
      <c r="I20" s="26" t="n">
        <f aca="false">COUNTIFS(Pedidos!$E$2:$E$2224,$A20,Pedidos!$F$2:$F$2224,"80-100")</f>
        <v>0</v>
      </c>
      <c r="J20" s="26" t="n">
        <f aca="false">COUNTIFS(Pedidos!$E$2:$E$2224,$A20,Pedidos!$F$2:$F$2224,"100-120")</f>
        <v>0</v>
      </c>
      <c r="K20" s="26" t="n">
        <f aca="false">COUNTIFS(Pedidos!$E$2:$E$2224,$A20,Pedidos!$F$2:$F$2224,"120-150")</f>
        <v>2</v>
      </c>
      <c r="L20" s="26" t="n">
        <f aca="false">COUNTIFS(Pedidos!$E$2:$E$2224,$A20,Pedidos!$F$2:$F$2224,"150-170")</f>
        <v>0</v>
      </c>
      <c r="M20" s="26" t="n">
        <f aca="false">COUNTIFS(Pedidos!$E$2:$E$2224,$A20,Pedidos!$F$2:$F$2224,"170-200")</f>
        <v>0</v>
      </c>
      <c r="N20" s="26" t="n">
        <f aca="false">COUNTIFS(Pedidos!$E$2:$E$2224,$A20,Pedidos!$F$2:$F$2224,"200-250")</f>
        <v>0</v>
      </c>
      <c r="O20" s="26" t="n">
        <f aca="false">COUNTIFS(Pedidos!$E$2:$E$2224,$A20,Pedidos!$F$2:$F$2224,"&gt;250")</f>
        <v>0</v>
      </c>
      <c r="P20" s="26" t="n">
        <f aca="false">COUNTIFS(Pedidos!$E$2:$E$2224,$A20)</f>
        <v>25</v>
      </c>
    </row>
    <row r="21" customFormat="false" ht="15" hidden="false" customHeight="false" outlineLevel="0" collapsed="false">
      <c r="A21" s="14" t="s">
        <v>94</v>
      </c>
      <c r="B21" s="26" t="n">
        <f aca="false">COUNTIFS(Pedidos!$E$2:$E$2224,$A21,Pedidos!$F$2:$F$2224,"0-20")</f>
        <v>1</v>
      </c>
      <c r="C21" s="26" t="n">
        <f aca="false">COUNTIFS(Pedidos!$E$2:$E$2224,$A21,Pedidos!$F$2:$F$2224,"20-35")</f>
        <v>3</v>
      </c>
      <c r="D21" s="26" t="n">
        <f aca="false">COUNTIFS(Pedidos!$E$2:$E$2224,$A21,Pedidos!$F$2:$F$2224,"35-40")</f>
        <v>5</v>
      </c>
      <c r="E21" s="26" t="n">
        <f aca="false">COUNTIFS(Pedidos!$E$2:$E$2224,$A21,Pedidos!$F$2:$F$2224,"40-50")</f>
        <v>5</v>
      </c>
      <c r="F21" s="26" t="n">
        <f aca="false">COUNTIFS(Pedidos!$E$2:$E$2224,$A21,Pedidos!$F$2:$F$2224,"50-60")</f>
        <v>2</v>
      </c>
      <c r="G21" s="26" t="n">
        <f aca="false">COUNTIFS(Pedidos!$E$2:$E$2224,$A21,Pedidos!$F$2:$F$2224,"60-70")</f>
        <v>3</v>
      </c>
      <c r="H21" s="26" t="n">
        <f aca="false">COUNTIFS(Pedidos!$E$2:$E$2224,$A21,Pedidos!$F$2:$F$2224,"70-80")</f>
        <v>0</v>
      </c>
      <c r="I21" s="26" t="n">
        <f aca="false">COUNTIFS(Pedidos!$E$2:$E$2224,$A21,Pedidos!$F$2:$F$2224,"80-100")</f>
        <v>0</v>
      </c>
      <c r="J21" s="26" t="n">
        <f aca="false">COUNTIFS(Pedidos!$E$2:$E$2224,$A21,Pedidos!$F$2:$F$2224,"100-120")</f>
        <v>2</v>
      </c>
      <c r="K21" s="26" t="n">
        <f aca="false">COUNTIFS(Pedidos!$E$2:$E$2224,$A21,Pedidos!$F$2:$F$2224,"120-150")</f>
        <v>0</v>
      </c>
      <c r="L21" s="26" t="n">
        <f aca="false">COUNTIFS(Pedidos!$E$2:$E$2224,$A21,Pedidos!$F$2:$F$2224,"150-170")</f>
        <v>0</v>
      </c>
      <c r="M21" s="26" t="n">
        <f aca="false">COUNTIFS(Pedidos!$E$2:$E$2224,$A21,Pedidos!$F$2:$F$2224,"170-200")</f>
        <v>0</v>
      </c>
      <c r="N21" s="26" t="n">
        <f aca="false">COUNTIFS(Pedidos!$E$2:$E$2224,$A21,Pedidos!$F$2:$F$2224,"200-250")</f>
        <v>0</v>
      </c>
      <c r="O21" s="26" t="n">
        <f aca="false">COUNTIFS(Pedidos!$E$2:$E$2224,$A21,Pedidos!$F$2:$F$2224,"&gt;250")</f>
        <v>0</v>
      </c>
      <c r="P21" s="26" t="n">
        <f aca="false">COUNTIFS(Pedidos!$E$2:$E$2224,$A21)</f>
        <v>21</v>
      </c>
    </row>
    <row r="22" customFormat="false" ht="15" hidden="false" customHeight="false" outlineLevel="0" collapsed="false">
      <c r="A22" s="14" t="s">
        <v>95</v>
      </c>
      <c r="B22" s="26" t="n">
        <f aca="false">COUNTIFS(Pedidos!$E$2:$E$2224,$A22,Pedidos!$F$2:$F$2224,"0-20")</f>
        <v>2</v>
      </c>
      <c r="C22" s="26" t="n">
        <f aca="false">COUNTIFS(Pedidos!$E$2:$E$2224,$A22,Pedidos!$F$2:$F$2224,"20-35")</f>
        <v>8</v>
      </c>
      <c r="D22" s="26" t="n">
        <f aca="false">COUNTIFS(Pedidos!$E$2:$E$2224,$A22,Pedidos!$F$2:$F$2224,"35-40")</f>
        <v>2</v>
      </c>
      <c r="E22" s="26" t="n">
        <f aca="false">COUNTIFS(Pedidos!$E$2:$E$2224,$A22,Pedidos!$F$2:$F$2224,"40-50")</f>
        <v>2</v>
      </c>
      <c r="F22" s="26" t="n">
        <f aca="false">COUNTIFS(Pedidos!$E$2:$E$2224,$A22,Pedidos!$F$2:$F$2224,"50-60")</f>
        <v>2</v>
      </c>
      <c r="G22" s="26" t="n">
        <f aca="false">COUNTIFS(Pedidos!$E$2:$E$2224,$A22,Pedidos!$F$2:$F$2224,"60-70")</f>
        <v>3</v>
      </c>
      <c r="H22" s="26" t="n">
        <f aca="false">COUNTIFS(Pedidos!$E$2:$E$2224,$A22,Pedidos!$F$2:$F$2224,"70-80")</f>
        <v>0</v>
      </c>
      <c r="I22" s="26" t="n">
        <f aca="false">COUNTIFS(Pedidos!$E$2:$E$2224,$A22,Pedidos!$F$2:$F$2224,"80-100")</f>
        <v>1</v>
      </c>
      <c r="J22" s="26" t="n">
        <f aca="false">COUNTIFS(Pedidos!$E$2:$E$2224,$A22,Pedidos!$F$2:$F$2224,"100-120")</f>
        <v>0</v>
      </c>
      <c r="K22" s="26" t="n">
        <f aca="false">COUNTIFS(Pedidos!$E$2:$E$2224,$A22,Pedidos!$F$2:$F$2224,"120-150")</f>
        <v>0</v>
      </c>
      <c r="L22" s="26" t="n">
        <f aca="false">COUNTIFS(Pedidos!$E$2:$E$2224,$A22,Pedidos!$F$2:$F$2224,"150-170")</f>
        <v>0</v>
      </c>
      <c r="M22" s="26" t="n">
        <f aca="false">COUNTIFS(Pedidos!$E$2:$E$2224,$A22,Pedidos!$F$2:$F$2224,"170-200")</f>
        <v>0</v>
      </c>
      <c r="N22" s="26" t="n">
        <f aca="false">COUNTIFS(Pedidos!$E$2:$E$2224,$A22,Pedidos!$F$2:$F$2224,"200-250")</f>
        <v>0</v>
      </c>
      <c r="O22" s="26" t="n">
        <f aca="false">COUNTIFS(Pedidos!$E$2:$E$2224,$A22,Pedidos!$F$2:$F$2224,"&gt;250")</f>
        <v>0</v>
      </c>
      <c r="P22" s="26" t="n">
        <f aca="false">COUNTIFS(Pedidos!$E$2:$E$2224,$A22)</f>
        <v>20</v>
      </c>
    </row>
    <row r="23" customFormat="false" ht="15" hidden="false" customHeight="false" outlineLevel="0" collapsed="false">
      <c r="A23" s="14" t="s">
        <v>96</v>
      </c>
      <c r="B23" s="26" t="n">
        <f aca="false">COUNTIFS(Pedidos!$E$2:$E$2224,$A23,Pedidos!$F$2:$F$2224,"0-20")</f>
        <v>0</v>
      </c>
      <c r="C23" s="26" t="n">
        <f aca="false">COUNTIFS(Pedidos!$E$2:$E$2224,$A23,Pedidos!$F$2:$F$2224,"20-35")</f>
        <v>4</v>
      </c>
      <c r="D23" s="26" t="n">
        <f aca="false">COUNTIFS(Pedidos!$E$2:$E$2224,$A23,Pedidos!$F$2:$F$2224,"35-40")</f>
        <v>3</v>
      </c>
      <c r="E23" s="26" t="n">
        <f aca="false">COUNTIFS(Pedidos!$E$2:$E$2224,$A23,Pedidos!$F$2:$F$2224,"40-50")</f>
        <v>4</v>
      </c>
      <c r="F23" s="26" t="n">
        <f aca="false">COUNTIFS(Pedidos!$E$2:$E$2224,$A23,Pedidos!$F$2:$F$2224,"50-60")</f>
        <v>3</v>
      </c>
      <c r="G23" s="26" t="n">
        <f aca="false">COUNTIFS(Pedidos!$E$2:$E$2224,$A23,Pedidos!$F$2:$F$2224,"60-70")</f>
        <v>0</v>
      </c>
      <c r="H23" s="26" t="n">
        <f aca="false">COUNTIFS(Pedidos!$E$2:$E$2224,$A23,Pedidos!$F$2:$F$2224,"70-80")</f>
        <v>0</v>
      </c>
      <c r="I23" s="26" t="n">
        <f aca="false">COUNTIFS(Pedidos!$E$2:$E$2224,$A23,Pedidos!$F$2:$F$2224,"80-100")</f>
        <v>1</v>
      </c>
      <c r="J23" s="26" t="n">
        <f aca="false">COUNTIFS(Pedidos!$E$2:$E$2224,$A23,Pedidos!$F$2:$F$2224,"100-120")</f>
        <v>1</v>
      </c>
      <c r="K23" s="26" t="n">
        <f aca="false">COUNTIFS(Pedidos!$E$2:$E$2224,$A23,Pedidos!$F$2:$F$2224,"120-150")</f>
        <v>2</v>
      </c>
      <c r="L23" s="26" t="n">
        <f aca="false">COUNTIFS(Pedidos!$E$2:$E$2224,$A23,Pedidos!$F$2:$F$2224,"150-170")</f>
        <v>0</v>
      </c>
      <c r="M23" s="26" t="n">
        <f aca="false">COUNTIFS(Pedidos!$E$2:$E$2224,$A23,Pedidos!$F$2:$F$2224,"170-200")</f>
        <v>0</v>
      </c>
      <c r="N23" s="26" t="n">
        <f aca="false">COUNTIFS(Pedidos!$E$2:$E$2224,$A23,Pedidos!$F$2:$F$2224,"200-250")</f>
        <v>0</v>
      </c>
      <c r="O23" s="26" t="n">
        <f aca="false">COUNTIFS(Pedidos!$E$2:$E$2224,$A23,Pedidos!$F$2:$F$2224,"&gt;250")</f>
        <v>0</v>
      </c>
      <c r="P23" s="26" t="n">
        <f aca="false">COUNTIFS(Pedidos!$E$2:$E$2224,$A23)</f>
        <v>18</v>
      </c>
    </row>
    <row r="24" customFormat="false" ht="15" hidden="false" customHeight="false" outlineLevel="0" collapsed="false">
      <c r="A24" s="14" t="s">
        <v>97</v>
      </c>
      <c r="B24" s="26" t="n">
        <f aca="false">COUNTIFS(Pedidos!$E$2:$E$2224,$A24,Pedidos!$F$2:$F$2224,"0-20")</f>
        <v>0</v>
      </c>
      <c r="C24" s="26" t="n">
        <f aca="false">COUNTIFS(Pedidos!$E$2:$E$2224,$A24,Pedidos!$F$2:$F$2224,"20-35")</f>
        <v>6</v>
      </c>
      <c r="D24" s="26" t="n">
        <f aca="false">COUNTIFS(Pedidos!$E$2:$E$2224,$A24,Pedidos!$F$2:$F$2224,"35-40")</f>
        <v>2</v>
      </c>
      <c r="E24" s="26" t="n">
        <f aca="false">COUNTIFS(Pedidos!$E$2:$E$2224,$A24,Pedidos!$F$2:$F$2224,"40-50")</f>
        <v>3</v>
      </c>
      <c r="F24" s="26" t="n">
        <f aca="false">COUNTIFS(Pedidos!$E$2:$E$2224,$A24,Pedidos!$F$2:$F$2224,"50-60")</f>
        <v>3</v>
      </c>
      <c r="G24" s="26" t="n">
        <f aca="false">COUNTIFS(Pedidos!$E$2:$E$2224,$A24,Pedidos!$F$2:$F$2224,"60-70")</f>
        <v>3</v>
      </c>
      <c r="H24" s="26" t="n">
        <f aca="false">COUNTIFS(Pedidos!$E$2:$E$2224,$A24,Pedidos!$F$2:$F$2224,"70-80")</f>
        <v>0</v>
      </c>
      <c r="I24" s="26" t="n">
        <f aca="false">COUNTIFS(Pedidos!$E$2:$E$2224,$A24,Pedidos!$F$2:$F$2224,"80-100")</f>
        <v>1</v>
      </c>
      <c r="J24" s="26" t="n">
        <f aca="false">COUNTIFS(Pedidos!$E$2:$E$2224,$A24,Pedidos!$F$2:$F$2224,"100-120")</f>
        <v>0</v>
      </c>
      <c r="K24" s="26" t="n">
        <f aca="false">COUNTIFS(Pedidos!$E$2:$E$2224,$A24,Pedidos!$F$2:$F$2224,"120-150")</f>
        <v>0</v>
      </c>
      <c r="L24" s="26" t="n">
        <f aca="false">COUNTIFS(Pedidos!$E$2:$E$2224,$A24,Pedidos!$F$2:$F$2224,"150-170")</f>
        <v>0</v>
      </c>
      <c r="M24" s="26" t="n">
        <f aca="false">COUNTIFS(Pedidos!$E$2:$E$2224,$A24,Pedidos!$F$2:$F$2224,"170-200")</f>
        <v>0</v>
      </c>
      <c r="N24" s="26" t="n">
        <f aca="false">COUNTIFS(Pedidos!$E$2:$E$2224,$A24,Pedidos!$F$2:$F$2224,"200-250")</f>
        <v>0</v>
      </c>
      <c r="O24" s="26" t="n">
        <f aca="false">COUNTIFS(Pedidos!$E$2:$E$2224,$A24,Pedidos!$F$2:$F$2224,"&gt;250")</f>
        <v>0</v>
      </c>
      <c r="P24" s="26" t="n">
        <f aca="false">COUNTIFS(Pedidos!$E$2:$E$2224,$A24)</f>
        <v>18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3" t="s">
        <v>127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4" t="s">
        <v>63</v>
      </c>
      <c r="B28" s="4" t="s">
        <v>105</v>
      </c>
      <c r="C28" s="4" t="s">
        <v>106</v>
      </c>
      <c r="D28" s="4" t="s">
        <v>107</v>
      </c>
      <c r="E28" s="4" t="s">
        <v>108</v>
      </c>
      <c r="F28" s="4" t="s">
        <v>109</v>
      </c>
      <c r="G28" s="4" t="s">
        <v>110</v>
      </c>
      <c r="H28" s="4" t="s">
        <v>111</v>
      </c>
      <c r="I28" s="4" t="s">
        <v>112</v>
      </c>
      <c r="J28" s="4" t="s">
        <v>113</v>
      </c>
      <c r="K28" s="4" t="s">
        <v>114</v>
      </c>
      <c r="L28" s="4" t="s">
        <v>115</v>
      </c>
      <c r="M28" s="4" t="s">
        <v>116</v>
      </c>
      <c r="N28" s="4" t="s">
        <v>117</v>
      </c>
      <c r="O28" s="4" t="s">
        <v>118</v>
      </c>
      <c r="P28" s="4" t="s">
        <v>126</v>
      </c>
    </row>
    <row r="29" customFormat="false" ht="15" hidden="false" customHeight="false" outlineLevel="0" collapsed="false">
      <c r="A29" s="14" t="s">
        <v>78</v>
      </c>
      <c r="B29" s="27" t="n">
        <f aca="false">IFERROR(AVERAGEIFS(Pedidos!$S$2:$S$2224,Pedidos!$E$2:$E$2224,$A29,Pedidos!$F$2:$F$2224,"0-20")/AVERAGEIFS(Pedidos!$J$2:$J$2224,Pedidos!$E$2:$E$2224,$A29,Pedidos!$F$2:$F$2224,"0-20")-1,"")</f>
        <v>0.0884374580367933</v>
      </c>
      <c r="C29" s="27" t="n">
        <f aca="false">IFERROR(AVERAGEIFS(Pedidos!$S$2:$S$2224,Pedidos!$E$2:$E$2224,$A29,Pedidos!$F$2:$F$2224,"20-35")/AVERAGEIFS(Pedidos!$J$2:$J$2224,Pedidos!$E$2:$E$2224,$A29,Pedidos!$F$2:$F$2224,"20-35")-1,"")</f>
        <v>0.42881504598041</v>
      </c>
      <c r="D29" s="27" t="n">
        <f aca="false">IFERROR(AVERAGEIFS(Pedidos!$S$2:$S$2224,Pedidos!$E$2:$E$2224,$A29,Pedidos!$F$2:$F$2224,"35-40")/AVERAGEIFS(Pedidos!$J$2:$J$2224,Pedidos!$E$2:$E$2224,$A29,Pedidos!$F$2:$F$2224,"35-40")-1,"")</f>
        <v>0.481383944787505</v>
      </c>
      <c r="E29" s="27" t="n">
        <f aca="false">IFERROR(AVERAGEIFS(Pedidos!$S$2:$S$2224,Pedidos!$E$2:$E$2224,$A29,Pedidos!$F$2:$F$2224,"40-50")/AVERAGEIFS(Pedidos!$J$2:$J$2224,Pedidos!$E$2:$E$2224,$A29,Pedidos!$F$2:$F$2224,"40-50")-1,"")</f>
        <v>0.363175737608935</v>
      </c>
      <c r="F29" s="27" t="n">
        <f aca="false">IFERROR(AVERAGEIFS(Pedidos!$S$2:$S$2224,Pedidos!$E$2:$E$2224,$A29,Pedidos!$F$2:$F$2224,"50-60")/AVERAGEIFS(Pedidos!$J$2:$J$2224,Pedidos!$E$2:$E$2224,$A29,Pedidos!$F$2:$F$2224,"50-60")-1,"")</f>
        <v>0.461543107314296</v>
      </c>
      <c r="G29" s="27" t="n">
        <f aca="false">IFERROR(AVERAGEIFS(Pedidos!$S$2:$S$2224,Pedidos!$E$2:$E$2224,$A29,Pedidos!$F$2:$F$2224,"60-70")/AVERAGEIFS(Pedidos!$J$2:$J$2224,Pedidos!$E$2:$E$2224,$A29,Pedidos!$F$2:$F$2224,"60-70")-1,"")</f>
        <v>0.570909360206124</v>
      </c>
      <c r="H29" s="27" t="n">
        <f aca="false">IFERROR(AVERAGEIFS(Pedidos!$S$2:$S$2224,Pedidos!$E$2:$E$2224,$A29,Pedidos!$F$2:$F$2224,"70-80")/AVERAGEIFS(Pedidos!$J$2:$J$2224,Pedidos!$E$2:$E$2224,$A29,Pedidos!$F$2:$F$2224,"70-80")-1,"")</f>
        <v>0.500467501320744</v>
      </c>
      <c r="I29" s="27" t="n">
        <f aca="false">IFERROR(AVERAGEIFS(Pedidos!$S$2:$S$2224,Pedidos!$E$2:$E$2224,$A29,Pedidos!$F$2:$F$2224,"80-100")/AVERAGEIFS(Pedidos!$J$2:$J$2224,Pedidos!$E$2:$E$2224,$A29,Pedidos!$F$2:$F$2224,"80-100")-1,"")</f>
        <v>0.538197505210262</v>
      </c>
      <c r="J29" s="27" t="n">
        <f aca="false">IFERROR(AVERAGEIFS(Pedidos!$S$2:$S$2224,Pedidos!$E$2:$E$2224,$A29,Pedidos!$F$2:$F$2224,"100-120")/AVERAGEIFS(Pedidos!$J$2:$J$2224,Pedidos!$E$2:$E$2224,$A29,Pedidos!$F$2:$F$2224,"100-120")-1,"")</f>
        <v>0.663519156124553</v>
      </c>
      <c r="K29" s="27" t="n">
        <f aca="false">IFERROR(AVERAGEIFS(Pedidos!$S$2:$S$2224,Pedidos!$E$2:$E$2224,$A29,Pedidos!$F$2:$F$2224,"120-150")/AVERAGEIFS(Pedidos!$J$2:$J$2224,Pedidos!$E$2:$E$2224,$A29,Pedidos!$F$2:$F$2224,"120-150")-1,"")</f>
        <v>0.558880267916359</v>
      </c>
      <c r="L29" s="27" t="n">
        <f aca="false">IFERROR(AVERAGEIFS(Pedidos!$S$2:$S$2224,Pedidos!$E$2:$E$2224,$A29,Pedidos!$F$2:$F$2224,"150-170")/AVERAGEIFS(Pedidos!$J$2:$J$2224,Pedidos!$E$2:$E$2224,$A29,Pedidos!$F$2:$F$2224,"150-170")-1,"")</f>
        <v>0.63283724340176</v>
      </c>
      <c r="M29" s="27" t="str">
        <f aca="false">IFERROR(AVERAGEIFS(Pedidos!$S$2:$S$2224,Pedidos!$E$2:$E$2224,$A29,Pedidos!$F$2:$F$2224,"170-200")/AVERAGEIFS(Pedidos!$J$2:$J$2224,Pedidos!$E$2:$E$2224,$A29,Pedidos!$F$2:$F$2224,"170-200")-1,"")</f>
        <v/>
      </c>
      <c r="N29" s="27" t="n">
        <f aca="false">IFERROR(AVERAGEIFS(Pedidos!$S$2:$S$2224,Pedidos!$E$2:$E$2224,$A29,Pedidos!$F$2:$F$2224,"200-250")/AVERAGEIFS(Pedidos!$J$2:$J$2224,Pedidos!$E$2:$E$2224,$A29,Pedidos!$F$2:$F$2224,"200-250")-1,"")</f>
        <v>0.754367372721897</v>
      </c>
      <c r="O29" s="27" t="str">
        <f aca="false">IFERROR(AVERAGEIFS(Pedidos!$S$2:$S$2224,Pedidos!$E$2:$E$2224,$A29,Pedidos!$F$2:$F$2224,"&gt;250")/AVERAGEIFS(Pedidos!$J$2:$J$2224,Pedidos!$E$2:$E$2224,$A29,Pedidos!$F$2:$F$2224,"&gt;250")-1,"")</f>
        <v/>
      </c>
      <c r="P29" s="27" t="n">
        <f aca="false">IFERROR(AVERAGEIFS(Pedidos!$S$2:$S$2224,Pedidos!$E$2:$E$2224,$A29)/AVERAGEIFS(Pedidos!$J$2:$J$2224,Pedidos!$E$2:$E$2224,$A29)-1,"")</f>
        <v>0.462880990778297</v>
      </c>
    </row>
    <row r="30" customFormat="false" ht="15" hidden="false" customHeight="false" outlineLevel="0" collapsed="false">
      <c r="A30" s="14" t="s">
        <v>79</v>
      </c>
      <c r="B30" s="27" t="n">
        <f aca="false">IFERROR(AVERAGEIFS(Pedidos!$S$2:$S$2224,Pedidos!$E$2:$E$2224,$A30,Pedidos!$F$2:$F$2224,"0-20")/AVERAGEIFS(Pedidos!$J$2:$J$2224,Pedidos!$E$2:$E$2224,$A30,Pedidos!$F$2:$F$2224,"0-20")-1,"")</f>
        <v>0.0952251446497452</v>
      </c>
      <c r="C30" s="27" t="n">
        <f aca="false">IFERROR(AVERAGEIFS(Pedidos!$S$2:$S$2224,Pedidos!$E$2:$E$2224,$A30,Pedidos!$F$2:$F$2224,"20-35")/AVERAGEIFS(Pedidos!$J$2:$J$2224,Pedidos!$E$2:$E$2224,$A30,Pedidos!$F$2:$F$2224,"20-35")-1,"")</f>
        <v>0.383757782178366</v>
      </c>
      <c r="D30" s="27" t="n">
        <f aca="false">IFERROR(AVERAGEIFS(Pedidos!$S$2:$S$2224,Pedidos!$E$2:$E$2224,$A30,Pedidos!$F$2:$F$2224,"35-40")/AVERAGEIFS(Pedidos!$J$2:$J$2224,Pedidos!$E$2:$E$2224,$A30,Pedidos!$F$2:$F$2224,"35-40")-1,"")</f>
        <v>0.411886079285716</v>
      </c>
      <c r="E30" s="27" t="n">
        <f aca="false">IFERROR(AVERAGEIFS(Pedidos!$S$2:$S$2224,Pedidos!$E$2:$E$2224,$A30,Pedidos!$F$2:$F$2224,"40-50")/AVERAGEIFS(Pedidos!$J$2:$J$2224,Pedidos!$E$2:$E$2224,$A30,Pedidos!$F$2:$F$2224,"40-50")-1,"")</f>
        <v>0.418110105271767</v>
      </c>
      <c r="F30" s="27" t="n">
        <f aca="false">IFERROR(AVERAGEIFS(Pedidos!$S$2:$S$2224,Pedidos!$E$2:$E$2224,$A30,Pedidos!$F$2:$F$2224,"50-60")/AVERAGEIFS(Pedidos!$J$2:$J$2224,Pedidos!$E$2:$E$2224,$A30,Pedidos!$F$2:$F$2224,"50-60")-1,"")</f>
        <v>0.447160140305132</v>
      </c>
      <c r="G30" s="27" t="n">
        <f aca="false">IFERROR(AVERAGEIFS(Pedidos!$S$2:$S$2224,Pedidos!$E$2:$E$2224,$A30,Pedidos!$F$2:$F$2224,"60-70")/AVERAGEIFS(Pedidos!$J$2:$J$2224,Pedidos!$E$2:$E$2224,$A30,Pedidos!$F$2:$F$2224,"60-70")-1,"")</f>
        <v>0.548096791882899</v>
      </c>
      <c r="H30" s="27" t="n">
        <f aca="false">IFERROR(AVERAGEIFS(Pedidos!$S$2:$S$2224,Pedidos!$E$2:$E$2224,$A30,Pedidos!$F$2:$F$2224,"70-80")/AVERAGEIFS(Pedidos!$J$2:$J$2224,Pedidos!$E$2:$E$2224,$A30,Pedidos!$F$2:$F$2224,"70-80")-1,"")</f>
        <v>0.401750281070633</v>
      </c>
      <c r="I30" s="27" t="n">
        <f aca="false">IFERROR(AVERAGEIFS(Pedidos!$S$2:$S$2224,Pedidos!$E$2:$E$2224,$A30,Pedidos!$F$2:$F$2224,"80-100")/AVERAGEIFS(Pedidos!$J$2:$J$2224,Pedidos!$E$2:$E$2224,$A30,Pedidos!$F$2:$F$2224,"80-100")-1,"")</f>
        <v>0.51837618508837</v>
      </c>
      <c r="J30" s="27" t="n">
        <f aca="false">IFERROR(AVERAGEIFS(Pedidos!$S$2:$S$2224,Pedidos!$E$2:$E$2224,$A30,Pedidos!$F$2:$F$2224,"100-120")/AVERAGEIFS(Pedidos!$J$2:$J$2224,Pedidos!$E$2:$E$2224,$A30,Pedidos!$F$2:$F$2224,"100-120")-1,"")</f>
        <v>0.649306495106044</v>
      </c>
      <c r="K30" s="27" t="n">
        <f aca="false">IFERROR(AVERAGEIFS(Pedidos!$S$2:$S$2224,Pedidos!$E$2:$E$2224,$A30,Pedidos!$F$2:$F$2224,"120-150")/AVERAGEIFS(Pedidos!$J$2:$J$2224,Pedidos!$E$2:$E$2224,$A30,Pedidos!$F$2:$F$2224,"120-150")-1,"")</f>
        <v>0.550969291315502</v>
      </c>
      <c r="L30" s="27" t="n">
        <f aca="false">IFERROR(AVERAGEIFS(Pedidos!$S$2:$S$2224,Pedidos!$E$2:$E$2224,$A30,Pedidos!$F$2:$F$2224,"150-170")/AVERAGEIFS(Pedidos!$J$2:$J$2224,Pedidos!$E$2:$E$2224,$A30,Pedidos!$F$2:$F$2224,"150-170")-1,"")</f>
        <v>0.626160178496837</v>
      </c>
      <c r="M30" s="27" t="str">
        <f aca="false">IFERROR(AVERAGEIFS(Pedidos!$S$2:$S$2224,Pedidos!$E$2:$E$2224,$A30,Pedidos!$F$2:$F$2224,"170-200")/AVERAGEIFS(Pedidos!$J$2:$J$2224,Pedidos!$E$2:$E$2224,$A30,Pedidos!$F$2:$F$2224,"170-200")-1,"")</f>
        <v/>
      </c>
      <c r="N30" s="27" t="str">
        <f aca="false">IFERROR(AVERAGEIFS(Pedidos!$S$2:$S$2224,Pedidos!$E$2:$E$2224,$A30,Pedidos!$F$2:$F$2224,"200-250")/AVERAGEIFS(Pedidos!$J$2:$J$2224,Pedidos!$E$2:$E$2224,$A30,Pedidos!$F$2:$F$2224,"200-250")-1,"")</f>
        <v/>
      </c>
      <c r="O30" s="27" t="str">
        <f aca="false">IFERROR(AVERAGEIFS(Pedidos!$S$2:$S$2224,Pedidos!$E$2:$E$2224,$A30,Pedidos!$F$2:$F$2224,"&gt;250")/AVERAGEIFS(Pedidos!$J$2:$J$2224,Pedidos!$E$2:$E$2224,$A30,Pedidos!$F$2:$F$2224,"&gt;250")-1,"")</f>
        <v/>
      </c>
      <c r="P30" s="27" t="n">
        <f aca="false">IFERROR(AVERAGEIFS(Pedidos!$S$2:$S$2224,Pedidos!$E$2:$E$2224,$A30)/AVERAGEIFS(Pedidos!$J$2:$J$2224,Pedidos!$E$2:$E$2224,$A30)-1,"")</f>
        <v>0.447408620413929</v>
      </c>
    </row>
    <row r="31" customFormat="false" ht="15" hidden="false" customHeight="false" outlineLevel="0" collapsed="false">
      <c r="A31" s="14" t="s">
        <v>80</v>
      </c>
      <c r="B31" s="27" t="n">
        <f aca="false">IFERROR(AVERAGEIFS(Pedidos!$S$2:$S$2224,Pedidos!$E$2:$E$2224,$A31,Pedidos!$F$2:$F$2224,"0-20")/AVERAGEIFS(Pedidos!$J$2:$J$2224,Pedidos!$E$2:$E$2224,$A31,Pedidos!$F$2:$F$2224,"0-20")-1,"")</f>
        <v>-0.0624303037000572</v>
      </c>
      <c r="C31" s="27" t="n">
        <f aca="false">IFERROR(AVERAGEIFS(Pedidos!$S$2:$S$2224,Pedidos!$E$2:$E$2224,$A31,Pedidos!$F$2:$F$2224,"20-35")/AVERAGEIFS(Pedidos!$J$2:$J$2224,Pedidos!$E$2:$E$2224,$A31,Pedidos!$F$2:$F$2224,"20-35")-1,"")</f>
        <v>0.153833844111023</v>
      </c>
      <c r="D31" s="27" t="n">
        <f aca="false">IFERROR(AVERAGEIFS(Pedidos!$S$2:$S$2224,Pedidos!$E$2:$E$2224,$A31,Pedidos!$F$2:$F$2224,"35-40")/AVERAGEIFS(Pedidos!$J$2:$J$2224,Pedidos!$E$2:$E$2224,$A31,Pedidos!$F$2:$F$2224,"35-40")-1,"")</f>
        <v>0.212218536858825</v>
      </c>
      <c r="E31" s="27" t="n">
        <f aca="false">IFERROR(AVERAGEIFS(Pedidos!$S$2:$S$2224,Pedidos!$E$2:$E$2224,$A31,Pedidos!$F$2:$F$2224,"40-50")/AVERAGEIFS(Pedidos!$J$2:$J$2224,Pedidos!$E$2:$E$2224,$A31,Pedidos!$F$2:$F$2224,"40-50")-1,"")</f>
        <v>0.209474901917185</v>
      </c>
      <c r="F31" s="27" t="n">
        <f aca="false">IFERROR(AVERAGEIFS(Pedidos!$S$2:$S$2224,Pedidos!$E$2:$E$2224,$A31,Pedidos!$F$2:$F$2224,"50-60")/AVERAGEIFS(Pedidos!$J$2:$J$2224,Pedidos!$E$2:$E$2224,$A31,Pedidos!$F$2:$F$2224,"50-60")-1,"")</f>
        <v>0.302885581381046</v>
      </c>
      <c r="G31" s="27" t="n">
        <f aca="false">IFERROR(AVERAGEIFS(Pedidos!$S$2:$S$2224,Pedidos!$E$2:$E$2224,$A31,Pedidos!$F$2:$F$2224,"60-70")/AVERAGEIFS(Pedidos!$J$2:$J$2224,Pedidos!$E$2:$E$2224,$A31,Pedidos!$F$2:$F$2224,"60-70")-1,"")</f>
        <v>0.398395108913668</v>
      </c>
      <c r="H31" s="27" t="n">
        <f aca="false">IFERROR(AVERAGEIFS(Pedidos!$S$2:$S$2224,Pedidos!$E$2:$E$2224,$A31,Pedidos!$F$2:$F$2224,"70-80")/AVERAGEIFS(Pedidos!$J$2:$J$2224,Pedidos!$E$2:$E$2224,$A31,Pedidos!$F$2:$F$2224,"70-80")-1,"")</f>
        <v>0.340129497825227</v>
      </c>
      <c r="I31" s="27" t="n">
        <f aca="false">IFERROR(AVERAGEIFS(Pedidos!$S$2:$S$2224,Pedidos!$E$2:$E$2224,$A31,Pedidos!$F$2:$F$2224,"80-100")/AVERAGEIFS(Pedidos!$J$2:$J$2224,Pedidos!$E$2:$E$2224,$A31,Pedidos!$F$2:$F$2224,"80-100")-1,"")</f>
        <v>0.468836554219265</v>
      </c>
      <c r="J31" s="27" t="n">
        <f aca="false">IFERROR(AVERAGEIFS(Pedidos!$S$2:$S$2224,Pedidos!$E$2:$E$2224,$A31,Pedidos!$F$2:$F$2224,"100-120")/AVERAGEIFS(Pedidos!$J$2:$J$2224,Pedidos!$E$2:$E$2224,$A31,Pedidos!$F$2:$F$2224,"100-120")-1,"")</f>
        <v>0.570286550646161</v>
      </c>
      <c r="K31" s="27" t="n">
        <f aca="false">IFERROR(AVERAGEIFS(Pedidos!$S$2:$S$2224,Pedidos!$E$2:$E$2224,$A31,Pedidos!$F$2:$F$2224,"120-150")/AVERAGEIFS(Pedidos!$J$2:$J$2224,Pedidos!$E$2:$E$2224,$A31,Pedidos!$F$2:$F$2224,"120-150")-1,"")</f>
        <v>0.498152134765241</v>
      </c>
      <c r="L31" s="27" t="str">
        <f aca="false">IFERROR(AVERAGEIFS(Pedidos!$S$2:$S$2224,Pedidos!$E$2:$E$2224,$A31,Pedidos!$F$2:$F$2224,"150-170")/AVERAGEIFS(Pedidos!$J$2:$J$2224,Pedidos!$E$2:$E$2224,$A31,Pedidos!$F$2:$F$2224,"150-170")-1,"")</f>
        <v/>
      </c>
      <c r="M31" s="27" t="str">
        <f aca="false">IFERROR(AVERAGEIFS(Pedidos!$S$2:$S$2224,Pedidos!$E$2:$E$2224,$A31,Pedidos!$F$2:$F$2224,"170-200")/AVERAGEIFS(Pedidos!$J$2:$J$2224,Pedidos!$E$2:$E$2224,$A31,Pedidos!$F$2:$F$2224,"170-200")-1,"")</f>
        <v/>
      </c>
      <c r="N31" s="27" t="str">
        <f aca="false">IFERROR(AVERAGEIFS(Pedidos!$S$2:$S$2224,Pedidos!$E$2:$E$2224,$A31,Pedidos!$F$2:$F$2224,"200-250")/AVERAGEIFS(Pedidos!$J$2:$J$2224,Pedidos!$E$2:$E$2224,$A31,Pedidos!$F$2:$F$2224,"200-250")-1,"")</f>
        <v/>
      </c>
      <c r="O31" s="27" t="str">
        <f aca="false">IFERROR(AVERAGEIFS(Pedidos!$S$2:$S$2224,Pedidos!$E$2:$E$2224,$A31,Pedidos!$F$2:$F$2224,"&gt;250")/AVERAGEIFS(Pedidos!$J$2:$J$2224,Pedidos!$E$2:$E$2224,$A31,Pedidos!$F$2:$F$2224,"&gt;250")-1,"")</f>
        <v/>
      </c>
      <c r="P31" s="27" t="n">
        <f aca="false">IFERROR(AVERAGEIFS(Pedidos!$S$2:$S$2224,Pedidos!$E$2:$E$2224,$A31)/AVERAGEIFS(Pedidos!$J$2:$J$2224,Pedidos!$E$2:$E$2224,$A31)-1,"")</f>
        <v>0.299015377234073</v>
      </c>
    </row>
    <row r="32" customFormat="false" ht="15" hidden="false" customHeight="false" outlineLevel="0" collapsed="false">
      <c r="A32" s="14" t="s">
        <v>81</v>
      </c>
      <c r="B32" s="27" t="n">
        <f aca="false">IFERROR(AVERAGEIFS(Pedidos!$S$2:$S$2224,Pedidos!$E$2:$E$2224,$A32,Pedidos!$F$2:$F$2224,"0-20")/AVERAGEIFS(Pedidos!$J$2:$J$2224,Pedidos!$E$2:$E$2224,$A32,Pedidos!$F$2:$F$2224,"0-20")-1,"")</f>
        <v>-0.0412824181505573</v>
      </c>
      <c r="C32" s="27" t="n">
        <f aca="false">IFERROR(AVERAGEIFS(Pedidos!$S$2:$S$2224,Pedidos!$E$2:$E$2224,$A32,Pedidos!$F$2:$F$2224,"20-35")/AVERAGEIFS(Pedidos!$J$2:$J$2224,Pedidos!$E$2:$E$2224,$A32,Pedidos!$F$2:$F$2224,"20-35")-1,"")</f>
        <v>0.178241877767582</v>
      </c>
      <c r="D32" s="27" t="n">
        <f aca="false">IFERROR(AVERAGEIFS(Pedidos!$S$2:$S$2224,Pedidos!$E$2:$E$2224,$A32,Pedidos!$F$2:$F$2224,"35-40")/AVERAGEIFS(Pedidos!$J$2:$J$2224,Pedidos!$E$2:$E$2224,$A32,Pedidos!$F$2:$F$2224,"35-40")-1,"")</f>
        <v>0.205892591251157</v>
      </c>
      <c r="E32" s="27" t="n">
        <f aca="false">IFERROR(AVERAGEIFS(Pedidos!$S$2:$S$2224,Pedidos!$E$2:$E$2224,$A32,Pedidos!$F$2:$F$2224,"40-50")/AVERAGEIFS(Pedidos!$J$2:$J$2224,Pedidos!$E$2:$E$2224,$A32,Pedidos!$F$2:$F$2224,"40-50")-1,"")</f>
        <v>0.220654760864514</v>
      </c>
      <c r="F32" s="27" t="n">
        <f aca="false">IFERROR(AVERAGEIFS(Pedidos!$S$2:$S$2224,Pedidos!$E$2:$E$2224,$A32,Pedidos!$F$2:$F$2224,"50-60")/AVERAGEIFS(Pedidos!$J$2:$J$2224,Pedidos!$E$2:$E$2224,$A32,Pedidos!$F$2:$F$2224,"50-60")-1,"")</f>
        <v>0.304029665754622</v>
      </c>
      <c r="G32" s="27" t="n">
        <f aca="false">IFERROR(AVERAGEIFS(Pedidos!$S$2:$S$2224,Pedidos!$E$2:$E$2224,$A32,Pedidos!$F$2:$F$2224,"60-70")/AVERAGEIFS(Pedidos!$J$2:$J$2224,Pedidos!$E$2:$E$2224,$A32,Pedidos!$F$2:$F$2224,"60-70")-1,"")</f>
        <v>0.403785075685669</v>
      </c>
      <c r="H32" s="27" t="n">
        <f aca="false">IFERROR(AVERAGEIFS(Pedidos!$S$2:$S$2224,Pedidos!$E$2:$E$2224,$A32,Pedidos!$F$2:$F$2224,"70-80")/AVERAGEIFS(Pedidos!$J$2:$J$2224,Pedidos!$E$2:$E$2224,$A32,Pedidos!$F$2:$F$2224,"70-80")-1,"")</f>
        <v>0.34046965051564</v>
      </c>
      <c r="I32" s="27" t="n">
        <f aca="false">IFERROR(AVERAGEIFS(Pedidos!$S$2:$S$2224,Pedidos!$E$2:$E$2224,$A32,Pedidos!$F$2:$F$2224,"80-100")/AVERAGEIFS(Pedidos!$J$2:$J$2224,Pedidos!$E$2:$E$2224,$A32,Pedidos!$F$2:$F$2224,"80-100")-1,"")</f>
        <v>0.435046207587191</v>
      </c>
      <c r="J32" s="27" t="n">
        <f aca="false">IFERROR(AVERAGEIFS(Pedidos!$S$2:$S$2224,Pedidos!$E$2:$E$2224,$A32,Pedidos!$F$2:$F$2224,"100-120")/AVERAGEIFS(Pedidos!$J$2:$J$2224,Pedidos!$E$2:$E$2224,$A32,Pedidos!$F$2:$F$2224,"100-120")-1,"")</f>
        <v>0.585559673835911</v>
      </c>
      <c r="K32" s="27" t="n">
        <f aca="false">IFERROR(AVERAGEIFS(Pedidos!$S$2:$S$2224,Pedidos!$E$2:$E$2224,$A32,Pedidos!$F$2:$F$2224,"120-150")/AVERAGEIFS(Pedidos!$J$2:$J$2224,Pedidos!$E$2:$E$2224,$A32,Pedidos!$F$2:$F$2224,"120-150")-1,"")</f>
        <v>0.487471079870661</v>
      </c>
      <c r="L32" s="27" t="str">
        <f aca="false">IFERROR(AVERAGEIFS(Pedidos!$S$2:$S$2224,Pedidos!$E$2:$E$2224,$A32,Pedidos!$F$2:$F$2224,"150-170")/AVERAGEIFS(Pedidos!$J$2:$J$2224,Pedidos!$E$2:$E$2224,$A32,Pedidos!$F$2:$F$2224,"150-170")-1,"")</f>
        <v/>
      </c>
      <c r="M32" s="27" t="str">
        <f aca="false">IFERROR(AVERAGEIFS(Pedidos!$S$2:$S$2224,Pedidos!$E$2:$E$2224,$A32,Pedidos!$F$2:$F$2224,"170-200")/AVERAGEIFS(Pedidos!$J$2:$J$2224,Pedidos!$E$2:$E$2224,$A32,Pedidos!$F$2:$F$2224,"170-200")-1,"")</f>
        <v/>
      </c>
      <c r="N32" s="27" t="str">
        <f aca="false">IFERROR(AVERAGEIFS(Pedidos!$S$2:$S$2224,Pedidos!$E$2:$E$2224,$A32,Pedidos!$F$2:$F$2224,"200-250")/AVERAGEIFS(Pedidos!$J$2:$J$2224,Pedidos!$E$2:$E$2224,$A32,Pedidos!$F$2:$F$2224,"200-250")-1,"")</f>
        <v/>
      </c>
      <c r="O32" s="27" t="str">
        <f aca="false">IFERROR(AVERAGEIFS(Pedidos!$S$2:$S$2224,Pedidos!$E$2:$E$2224,$A32,Pedidos!$F$2:$F$2224,"&gt;250")/AVERAGEIFS(Pedidos!$J$2:$J$2224,Pedidos!$E$2:$E$2224,$A32,Pedidos!$F$2:$F$2224,"&gt;250")-1,"")</f>
        <v/>
      </c>
      <c r="P32" s="27" t="n">
        <f aca="false">IFERROR(AVERAGEIFS(Pedidos!$S$2:$S$2224,Pedidos!$E$2:$E$2224,$A32)/AVERAGEIFS(Pedidos!$J$2:$J$2224,Pedidos!$E$2:$E$2224,$A32)-1,"")</f>
        <v>0.31984277743987</v>
      </c>
    </row>
    <row r="33" customFormat="false" ht="15" hidden="false" customHeight="false" outlineLevel="0" collapsed="false">
      <c r="A33" s="14" t="s">
        <v>82</v>
      </c>
      <c r="B33" s="27" t="n">
        <f aca="false">IFERROR(AVERAGEIFS(Pedidos!$S$2:$S$2224,Pedidos!$E$2:$E$2224,$A33,Pedidos!$F$2:$F$2224,"0-20")/AVERAGEIFS(Pedidos!$J$2:$J$2224,Pedidos!$E$2:$E$2224,$A33,Pedidos!$F$2:$F$2224,"0-20")-1,"")</f>
        <v>0.110886901738857</v>
      </c>
      <c r="C33" s="27" t="n">
        <f aca="false">IFERROR(AVERAGEIFS(Pedidos!$S$2:$S$2224,Pedidos!$E$2:$E$2224,$A33,Pedidos!$F$2:$F$2224,"20-35")/AVERAGEIFS(Pedidos!$J$2:$J$2224,Pedidos!$E$2:$E$2224,$A33,Pedidos!$F$2:$F$2224,"20-35")-1,"")</f>
        <v>0.374588454516059</v>
      </c>
      <c r="D33" s="27" t="n">
        <f aca="false">IFERROR(AVERAGEIFS(Pedidos!$S$2:$S$2224,Pedidos!$E$2:$E$2224,$A33,Pedidos!$F$2:$F$2224,"35-40")/AVERAGEIFS(Pedidos!$J$2:$J$2224,Pedidos!$E$2:$E$2224,$A33,Pedidos!$F$2:$F$2224,"35-40")-1,"")</f>
        <v>0.419427434761661</v>
      </c>
      <c r="E33" s="27" t="n">
        <f aca="false">IFERROR(AVERAGEIFS(Pedidos!$S$2:$S$2224,Pedidos!$E$2:$E$2224,$A33,Pedidos!$F$2:$F$2224,"40-50")/AVERAGEIFS(Pedidos!$J$2:$J$2224,Pedidos!$E$2:$E$2224,$A33,Pedidos!$F$2:$F$2224,"40-50")-1,"")</f>
        <v>0.414736483248129</v>
      </c>
      <c r="F33" s="27" t="n">
        <f aca="false">IFERROR(AVERAGEIFS(Pedidos!$S$2:$S$2224,Pedidos!$E$2:$E$2224,$A33,Pedidos!$F$2:$F$2224,"50-60")/AVERAGEIFS(Pedidos!$J$2:$J$2224,Pedidos!$E$2:$E$2224,$A33,Pedidos!$F$2:$F$2224,"50-60")-1,"")</f>
        <v>0.440011722613472</v>
      </c>
      <c r="G33" s="27" t="n">
        <f aca="false">IFERROR(AVERAGEIFS(Pedidos!$S$2:$S$2224,Pedidos!$E$2:$E$2224,$A33,Pedidos!$F$2:$F$2224,"60-70")/AVERAGEIFS(Pedidos!$J$2:$J$2224,Pedidos!$E$2:$E$2224,$A33,Pedidos!$F$2:$F$2224,"60-70")-1,"")</f>
        <v>0.555201550481126</v>
      </c>
      <c r="H33" s="27" t="str">
        <f aca="false">IFERROR(AVERAGEIFS(Pedidos!$S$2:$S$2224,Pedidos!$E$2:$E$2224,$A33,Pedidos!$F$2:$F$2224,"70-80")/AVERAGEIFS(Pedidos!$J$2:$J$2224,Pedidos!$E$2:$E$2224,$A33,Pedidos!$F$2:$F$2224,"70-80")-1,"")</f>
        <v/>
      </c>
      <c r="I33" s="27" t="n">
        <f aca="false">IFERROR(AVERAGEIFS(Pedidos!$S$2:$S$2224,Pedidos!$E$2:$E$2224,$A33,Pedidos!$F$2:$F$2224,"80-100")/AVERAGEIFS(Pedidos!$J$2:$J$2224,Pedidos!$E$2:$E$2224,$A33,Pedidos!$F$2:$F$2224,"80-100")-1,"")</f>
        <v>0.54750477343155</v>
      </c>
      <c r="J33" s="27" t="n">
        <f aca="false">IFERROR(AVERAGEIFS(Pedidos!$S$2:$S$2224,Pedidos!$E$2:$E$2224,$A33,Pedidos!$F$2:$F$2224,"100-120")/AVERAGEIFS(Pedidos!$J$2:$J$2224,Pedidos!$E$2:$E$2224,$A33,Pedidos!$F$2:$F$2224,"100-120")-1,"")</f>
        <v>0.639407250503507</v>
      </c>
      <c r="K33" s="27" t="n">
        <f aca="false">IFERROR(AVERAGEIFS(Pedidos!$S$2:$S$2224,Pedidos!$E$2:$E$2224,$A33,Pedidos!$F$2:$F$2224,"120-150")/AVERAGEIFS(Pedidos!$J$2:$J$2224,Pedidos!$E$2:$E$2224,$A33,Pedidos!$F$2:$F$2224,"120-150")-1,"")</f>
        <v>0.524529494800512</v>
      </c>
      <c r="L33" s="27" t="str">
        <f aca="false">IFERROR(AVERAGEIFS(Pedidos!$S$2:$S$2224,Pedidos!$E$2:$E$2224,$A33,Pedidos!$F$2:$F$2224,"150-170")/AVERAGEIFS(Pedidos!$J$2:$J$2224,Pedidos!$E$2:$E$2224,$A33,Pedidos!$F$2:$F$2224,"150-170")-1,"")</f>
        <v/>
      </c>
      <c r="M33" s="27" t="str">
        <f aca="false">IFERROR(AVERAGEIFS(Pedidos!$S$2:$S$2224,Pedidos!$E$2:$E$2224,$A33,Pedidos!$F$2:$F$2224,"170-200")/AVERAGEIFS(Pedidos!$J$2:$J$2224,Pedidos!$E$2:$E$2224,$A33,Pedidos!$F$2:$F$2224,"170-200")-1,"")</f>
        <v/>
      </c>
      <c r="N33" s="27" t="str">
        <f aca="false">IFERROR(AVERAGEIFS(Pedidos!$S$2:$S$2224,Pedidos!$E$2:$E$2224,$A33,Pedidos!$F$2:$F$2224,"200-250")/AVERAGEIFS(Pedidos!$J$2:$J$2224,Pedidos!$E$2:$E$2224,$A33,Pedidos!$F$2:$F$2224,"200-250")-1,"")</f>
        <v/>
      </c>
      <c r="O33" s="27" t="str">
        <f aca="false">IFERROR(AVERAGEIFS(Pedidos!$S$2:$S$2224,Pedidos!$E$2:$E$2224,$A33,Pedidos!$F$2:$F$2224,"&gt;250")/AVERAGEIFS(Pedidos!$J$2:$J$2224,Pedidos!$E$2:$E$2224,$A33,Pedidos!$F$2:$F$2224,"&gt;250")-1,"")</f>
        <v/>
      </c>
      <c r="P33" s="27" t="n">
        <f aca="false">IFERROR(AVERAGEIFS(Pedidos!$S$2:$S$2224,Pedidos!$E$2:$E$2224,$A33)/AVERAGEIFS(Pedidos!$J$2:$J$2224,Pedidos!$E$2:$E$2224,$A33)-1,"")</f>
        <v>0.43989692868446</v>
      </c>
    </row>
    <row r="34" customFormat="false" ht="15" hidden="false" customHeight="false" outlineLevel="0" collapsed="false">
      <c r="A34" s="14" t="s">
        <v>83</v>
      </c>
      <c r="B34" s="27" t="str">
        <f aca="false">IFERROR(AVERAGEIFS(Pedidos!$S$2:$S$2224,Pedidos!$E$2:$E$2224,$A34,Pedidos!$F$2:$F$2224,"0-20")/AVERAGEIFS(Pedidos!$J$2:$J$2224,Pedidos!$E$2:$E$2224,$A34,Pedidos!$F$2:$F$2224,"0-20")-1,"")</f>
        <v/>
      </c>
      <c r="C34" s="27" t="n">
        <f aca="false">IFERROR(AVERAGEIFS(Pedidos!$S$2:$S$2224,Pedidos!$E$2:$E$2224,$A34,Pedidos!$F$2:$F$2224,"20-35")/AVERAGEIFS(Pedidos!$J$2:$J$2224,Pedidos!$E$2:$E$2224,$A34,Pedidos!$F$2:$F$2224,"20-35")-1,"")</f>
        <v>0.666697066769286</v>
      </c>
      <c r="D34" s="27" t="n">
        <f aca="false">IFERROR(AVERAGEIFS(Pedidos!$S$2:$S$2224,Pedidos!$E$2:$E$2224,$A34,Pedidos!$F$2:$F$2224,"35-40")/AVERAGEIFS(Pedidos!$J$2:$J$2224,Pedidos!$E$2:$E$2224,$A34,Pedidos!$F$2:$F$2224,"35-40")-1,"")</f>
        <v>0.563166911427345</v>
      </c>
      <c r="E34" s="27" t="n">
        <f aca="false">IFERROR(AVERAGEIFS(Pedidos!$S$2:$S$2224,Pedidos!$E$2:$E$2224,$A34,Pedidos!$F$2:$F$2224,"40-50")/AVERAGEIFS(Pedidos!$J$2:$J$2224,Pedidos!$E$2:$E$2224,$A34,Pedidos!$F$2:$F$2224,"40-50")-1,"")</f>
        <v>0.586458094254456</v>
      </c>
      <c r="F34" s="27" t="n">
        <f aca="false">IFERROR(AVERAGEIFS(Pedidos!$S$2:$S$2224,Pedidos!$E$2:$E$2224,$A34,Pedidos!$F$2:$F$2224,"50-60")/AVERAGEIFS(Pedidos!$J$2:$J$2224,Pedidos!$E$2:$E$2224,$A34,Pedidos!$F$2:$F$2224,"50-60")-1,"")</f>
        <v>0.571880562087397</v>
      </c>
      <c r="G34" s="27" t="n">
        <f aca="false">IFERROR(AVERAGEIFS(Pedidos!$S$2:$S$2224,Pedidos!$E$2:$E$2224,$A34,Pedidos!$F$2:$F$2224,"60-70")/AVERAGEIFS(Pedidos!$J$2:$J$2224,Pedidos!$E$2:$E$2224,$A34,Pedidos!$F$2:$F$2224,"60-70")-1,"")</f>
        <v>0.551427416888734</v>
      </c>
      <c r="H34" s="27" t="str">
        <f aca="false">IFERROR(AVERAGEIFS(Pedidos!$S$2:$S$2224,Pedidos!$E$2:$E$2224,$A34,Pedidos!$F$2:$F$2224,"70-80")/AVERAGEIFS(Pedidos!$J$2:$J$2224,Pedidos!$E$2:$E$2224,$A34,Pedidos!$F$2:$F$2224,"70-80")-1,"")</f>
        <v/>
      </c>
      <c r="I34" s="27" t="n">
        <f aca="false">IFERROR(AVERAGEIFS(Pedidos!$S$2:$S$2224,Pedidos!$E$2:$E$2224,$A34,Pedidos!$F$2:$F$2224,"80-100")/AVERAGEIFS(Pedidos!$J$2:$J$2224,Pedidos!$E$2:$E$2224,$A34,Pedidos!$F$2:$F$2224,"80-100")-1,"")</f>
        <v>0.498637058804123</v>
      </c>
      <c r="J34" s="27" t="n">
        <f aca="false">IFERROR(AVERAGEIFS(Pedidos!$S$2:$S$2224,Pedidos!$E$2:$E$2224,$A34,Pedidos!$F$2:$F$2224,"100-120")/AVERAGEIFS(Pedidos!$J$2:$J$2224,Pedidos!$E$2:$E$2224,$A34,Pedidos!$F$2:$F$2224,"100-120")-1,"")</f>
        <v>0.607838640879058</v>
      </c>
      <c r="K34" s="27" t="str">
        <f aca="false">IFERROR(AVERAGEIFS(Pedidos!$S$2:$S$2224,Pedidos!$E$2:$E$2224,$A34,Pedidos!$F$2:$F$2224,"120-150")/AVERAGEIFS(Pedidos!$J$2:$J$2224,Pedidos!$E$2:$E$2224,$A34,Pedidos!$F$2:$F$2224,"120-150")-1,"")</f>
        <v/>
      </c>
      <c r="L34" s="27" t="str">
        <f aca="false">IFERROR(AVERAGEIFS(Pedidos!$S$2:$S$2224,Pedidos!$E$2:$E$2224,$A34,Pedidos!$F$2:$F$2224,"150-170")/AVERAGEIFS(Pedidos!$J$2:$J$2224,Pedidos!$E$2:$E$2224,$A34,Pedidos!$F$2:$F$2224,"150-170")-1,"")</f>
        <v/>
      </c>
      <c r="M34" s="27" t="str">
        <f aca="false">IFERROR(AVERAGEIFS(Pedidos!$S$2:$S$2224,Pedidos!$E$2:$E$2224,$A34,Pedidos!$F$2:$F$2224,"170-200")/AVERAGEIFS(Pedidos!$J$2:$J$2224,Pedidos!$E$2:$E$2224,$A34,Pedidos!$F$2:$F$2224,"170-200")-1,"")</f>
        <v/>
      </c>
      <c r="N34" s="27" t="str">
        <f aca="false">IFERROR(AVERAGEIFS(Pedidos!$S$2:$S$2224,Pedidos!$E$2:$E$2224,$A34,Pedidos!$F$2:$F$2224,"200-250")/AVERAGEIFS(Pedidos!$J$2:$J$2224,Pedidos!$E$2:$E$2224,$A34,Pedidos!$F$2:$F$2224,"200-250")-1,"")</f>
        <v/>
      </c>
      <c r="O34" s="27" t="str">
        <f aca="false">IFERROR(AVERAGEIFS(Pedidos!$S$2:$S$2224,Pedidos!$E$2:$E$2224,$A34,Pedidos!$F$2:$F$2224,"&gt;250")/AVERAGEIFS(Pedidos!$J$2:$J$2224,Pedidos!$E$2:$E$2224,$A34,Pedidos!$F$2:$F$2224,"&gt;250")-1,"")</f>
        <v/>
      </c>
      <c r="P34" s="27" t="n">
        <f aca="false">IFERROR(AVERAGEIFS(Pedidos!$S$2:$S$2224,Pedidos!$E$2:$E$2224,$A34)/AVERAGEIFS(Pedidos!$J$2:$J$2224,Pedidos!$E$2:$E$2224,$A34)-1,"")</f>
        <v>0.593403557606505</v>
      </c>
    </row>
    <row r="35" customFormat="false" ht="15" hidden="false" customHeight="false" outlineLevel="0" collapsed="false">
      <c r="A35" s="14" t="s">
        <v>84</v>
      </c>
      <c r="B35" s="27" t="n">
        <f aca="false">IFERROR(AVERAGEIFS(Pedidos!$S$2:$S$2224,Pedidos!$E$2:$E$2224,$A35,Pedidos!$F$2:$F$2224,"0-20")/AVERAGEIFS(Pedidos!$J$2:$J$2224,Pedidos!$E$2:$E$2224,$A35,Pedidos!$F$2:$F$2224,"0-20")-1,"")</f>
        <v>-0.0598566503946025</v>
      </c>
      <c r="C35" s="27" t="n">
        <f aca="false">IFERROR(AVERAGEIFS(Pedidos!$S$2:$S$2224,Pedidos!$E$2:$E$2224,$A35,Pedidos!$F$2:$F$2224,"20-35")/AVERAGEIFS(Pedidos!$J$2:$J$2224,Pedidos!$E$2:$E$2224,$A35,Pedidos!$F$2:$F$2224,"20-35")-1,"")</f>
        <v>0.226154058085294</v>
      </c>
      <c r="D35" s="27" t="n">
        <f aca="false">IFERROR(AVERAGEIFS(Pedidos!$S$2:$S$2224,Pedidos!$E$2:$E$2224,$A35,Pedidos!$F$2:$F$2224,"35-40")/AVERAGEIFS(Pedidos!$J$2:$J$2224,Pedidos!$E$2:$E$2224,$A35,Pedidos!$F$2:$F$2224,"35-40")-1,"")</f>
        <v>0.19972090601024</v>
      </c>
      <c r="E35" s="27" t="n">
        <f aca="false">IFERROR(AVERAGEIFS(Pedidos!$S$2:$S$2224,Pedidos!$E$2:$E$2224,$A35,Pedidos!$F$2:$F$2224,"40-50")/AVERAGEIFS(Pedidos!$J$2:$J$2224,Pedidos!$E$2:$E$2224,$A35,Pedidos!$F$2:$F$2224,"40-50")-1,"")</f>
        <v>0.211299818634357</v>
      </c>
      <c r="F35" s="27" t="n">
        <f aca="false">IFERROR(AVERAGEIFS(Pedidos!$S$2:$S$2224,Pedidos!$E$2:$E$2224,$A35,Pedidos!$F$2:$F$2224,"50-60")/AVERAGEIFS(Pedidos!$J$2:$J$2224,Pedidos!$E$2:$E$2224,$A35,Pedidos!$F$2:$F$2224,"50-60")-1,"")</f>
        <v>0.306630218293036</v>
      </c>
      <c r="G35" s="27" t="n">
        <f aca="false">IFERROR(AVERAGEIFS(Pedidos!$S$2:$S$2224,Pedidos!$E$2:$E$2224,$A35,Pedidos!$F$2:$F$2224,"60-70")/AVERAGEIFS(Pedidos!$J$2:$J$2224,Pedidos!$E$2:$E$2224,$A35,Pedidos!$F$2:$F$2224,"60-70")-1,"")</f>
        <v>0.391943014230691</v>
      </c>
      <c r="H35" s="27" t="n">
        <f aca="false">IFERROR(AVERAGEIFS(Pedidos!$S$2:$S$2224,Pedidos!$E$2:$E$2224,$A35,Pedidos!$F$2:$F$2224,"70-80")/AVERAGEIFS(Pedidos!$J$2:$J$2224,Pedidos!$E$2:$E$2224,$A35,Pedidos!$F$2:$F$2224,"70-80")-1,"")</f>
        <v>0.343193547421065</v>
      </c>
      <c r="I35" s="27" t="n">
        <f aca="false">IFERROR(AVERAGEIFS(Pedidos!$S$2:$S$2224,Pedidos!$E$2:$E$2224,$A35,Pedidos!$F$2:$F$2224,"80-100")/AVERAGEIFS(Pedidos!$J$2:$J$2224,Pedidos!$E$2:$E$2224,$A35,Pedidos!$F$2:$F$2224,"80-100")-1,"")</f>
        <v>0.46079865826785</v>
      </c>
      <c r="J35" s="27" t="n">
        <f aca="false">IFERROR(AVERAGEIFS(Pedidos!$S$2:$S$2224,Pedidos!$E$2:$E$2224,$A35,Pedidos!$F$2:$F$2224,"100-120")/AVERAGEIFS(Pedidos!$J$2:$J$2224,Pedidos!$E$2:$E$2224,$A35,Pedidos!$F$2:$F$2224,"100-120")-1,"")</f>
        <v>0.59150573641605</v>
      </c>
      <c r="K35" s="27" t="n">
        <f aca="false">IFERROR(AVERAGEIFS(Pedidos!$S$2:$S$2224,Pedidos!$E$2:$E$2224,$A35,Pedidos!$F$2:$F$2224,"120-150")/AVERAGEIFS(Pedidos!$J$2:$J$2224,Pedidos!$E$2:$E$2224,$A35,Pedidos!$F$2:$F$2224,"120-150")-1,"")</f>
        <v>0.505218186921543</v>
      </c>
      <c r="L35" s="27" t="str">
        <f aca="false">IFERROR(AVERAGEIFS(Pedidos!$S$2:$S$2224,Pedidos!$E$2:$E$2224,$A35,Pedidos!$F$2:$F$2224,"150-170")/AVERAGEIFS(Pedidos!$J$2:$J$2224,Pedidos!$E$2:$E$2224,$A35,Pedidos!$F$2:$F$2224,"150-170")-1,"")</f>
        <v/>
      </c>
      <c r="M35" s="27" t="str">
        <f aca="false">IFERROR(AVERAGEIFS(Pedidos!$S$2:$S$2224,Pedidos!$E$2:$E$2224,$A35,Pedidos!$F$2:$F$2224,"170-200")/AVERAGEIFS(Pedidos!$J$2:$J$2224,Pedidos!$E$2:$E$2224,$A35,Pedidos!$F$2:$F$2224,"170-200")-1,"")</f>
        <v/>
      </c>
      <c r="N35" s="27" t="str">
        <f aca="false">IFERROR(AVERAGEIFS(Pedidos!$S$2:$S$2224,Pedidos!$E$2:$E$2224,$A35,Pedidos!$F$2:$F$2224,"200-250")/AVERAGEIFS(Pedidos!$J$2:$J$2224,Pedidos!$E$2:$E$2224,$A35,Pedidos!$F$2:$F$2224,"200-250")-1,"")</f>
        <v/>
      </c>
      <c r="O35" s="27" t="str">
        <f aca="false">IFERROR(AVERAGEIFS(Pedidos!$S$2:$S$2224,Pedidos!$E$2:$E$2224,$A35,Pedidos!$F$2:$F$2224,"&gt;250")/AVERAGEIFS(Pedidos!$J$2:$J$2224,Pedidos!$E$2:$E$2224,$A35,Pedidos!$F$2:$F$2224,"&gt;250")-1,"")</f>
        <v/>
      </c>
      <c r="P35" s="27" t="n">
        <f aca="false">IFERROR(AVERAGEIFS(Pedidos!$S$2:$S$2224,Pedidos!$E$2:$E$2224,$A35)/AVERAGEIFS(Pedidos!$J$2:$J$2224,Pedidos!$E$2:$E$2224,$A35)-1,"")</f>
        <v>0.303685789848218</v>
      </c>
    </row>
    <row r="36" customFormat="false" ht="15" hidden="false" customHeight="false" outlineLevel="0" collapsed="false">
      <c r="A36" s="14" t="s">
        <v>85</v>
      </c>
      <c r="B36" s="27" t="n">
        <f aca="false">IFERROR(AVERAGEIFS(Pedidos!$S$2:$S$2224,Pedidos!$E$2:$E$2224,$A36,Pedidos!$F$2:$F$2224,"0-20")/AVERAGEIFS(Pedidos!$J$2:$J$2224,Pedidos!$E$2:$E$2224,$A36,Pedidos!$F$2:$F$2224,"0-20")-1,"")</f>
        <v>0.964973999908771</v>
      </c>
      <c r="C36" s="27" t="n">
        <f aca="false">IFERROR(AVERAGEIFS(Pedidos!$S$2:$S$2224,Pedidos!$E$2:$E$2224,$A36,Pedidos!$F$2:$F$2224,"20-35")/AVERAGEIFS(Pedidos!$J$2:$J$2224,Pedidos!$E$2:$E$2224,$A36,Pedidos!$F$2:$F$2224,"20-35")-1,"")</f>
        <v>0.678601846097185</v>
      </c>
      <c r="D36" s="27" t="n">
        <f aca="false">IFERROR(AVERAGEIFS(Pedidos!$S$2:$S$2224,Pedidos!$E$2:$E$2224,$A36,Pedidos!$F$2:$F$2224,"35-40")/AVERAGEIFS(Pedidos!$J$2:$J$2224,Pedidos!$E$2:$E$2224,$A36,Pedidos!$F$2:$F$2224,"35-40")-1,"")</f>
        <v>0.562218648625655</v>
      </c>
      <c r="E36" s="27" t="n">
        <f aca="false">IFERROR(AVERAGEIFS(Pedidos!$S$2:$S$2224,Pedidos!$E$2:$E$2224,$A36,Pedidos!$F$2:$F$2224,"40-50")/AVERAGEIFS(Pedidos!$J$2:$J$2224,Pedidos!$E$2:$E$2224,$A36,Pedidos!$F$2:$F$2224,"40-50")-1,"")</f>
        <v>0.58517016109292</v>
      </c>
      <c r="F36" s="27" t="n">
        <f aca="false">IFERROR(AVERAGEIFS(Pedidos!$S$2:$S$2224,Pedidos!$E$2:$E$2224,$A36,Pedidos!$F$2:$F$2224,"50-60")/AVERAGEIFS(Pedidos!$J$2:$J$2224,Pedidos!$E$2:$E$2224,$A36,Pedidos!$F$2:$F$2224,"50-60")-1,"")</f>
        <v>0.56883491098044</v>
      </c>
      <c r="G36" s="27" t="n">
        <f aca="false">IFERROR(AVERAGEIFS(Pedidos!$S$2:$S$2224,Pedidos!$E$2:$E$2224,$A36,Pedidos!$F$2:$F$2224,"60-70")/AVERAGEIFS(Pedidos!$J$2:$J$2224,Pedidos!$E$2:$E$2224,$A36,Pedidos!$F$2:$F$2224,"60-70")-1,"")</f>
        <v>0.552709847157146</v>
      </c>
      <c r="H36" s="27" t="str">
        <f aca="false">IFERROR(AVERAGEIFS(Pedidos!$S$2:$S$2224,Pedidos!$E$2:$E$2224,$A36,Pedidos!$F$2:$F$2224,"70-80")/AVERAGEIFS(Pedidos!$J$2:$J$2224,Pedidos!$E$2:$E$2224,$A36,Pedidos!$F$2:$F$2224,"70-80")-1,"")</f>
        <v/>
      </c>
      <c r="I36" s="27" t="n">
        <f aca="false">IFERROR(AVERAGEIFS(Pedidos!$S$2:$S$2224,Pedidos!$E$2:$E$2224,$A36,Pedidos!$F$2:$F$2224,"80-100")/AVERAGEIFS(Pedidos!$J$2:$J$2224,Pedidos!$E$2:$E$2224,$A36,Pedidos!$F$2:$F$2224,"80-100")-1,"")</f>
        <v>0.491386201998261</v>
      </c>
      <c r="J36" s="27" t="str">
        <f aca="false">IFERROR(AVERAGEIFS(Pedidos!$S$2:$S$2224,Pedidos!$E$2:$E$2224,$A36,Pedidos!$F$2:$F$2224,"100-120")/AVERAGEIFS(Pedidos!$J$2:$J$2224,Pedidos!$E$2:$E$2224,$A36,Pedidos!$F$2:$F$2224,"100-120")-1,"")</f>
        <v/>
      </c>
      <c r="K36" s="27" t="n">
        <f aca="false">IFERROR(AVERAGEIFS(Pedidos!$S$2:$S$2224,Pedidos!$E$2:$E$2224,$A36,Pedidos!$F$2:$F$2224,"120-150")/AVERAGEIFS(Pedidos!$J$2:$J$2224,Pedidos!$E$2:$E$2224,$A36,Pedidos!$F$2:$F$2224,"120-150")-1,"")</f>
        <v>0.521196465090861</v>
      </c>
      <c r="L36" s="27" t="str">
        <f aca="false">IFERROR(AVERAGEIFS(Pedidos!$S$2:$S$2224,Pedidos!$E$2:$E$2224,$A36,Pedidos!$F$2:$F$2224,"150-170")/AVERAGEIFS(Pedidos!$J$2:$J$2224,Pedidos!$E$2:$E$2224,$A36,Pedidos!$F$2:$F$2224,"150-170")-1,"")</f>
        <v/>
      </c>
      <c r="M36" s="27" t="n">
        <f aca="false">IFERROR(AVERAGEIFS(Pedidos!$S$2:$S$2224,Pedidos!$E$2:$E$2224,$A36,Pedidos!$F$2:$F$2224,"170-200")/AVERAGEIFS(Pedidos!$J$2:$J$2224,Pedidos!$E$2:$E$2224,$A36,Pedidos!$F$2:$F$2224,"170-200")-1,"")</f>
        <v>1.66807040548719</v>
      </c>
      <c r="N36" s="27" t="str">
        <f aca="false">IFERROR(AVERAGEIFS(Pedidos!$S$2:$S$2224,Pedidos!$E$2:$E$2224,$A36,Pedidos!$F$2:$F$2224,"200-250")/AVERAGEIFS(Pedidos!$J$2:$J$2224,Pedidos!$E$2:$E$2224,$A36,Pedidos!$F$2:$F$2224,"200-250")-1,"")</f>
        <v/>
      </c>
      <c r="O36" s="27" t="str">
        <f aca="false">IFERROR(AVERAGEIFS(Pedidos!$S$2:$S$2224,Pedidos!$E$2:$E$2224,$A36,Pedidos!$F$2:$F$2224,"&gt;250")/AVERAGEIFS(Pedidos!$J$2:$J$2224,Pedidos!$E$2:$E$2224,$A36,Pedidos!$F$2:$F$2224,"&gt;250")-1,"")</f>
        <v/>
      </c>
      <c r="P36" s="27" t="n">
        <f aca="false">IFERROR(AVERAGEIFS(Pedidos!$S$2:$S$2224,Pedidos!$E$2:$E$2224,$A36)/AVERAGEIFS(Pedidos!$J$2:$J$2224,Pedidos!$E$2:$E$2224,$A36)-1,"")</f>
        <v>0.60363596035168</v>
      </c>
    </row>
    <row r="37" customFormat="false" ht="15" hidden="false" customHeight="false" outlineLevel="0" collapsed="false">
      <c r="A37" s="14" t="s">
        <v>86</v>
      </c>
      <c r="B37" s="27" t="n">
        <f aca="false">IFERROR(AVERAGEIFS(Pedidos!$S$2:$S$2224,Pedidos!$E$2:$E$2224,$A37,Pedidos!$F$2:$F$2224,"0-20")/AVERAGEIFS(Pedidos!$J$2:$J$2224,Pedidos!$E$2:$E$2224,$A37,Pedidos!$F$2:$F$2224,"0-20")-1,"")</f>
        <v>-0.0600407055630936</v>
      </c>
      <c r="C37" s="27" t="n">
        <f aca="false">IFERROR(AVERAGEIFS(Pedidos!$S$2:$S$2224,Pedidos!$E$2:$E$2224,$A37,Pedidos!$F$2:$F$2224,"20-35")/AVERAGEIFS(Pedidos!$J$2:$J$2224,Pedidos!$E$2:$E$2224,$A37,Pedidos!$F$2:$F$2224,"20-35")-1,"")</f>
        <v>0.248240796466596</v>
      </c>
      <c r="D37" s="27" t="n">
        <f aca="false">IFERROR(AVERAGEIFS(Pedidos!$S$2:$S$2224,Pedidos!$E$2:$E$2224,$A37,Pedidos!$F$2:$F$2224,"35-40")/AVERAGEIFS(Pedidos!$J$2:$J$2224,Pedidos!$E$2:$E$2224,$A37,Pedidos!$F$2:$F$2224,"35-40")-1,"")</f>
        <v>0.199938413336203</v>
      </c>
      <c r="E37" s="27" t="n">
        <f aca="false">IFERROR(AVERAGEIFS(Pedidos!$S$2:$S$2224,Pedidos!$E$2:$E$2224,$A37,Pedidos!$F$2:$F$2224,"40-50")/AVERAGEIFS(Pedidos!$J$2:$J$2224,Pedidos!$E$2:$E$2224,$A37,Pedidos!$F$2:$F$2224,"40-50")-1,"")</f>
        <v>0.217309612662087</v>
      </c>
      <c r="F37" s="27" t="n">
        <f aca="false">IFERROR(AVERAGEIFS(Pedidos!$S$2:$S$2224,Pedidos!$E$2:$E$2224,$A37,Pedidos!$F$2:$F$2224,"50-60")/AVERAGEIFS(Pedidos!$J$2:$J$2224,Pedidos!$E$2:$E$2224,$A37,Pedidos!$F$2:$F$2224,"50-60")-1,"")</f>
        <v>0.308109684594528</v>
      </c>
      <c r="G37" s="27" t="n">
        <f aca="false">IFERROR(AVERAGEIFS(Pedidos!$S$2:$S$2224,Pedidos!$E$2:$E$2224,$A37,Pedidos!$F$2:$F$2224,"60-70")/AVERAGEIFS(Pedidos!$J$2:$J$2224,Pedidos!$E$2:$E$2224,$A37,Pedidos!$F$2:$F$2224,"60-70")-1,"")</f>
        <v>0.400098867407595</v>
      </c>
      <c r="H37" s="27" t="str">
        <f aca="false">IFERROR(AVERAGEIFS(Pedidos!$S$2:$S$2224,Pedidos!$E$2:$E$2224,$A37,Pedidos!$F$2:$F$2224,"70-80")/AVERAGEIFS(Pedidos!$J$2:$J$2224,Pedidos!$E$2:$E$2224,$A37,Pedidos!$F$2:$F$2224,"70-80")-1,"")</f>
        <v/>
      </c>
      <c r="I37" s="27" t="n">
        <f aca="false">IFERROR(AVERAGEIFS(Pedidos!$S$2:$S$2224,Pedidos!$E$2:$E$2224,$A37,Pedidos!$F$2:$F$2224,"80-100")/AVERAGEIFS(Pedidos!$J$2:$J$2224,Pedidos!$E$2:$E$2224,$A37,Pedidos!$F$2:$F$2224,"80-100")-1,"")</f>
        <v>0.470697128767995</v>
      </c>
      <c r="J37" s="27" t="n">
        <f aca="false">IFERROR(AVERAGEIFS(Pedidos!$S$2:$S$2224,Pedidos!$E$2:$E$2224,$A37,Pedidos!$F$2:$F$2224,"100-120")/AVERAGEIFS(Pedidos!$J$2:$J$2224,Pedidos!$E$2:$E$2224,$A37,Pedidos!$F$2:$F$2224,"100-120")-1,"")</f>
        <v>0.575302441553198</v>
      </c>
      <c r="K37" s="27" t="n">
        <f aca="false">IFERROR(AVERAGEIFS(Pedidos!$S$2:$S$2224,Pedidos!$E$2:$E$2224,$A37,Pedidos!$F$2:$F$2224,"120-150")/AVERAGEIFS(Pedidos!$J$2:$J$2224,Pedidos!$E$2:$E$2224,$A37,Pedidos!$F$2:$F$2224,"120-150")-1,"")</f>
        <v>0.522293964154429</v>
      </c>
      <c r="L37" s="27" t="str">
        <f aca="false">IFERROR(AVERAGEIFS(Pedidos!$S$2:$S$2224,Pedidos!$E$2:$E$2224,$A37,Pedidos!$F$2:$F$2224,"150-170")/AVERAGEIFS(Pedidos!$J$2:$J$2224,Pedidos!$E$2:$E$2224,$A37,Pedidos!$F$2:$F$2224,"150-170")-1,"")</f>
        <v/>
      </c>
      <c r="M37" s="27" t="str">
        <f aca="false">IFERROR(AVERAGEIFS(Pedidos!$S$2:$S$2224,Pedidos!$E$2:$E$2224,$A37,Pedidos!$F$2:$F$2224,"170-200")/AVERAGEIFS(Pedidos!$J$2:$J$2224,Pedidos!$E$2:$E$2224,$A37,Pedidos!$F$2:$F$2224,"170-200")-1,"")</f>
        <v/>
      </c>
      <c r="N37" s="27" t="str">
        <f aca="false">IFERROR(AVERAGEIFS(Pedidos!$S$2:$S$2224,Pedidos!$E$2:$E$2224,$A37,Pedidos!$F$2:$F$2224,"200-250")/AVERAGEIFS(Pedidos!$J$2:$J$2224,Pedidos!$E$2:$E$2224,$A37,Pedidos!$F$2:$F$2224,"200-250")-1,"")</f>
        <v/>
      </c>
      <c r="O37" s="27" t="str">
        <f aca="false">IFERROR(AVERAGEIFS(Pedidos!$S$2:$S$2224,Pedidos!$E$2:$E$2224,$A37,Pedidos!$F$2:$F$2224,"&gt;250")/AVERAGEIFS(Pedidos!$J$2:$J$2224,Pedidos!$E$2:$E$2224,$A37,Pedidos!$F$2:$F$2224,"&gt;250")-1,"")</f>
        <v/>
      </c>
      <c r="P37" s="27" t="n">
        <f aca="false">IFERROR(AVERAGEIFS(Pedidos!$S$2:$S$2224,Pedidos!$E$2:$E$2224,$A37)/AVERAGEIFS(Pedidos!$J$2:$J$2224,Pedidos!$E$2:$E$2224,$A37)-1,"")</f>
        <v>0.328267788601998</v>
      </c>
    </row>
    <row r="38" customFormat="false" ht="15" hidden="false" customHeight="false" outlineLevel="0" collapsed="false">
      <c r="A38" s="14" t="s">
        <v>87</v>
      </c>
      <c r="B38" s="27" t="str">
        <f aca="false">IFERROR(AVERAGEIFS(Pedidos!$S$2:$S$2224,Pedidos!$E$2:$E$2224,$A38,Pedidos!$F$2:$F$2224,"0-20")/AVERAGEIFS(Pedidos!$J$2:$J$2224,Pedidos!$E$2:$E$2224,$A38,Pedidos!$F$2:$F$2224,"0-20")-1,"")</f>
        <v/>
      </c>
      <c r="C38" s="27" t="n">
        <f aca="false">IFERROR(AVERAGEIFS(Pedidos!$S$2:$S$2224,Pedidos!$E$2:$E$2224,$A38,Pedidos!$F$2:$F$2224,"20-35")/AVERAGEIFS(Pedidos!$J$2:$J$2224,Pedidos!$E$2:$E$2224,$A38,Pedidos!$F$2:$F$2224,"20-35")-1,"")</f>
        <v>0.361585636649281</v>
      </c>
      <c r="D38" s="27" t="n">
        <f aca="false">IFERROR(AVERAGEIFS(Pedidos!$S$2:$S$2224,Pedidos!$E$2:$E$2224,$A38,Pedidos!$F$2:$F$2224,"35-40")/AVERAGEIFS(Pedidos!$J$2:$J$2224,Pedidos!$E$2:$E$2224,$A38,Pedidos!$F$2:$F$2224,"35-40")-1,"")</f>
        <v>0.393856695234608</v>
      </c>
      <c r="E38" s="27" t="n">
        <f aca="false">IFERROR(AVERAGEIFS(Pedidos!$S$2:$S$2224,Pedidos!$E$2:$E$2224,$A38,Pedidos!$F$2:$F$2224,"40-50")/AVERAGEIFS(Pedidos!$J$2:$J$2224,Pedidos!$E$2:$E$2224,$A38,Pedidos!$F$2:$F$2224,"40-50")-1,"")</f>
        <v>0.337659693565484</v>
      </c>
      <c r="F38" s="27" t="n">
        <f aca="false">IFERROR(AVERAGEIFS(Pedidos!$S$2:$S$2224,Pedidos!$E$2:$E$2224,$A38,Pedidos!$F$2:$F$2224,"50-60")/AVERAGEIFS(Pedidos!$J$2:$J$2224,Pedidos!$E$2:$E$2224,$A38,Pedidos!$F$2:$F$2224,"50-60")-1,"")</f>
        <v>0.415943083329078</v>
      </c>
      <c r="G38" s="27" t="n">
        <f aca="false">IFERROR(AVERAGEIFS(Pedidos!$S$2:$S$2224,Pedidos!$E$2:$E$2224,$A38,Pedidos!$F$2:$F$2224,"60-70")/AVERAGEIFS(Pedidos!$J$2:$J$2224,Pedidos!$E$2:$E$2224,$A38,Pedidos!$F$2:$F$2224,"60-70")-1,"")</f>
        <v>0.515283799406416</v>
      </c>
      <c r="H38" s="27" t="str">
        <f aca="false">IFERROR(AVERAGEIFS(Pedidos!$S$2:$S$2224,Pedidos!$E$2:$E$2224,$A38,Pedidos!$F$2:$F$2224,"70-80")/AVERAGEIFS(Pedidos!$J$2:$J$2224,Pedidos!$E$2:$E$2224,$A38,Pedidos!$F$2:$F$2224,"70-80")-1,"")</f>
        <v/>
      </c>
      <c r="I38" s="27" t="n">
        <f aca="false">IFERROR(AVERAGEIFS(Pedidos!$S$2:$S$2224,Pedidos!$E$2:$E$2224,$A38,Pedidos!$F$2:$F$2224,"80-100")/AVERAGEIFS(Pedidos!$J$2:$J$2224,Pedidos!$E$2:$E$2224,$A38,Pedidos!$F$2:$F$2224,"80-100")-1,"")</f>
        <v>0.495466414697381</v>
      </c>
      <c r="J38" s="27" t="n">
        <f aca="false">IFERROR(AVERAGEIFS(Pedidos!$S$2:$S$2224,Pedidos!$E$2:$E$2224,$A38,Pedidos!$F$2:$F$2224,"100-120")/AVERAGEIFS(Pedidos!$J$2:$J$2224,Pedidos!$E$2:$E$2224,$A38,Pedidos!$F$2:$F$2224,"100-120")-1,"")</f>
        <v>0.614701391959905</v>
      </c>
      <c r="K38" s="27" t="n">
        <f aca="false">IFERROR(AVERAGEIFS(Pedidos!$S$2:$S$2224,Pedidos!$E$2:$E$2224,$A38,Pedidos!$F$2:$F$2224,"120-150")/AVERAGEIFS(Pedidos!$J$2:$J$2224,Pedidos!$E$2:$E$2224,$A38,Pedidos!$F$2:$F$2224,"120-150")-1,"")</f>
        <v>0.495227708115639</v>
      </c>
      <c r="L38" s="27" t="str">
        <f aca="false">IFERROR(AVERAGEIFS(Pedidos!$S$2:$S$2224,Pedidos!$E$2:$E$2224,$A38,Pedidos!$F$2:$F$2224,"150-170")/AVERAGEIFS(Pedidos!$J$2:$J$2224,Pedidos!$E$2:$E$2224,$A38,Pedidos!$F$2:$F$2224,"150-170")-1,"")</f>
        <v/>
      </c>
      <c r="M38" s="27" t="str">
        <f aca="false">IFERROR(AVERAGEIFS(Pedidos!$S$2:$S$2224,Pedidos!$E$2:$E$2224,$A38,Pedidos!$F$2:$F$2224,"170-200")/AVERAGEIFS(Pedidos!$J$2:$J$2224,Pedidos!$E$2:$E$2224,$A38,Pedidos!$F$2:$F$2224,"170-200")-1,"")</f>
        <v/>
      </c>
      <c r="N38" s="27" t="str">
        <f aca="false">IFERROR(AVERAGEIFS(Pedidos!$S$2:$S$2224,Pedidos!$E$2:$E$2224,$A38,Pedidos!$F$2:$F$2224,"200-250")/AVERAGEIFS(Pedidos!$J$2:$J$2224,Pedidos!$E$2:$E$2224,$A38,Pedidos!$F$2:$F$2224,"200-250")-1,"")</f>
        <v/>
      </c>
      <c r="O38" s="27" t="str">
        <f aca="false">IFERROR(AVERAGEIFS(Pedidos!$S$2:$S$2224,Pedidos!$E$2:$E$2224,$A38,Pedidos!$F$2:$F$2224,"&gt;250")/AVERAGEIFS(Pedidos!$J$2:$J$2224,Pedidos!$E$2:$E$2224,$A38,Pedidos!$F$2:$F$2224,"&gt;250")-1,"")</f>
        <v/>
      </c>
      <c r="P38" s="27" t="n">
        <f aca="false">IFERROR(AVERAGEIFS(Pedidos!$S$2:$S$2224,Pedidos!$E$2:$E$2224,$A38)/AVERAGEIFS(Pedidos!$J$2:$J$2224,Pedidos!$E$2:$E$2224,$A38)-1,"")</f>
        <v>0.425926061542501</v>
      </c>
    </row>
    <row r="39" customFormat="false" ht="15" hidden="false" customHeight="false" outlineLevel="0" collapsed="false">
      <c r="A39" s="14" t="s">
        <v>88</v>
      </c>
      <c r="B39" s="27" t="n">
        <f aca="false">IFERROR(AVERAGEIFS(Pedidos!$S$2:$S$2224,Pedidos!$E$2:$E$2224,$A39,Pedidos!$F$2:$F$2224,"0-20")/AVERAGEIFS(Pedidos!$J$2:$J$2224,Pedidos!$E$2:$E$2224,$A39,Pedidos!$F$2:$F$2224,"0-20")-1,"")</f>
        <v>0.312085806953322</v>
      </c>
      <c r="C39" s="27" t="n">
        <f aca="false">IFERROR(AVERAGEIFS(Pedidos!$S$2:$S$2224,Pedidos!$E$2:$E$2224,$A39,Pedidos!$F$2:$F$2224,"20-35")/AVERAGEIFS(Pedidos!$J$2:$J$2224,Pedidos!$E$2:$E$2224,$A39,Pedidos!$F$2:$F$2224,"20-35")-1,"")</f>
        <v>0.363966028401461</v>
      </c>
      <c r="D39" s="27" t="n">
        <f aca="false">IFERROR(AVERAGEIFS(Pedidos!$S$2:$S$2224,Pedidos!$E$2:$E$2224,$A39,Pedidos!$F$2:$F$2224,"35-40")/AVERAGEIFS(Pedidos!$J$2:$J$2224,Pedidos!$E$2:$E$2224,$A39,Pedidos!$F$2:$F$2224,"35-40")-1,"")</f>
        <v>0.393203098468554</v>
      </c>
      <c r="E39" s="27" t="n">
        <f aca="false">IFERROR(AVERAGEIFS(Pedidos!$S$2:$S$2224,Pedidos!$E$2:$E$2224,$A39,Pedidos!$F$2:$F$2224,"40-50")/AVERAGEIFS(Pedidos!$J$2:$J$2224,Pedidos!$E$2:$E$2224,$A39,Pedidos!$F$2:$F$2224,"40-50")-1,"")</f>
        <v>0.34606633440534</v>
      </c>
      <c r="F39" s="27" t="n">
        <f aca="false">IFERROR(AVERAGEIFS(Pedidos!$S$2:$S$2224,Pedidos!$E$2:$E$2224,$A39,Pedidos!$F$2:$F$2224,"50-60")/AVERAGEIFS(Pedidos!$J$2:$J$2224,Pedidos!$E$2:$E$2224,$A39,Pedidos!$F$2:$F$2224,"50-60")-1,"")</f>
        <v>0.410361433144775</v>
      </c>
      <c r="G39" s="27" t="n">
        <f aca="false">IFERROR(AVERAGEIFS(Pedidos!$S$2:$S$2224,Pedidos!$E$2:$E$2224,$A39,Pedidos!$F$2:$F$2224,"60-70")/AVERAGEIFS(Pedidos!$J$2:$J$2224,Pedidos!$E$2:$E$2224,$A39,Pedidos!$F$2:$F$2224,"60-70")-1,"")</f>
        <v>0.501311119044095</v>
      </c>
      <c r="H39" s="27" t="n">
        <f aca="false">IFERROR(AVERAGEIFS(Pedidos!$S$2:$S$2224,Pedidos!$E$2:$E$2224,$A39,Pedidos!$F$2:$F$2224,"70-80")/AVERAGEIFS(Pedidos!$J$2:$J$2224,Pedidos!$E$2:$E$2224,$A39,Pedidos!$F$2:$F$2224,"70-80")-1,"")</f>
        <v>0.369033769634924</v>
      </c>
      <c r="I39" s="27" t="n">
        <f aca="false">IFERROR(AVERAGEIFS(Pedidos!$S$2:$S$2224,Pedidos!$E$2:$E$2224,$A39,Pedidos!$F$2:$F$2224,"80-100")/AVERAGEIFS(Pedidos!$J$2:$J$2224,Pedidos!$E$2:$E$2224,$A39,Pedidos!$F$2:$F$2224,"80-100")-1,"")</f>
        <v>0.456239851269621</v>
      </c>
      <c r="J39" s="27" t="str">
        <f aca="false">IFERROR(AVERAGEIFS(Pedidos!$S$2:$S$2224,Pedidos!$E$2:$E$2224,$A39,Pedidos!$F$2:$F$2224,"100-120")/AVERAGEIFS(Pedidos!$J$2:$J$2224,Pedidos!$E$2:$E$2224,$A39,Pedidos!$F$2:$F$2224,"100-120")-1,"")</f>
        <v/>
      </c>
      <c r="K39" s="27" t="str">
        <f aca="false">IFERROR(AVERAGEIFS(Pedidos!$S$2:$S$2224,Pedidos!$E$2:$E$2224,$A39,Pedidos!$F$2:$F$2224,"120-150")/AVERAGEIFS(Pedidos!$J$2:$J$2224,Pedidos!$E$2:$E$2224,$A39,Pedidos!$F$2:$F$2224,"120-150")-1,"")</f>
        <v/>
      </c>
      <c r="L39" s="27" t="str">
        <f aca="false">IFERROR(AVERAGEIFS(Pedidos!$S$2:$S$2224,Pedidos!$E$2:$E$2224,$A39,Pedidos!$F$2:$F$2224,"150-170")/AVERAGEIFS(Pedidos!$J$2:$J$2224,Pedidos!$E$2:$E$2224,$A39,Pedidos!$F$2:$F$2224,"150-170")-1,"")</f>
        <v/>
      </c>
      <c r="M39" s="27" t="str">
        <f aca="false">IFERROR(AVERAGEIFS(Pedidos!$S$2:$S$2224,Pedidos!$E$2:$E$2224,$A39,Pedidos!$F$2:$F$2224,"170-200")/AVERAGEIFS(Pedidos!$J$2:$J$2224,Pedidos!$E$2:$E$2224,$A39,Pedidos!$F$2:$F$2224,"170-200")-1,"")</f>
        <v/>
      </c>
      <c r="N39" s="27" t="str">
        <f aca="false">IFERROR(AVERAGEIFS(Pedidos!$S$2:$S$2224,Pedidos!$E$2:$E$2224,$A39,Pedidos!$F$2:$F$2224,"200-250")/AVERAGEIFS(Pedidos!$J$2:$J$2224,Pedidos!$E$2:$E$2224,$A39,Pedidos!$F$2:$F$2224,"200-250")-1,"")</f>
        <v/>
      </c>
      <c r="O39" s="27" t="str">
        <f aca="false">IFERROR(AVERAGEIFS(Pedidos!$S$2:$S$2224,Pedidos!$E$2:$E$2224,$A39,Pedidos!$F$2:$F$2224,"&gt;250")/AVERAGEIFS(Pedidos!$J$2:$J$2224,Pedidos!$E$2:$E$2224,$A39,Pedidos!$F$2:$F$2224,"&gt;250")-1,"")</f>
        <v/>
      </c>
      <c r="P39" s="27" t="n">
        <f aca="false">IFERROR(AVERAGEIFS(Pedidos!$S$2:$S$2224,Pedidos!$E$2:$E$2224,$A39)/AVERAGEIFS(Pedidos!$J$2:$J$2224,Pedidos!$E$2:$E$2224,$A39)-1,"")</f>
        <v>0.387900857029284</v>
      </c>
    </row>
    <row r="40" customFormat="false" ht="15" hidden="false" customHeight="false" outlineLevel="0" collapsed="false">
      <c r="A40" s="14" t="s">
        <v>89</v>
      </c>
      <c r="B40" s="27" t="str">
        <f aca="false">IFERROR(AVERAGEIFS(Pedidos!$S$2:$S$2224,Pedidos!$E$2:$E$2224,$A40,Pedidos!$F$2:$F$2224,"0-20")/AVERAGEIFS(Pedidos!$J$2:$J$2224,Pedidos!$E$2:$E$2224,$A40,Pedidos!$F$2:$F$2224,"0-20")-1,"")</f>
        <v/>
      </c>
      <c r="C40" s="27" t="n">
        <f aca="false">IFERROR(AVERAGEIFS(Pedidos!$S$2:$S$2224,Pedidos!$E$2:$E$2224,$A40,Pedidos!$F$2:$F$2224,"20-35")/AVERAGEIFS(Pedidos!$J$2:$J$2224,Pedidos!$E$2:$E$2224,$A40,Pedidos!$F$2:$F$2224,"20-35")-1,"")</f>
        <v>0.372470003183742</v>
      </c>
      <c r="D40" s="27" t="n">
        <f aca="false">IFERROR(AVERAGEIFS(Pedidos!$S$2:$S$2224,Pedidos!$E$2:$E$2224,$A40,Pedidos!$F$2:$F$2224,"35-40")/AVERAGEIFS(Pedidos!$J$2:$J$2224,Pedidos!$E$2:$E$2224,$A40,Pedidos!$F$2:$F$2224,"35-40")-1,"")</f>
        <v>0.397282769315838</v>
      </c>
      <c r="E40" s="27" t="n">
        <f aca="false">IFERROR(AVERAGEIFS(Pedidos!$S$2:$S$2224,Pedidos!$E$2:$E$2224,$A40,Pedidos!$F$2:$F$2224,"40-50")/AVERAGEIFS(Pedidos!$J$2:$J$2224,Pedidos!$E$2:$E$2224,$A40,Pedidos!$F$2:$F$2224,"40-50")-1,"")</f>
        <v>0.342907495851935</v>
      </c>
      <c r="F40" s="27" t="n">
        <f aca="false">IFERROR(AVERAGEIFS(Pedidos!$S$2:$S$2224,Pedidos!$E$2:$E$2224,$A40,Pedidos!$F$2:$F$2224,"50-60")/AVERAGEIFS(Pedidos!$J$2:$J$2224,Pedidos!$E$2:$E$2224,$A40,Pedidos!$F$2:$F$2224,"50-60")-1,"")</f>
        <v>0.414826604257953</v>
      </c>
      <c r="G40" s="27" t="n">
        <f aca="false">IFERROR(AVERAGEIFS(Pedidos!$S$2:$S$2224,Pedidos!$E$2:$E$2224,$A40,Pedidos!$F$2:$F$2224,"60-70")/AVERAGEIFS(Pedidos!$J$2:$J$2224,Pedidos!$E$2:$E$2224,$A40,Pedidos!$F$2:$F$2224,"60-70")-1,"")</f>
        <v>0.511218071519796</v>
      </c>
      <c r="H40" s="27" t="n">
        <f aca="false">IFERROR(AVERAGEIFS(Pedidos!$S$2:$S$2224,Pedidos!$E$2:$E$2224,$A40,Pedidos!$F$2:$F$2224,"70-80")/AVERAGEIFS(Pedidos!$J$2:$J$2224,Pedidos!$E$2:$E$2224,$A40,Pedidos!$F$2:$F$2224,"70-80")-1,"")</f>
        <v>0.424065945062911</v>
      </c>
      <c r="I40" s="27" t="n">
        <f aca="false">IFERROR(AVERAGEIFS(Pedidos!$S$2:$S$2224,Pedidos!$E$2:$E$2224,$A40,Pedidos!$F$2:$F$2224,"80-100")/AVERAGEIFS(Pedidos!$J$2:$J$2224,Pedidos!$E$2:$E$2224,$A40,Pedidos!$F$2:$F$2224,"80-100")-1,"")</f>
        <v>0.481954507717272</v>
      </c>
      <c r="J40" s="27" t="n">
        <f aca="false">IFERROR(AVERAGEIFS(Pedidos!$S$2:$S$2224,Pedidos!$E$2:$E$2224,$A40,Pedidos!$F$2:$F$2224,"100-120")/AVERAGEIFS(Pedidos!$J$2:$J$2224,Pedidos!$E$2:$E$2224,$A40,Pedidos!$F$2:$F$2224,"100-120")-1,"")</f>
        <v>0.620168435193687</v>
      </c>
      <c r="K40" s="27" t="n">
        <f aca="false">IFERROR(AVERAGEIFS(Pedidos!$S$2:$S$2224,Pedidos!$E$2:$E$2224,$A40,Pedidos!$F$2:$F$2224,"120-150")/AVERAGEIFS(Pedidos!$J$2:$J$2224,Pedidos!$E$2:$E$2224,$A40,Pedidos!$F$2:$F$2224,"120-150")-1,"")</f>
        <v>0.524636277240003</v>
      </c>
      <c r="L40" s="27" t="str">
        <f aca="false">IFERROR(AVERAGEIFS(Pedidos!$S$2:$S$2224,Pedidos!$E$2:$E$2224,$A40,Pedidos!$F$2:$F$2224,"150-170")/AVERAGEIFS(Pedidos!$J$2:$J$2224,Pedidos!$E$2:$E$2224,$A40,Pedidos!$F$2:$F$2224,"150-170")-1,"")</f>
        <v/>
      </c>
      <c r="M40" s="27" t="str">
        <f aca="false">IFERROR(AVERAGEIFS(Pedidos!$S$2:$S$2224,Pedidos!$E$2:$E$2224,$A40,Pedidos!$F$2:$F$2224,"170-200")/AVERAGEIFS(Pedidos!$J$2:$J$2224,Pedidos!$E$2:$E$2224,$A40,Pedidos!$F$2:$F$2224,"170-200")-1,"")</f>
        <v/>
      </c>
      <c r="N40" s="27" t="str">
        <f aca="false">IFERROR(AVERAGEIFS(Pedidos!$S$2:$S$2224,Pedidos!$E$2:$E$2224,$A40,Pedidos!$F$2:$F$2224,"200-250")/AVERAGEIFS(Pedidos!$J$2:$J$2224,Pedidos!$E$2:$E$2224,$A40,Pedidos!$F$2:$F$2224,"200-250")-1,"")</f>
        <v/>
      </c>
      <c r="O40" s="27" t="str">
        <f aca="false">IFERROR(AVERAGEIFS(Pedidos!$S$2:$S$2224,Pedidos!$E$2:$E$2224,$A40,Pedidos!$F$2:$F$2224,"&gt;250")/AVERAGEIFS(Pedidos!$J$2:$J$2224,Pedidos!$E$2:$E$2224,$A40,Pedidos!$F$2:$F$2224,"&gt;250")-1,"")</f>
        <v/>
      </c>
      <c r="P40" s="27" t="n">
        <f aca="false">IFERROR(AVERAGEIFS(Pedidos!$S$2:$S$2224,Pedidos!$E$2:$E$2224,$A40)/AVERAGEIFS(Pedidos!$J$2:$J$2224,Pedidos!$E$2:$E$2224,$A40)-1,"")</f>
        <v>0.446420340377731</v>
      </c>
    </row>
    <row r="41" customFormat="false" ht="15" hidden="false" customHeight="false" outlineLevel="0" collapsed="false">
      <c r="A41" s="14" t="s">
        <v>90</v>
      </c>
      <c r="B41" s="27" t="str">
        <f aca="false">IFERROR(AVERAGEIFS(Pedidos!$S$2:$S$2224,Pedidos!$E$2:$E$2224,$A41,Pedidos!$F$2:$F$2224,"0-20")/AVERAGEIFS(Pedidos!$J$2:$J$2224,Pedidos!$E$2:$E$2224,$A41,Pedidos!$F$2:$F$2224,"0-20")-1,"")</f>
        <v/>
      </c>
      <c r="C41" s="27" t="n">
        <f aca="false">IFERROR(AVERAGEIFS(Pedidos!$S$2:$S$2224,Pedidos!$E$2:$E$2224,$A41,Pedidos!$F$2:$F$2224,"20-35")/AVERAGEIFS(Pedidos!$J$2:$J$2224,Pedidos!$E$2:$E$2224,$A41,Pedidos!$F$2:$F$2224,"20-35")-1,"")</f>
        <v>0.269051253101391</v>
      </c>
      <c r="D41" s="27" t="n">
        <f aca="false">IFERROR(AVERAGEIFS(Pedidos!$S$2:$S$2224,Pedidos!$E$2:$E$2224,$A41,Pedidos!$F$2:$F$2224,"35-40")/AVERAGEIFS(Pedidos!$J$2:$J$2224,Pedidos!$E$2:$E$2224,$A41,Pedidos!$F$2:$F$2224,"35-40")-1,"")</f>
        <v>0.304753651776257</v>
      </c>
      <c r="E41" s="27" t="n">
        <f aca="false">IFERROR(AVERAGEIFS(Pedidos!$S$2:$S$2224,Pedidos!$E$2:$E$2224,$A41,Pedidos!$F$2:$F$2224,"40-50")/AVERAGEIFS(Pedidos!$J$2:$J$2224,Pedidos!$E$2:$E$2224,$A41,Pedidos!$F$2:$F$2224,"40-50")-1,"")</f>
        <v>0.259605084399001</v>
      </c>
      <c r="F41" s="27" t="n">
        <f aca="false">IFERROR(AVERAGEIFS(Pedidos!$S$2:$S$2224,Pedidos!$E$2:$E$2224,$A41,Pedidos!$F$2:$F$2224,"50-60")/AVERAGEIFS(Pedidos!$J$2:$J$2224,Pedidos!$E$2:$E$2224,$A41,Pedidos!$F$2:$F$2224,"50-60")-1,"")</f>
        <v>0.300356338637397</v>
      </c>
      <c r="G41" s="27" t="n">
        <f aca="false">IFERROR(AVERAGEIFS(Pedidos!$S$2:$S$2224,Pedidos!$E$2:$E$2224,$A41,Pedidos!$F$2:$F$2224,"60-70")/AVERAGEIFS(Pedidos!$J$2:$J$2224,Pedidos!$E$2:$E$2224,$A41,Pedidos!$F$2:$F$2224,"60-70")-1,"")</f>
        <v>0.382899757012533</v>
      </c>
      <c r="H41" s="27" t="n">
        <f aca="false">IFERROR(AVERAGEIFS(Pedidos!$S$2:$S$2224,Pedidos!$E$2:$E$2224,$A41,Pedidos!$F$2:$F$2224,"70-80")/AVERAGEIFS(Pedidos!$J$2:$J$2224,Pedidos!$E$2:$E$2224,$A41,Pedidos!$F$2:$F$2224,"70-80")-1,"")</f>
        <v>0.269835494755452</v>
      </c>
      <c r="I41" s="27" t="str">
        <f aca="false">IFERROR(AVERAGEIFS(Pedidos!$S$2:$S$2224,Pedidos!$E$2:$E$2224,$A41,Pedidos!$F$2:$F$2224,"80-100")/AVERAGEIFS(Pedidos!$J$2:$J$2224,Pedidos!$E$2:$E$2224,$A41,Pedidos!$F$2:$F$2224,"80-100")-1,"")</f>
        <v/>
      </c>
      <c r="J41" s="27" t="n">
        <f aca="false">IFERROR(AVERAGEIFS(Pedidos!$S$2:$S$2224,Pedidos!$E$2:$E$2224,$A41,Pedidos!$F$2:$F$2224,"100-120")/AVERAGEIFS(Pedidos!$J$2:$J$2224,Pedidos!$E$2:$E$2224,$A41,Pedidos!$F$2:$F$2224,"100-120")-1,"")</f>
        <v>0.498797903339535</v>
      </c>
      <c r="K41" s="27" t="n">
        <f aca="false">IFERROR(AVERAGEIFS(Pedidos!$S$2:$S$2224,Pedidos!$E$2:$E$2224,$A41,Pedidos!$F$2:$F$2224,"120-150")/AVERAGEIFS(Pedidos!$J$2:$J$2224,Pedidos!$E$2:$E$2224,$A41,Pedidos!$F$2:$F$2224,"120-150")-1,"")</f>
        <v>0.46450863139753</v>
      </c>
      <c r="L41" s="27" t="str">
        <f aca="false">IFERROR(AVERAGEIFS(Pedidos!$S$2:$S$2224,Pedidos!$E$2:$E$2224,$A41,Pedidos!$F$2:$F$2224,"150-170")/AVERAGEIFS(Pedidos!$J$2:$J$2224,Pedidos!$E$2:$E$2224,$A41,Pedidos!$F$2:$F$2224,"150-170")-1,"")</f>
        <v/>
      </c>
      <c r="M41" s="27" t="str">
        <f aca="false">IFERROR(AVERAGEIFS(Pedidos!$S$2:$S$2224,Pedidos!$E$2:$E$2224,$A41,Pedidos!$F$2:$F$2224,"170-200")/AVERAGEIFS(Pedidos!$J$2:$J$2224,Pedidos!$E$2:$E$2224,$A41,Pedidos!$F$2:$F$2224,"170-200")-1,"")</f>
        <v/>
      </c>
      <c r="N41" s="27" t="str">
        <f aca="false">IFERROR(AVERAGEIFS(Pedidos!$S$2:$S$2224,Pedidos!$E$2:$E$2224,$A41,Pedidos!$F$2:$F$2224,"200-250")/AVERAGEIFS(Pedidos!$J$2:$J$2224,Pedidos!$E$2:$E$2224,$A41,Pedidos!$F$2:$F$2224,"200-250")-1,"")</f>
        <v/>
      </c>
      <c r="O41" s="27" t="str">
        <f aca="false">IFERROR(AVERAGEIFS(Pedidos!$S$2:$S$2224,Pedidos!$E$2:$E$2224,$A41,Pedidos!$F$2:$F$2224,"&gt;250")/AVERAGEIFS(Pedidos!$J$2:$J$2224,Pedidos!$E$2:$E$2224,$A41,Pedidos!$F$2:$F$2224,"&gt;250")-1,"")</f>
        <v/>
      </c>
      <c r="P41" s="27" t="n">
        <f aca="false">IFERROR(AVERAGEIFS(Pedidos!$S$2:$S$2224,Pedidos!$E$2:$E$2224,$A41)/AVERAGEIFS(Pedidos!$J$2:$J$2224,Pedidos!$E$2:$E$2224,$A41)-1,"")</f>
        <v>0.33679029964829</v>
      </c>
    </row>
    <row r="42" customFormat="false" ht="15" hidden="false" customHeight="false" outlineLevel="0" collapsed="false">
      <c r="A42" s="14" t="s">
        <v>91</v>
      </c>
      <c r="B42" s="27" t="n">
        <f aca="false">IFERROR(AVERAGEIFS(Pedidos!$S$2:$S$2224,Pedidos!$E$2:$E$2224,$A42,Pedidos!$F$2:$F$2224,"0-20")/AVERAGEIFS(Pedidos!$J$2:$J$2224,Pedidos!$E$2:$E$2224,$A42,Pedidos!$F$2:$F$2224,"0-20")-1,"")</f>
        <v>0.632275464124436</v>
      </c>
      <c r="C42" s="27" t="n">
        <f aca="false">IFERROR(AVERAGEIFS(Pedidos!$S$2:$S$2224,Pedidos!$E$2:$E$2224,$A42,Pedidos!$F$2:$F$2224,"20-35")/AVERAGEIFS(Pedidos!$J$2:$J$2224,Pedidos!$E$2:$E$2224,$A42,Pedidos!$F$2:$F$2224,"20-35")-1,"")</f>
        <v>0.43185835671289</v>
      </c>
      <c r="D42" s="27" t="n">
        <f aca="false">IFERROR(AVERAGEIFS(Pedidos!$S$2:$S$2224,Pedidos!$E$2:$E$2224,$A42,Pedidos!$F$2:$F$2224,"35-40")/AVERAGEIFS(Pedidos!$J$2:$J$2224,Pedidos!$E$2:$E$2224,$A42,Pedidos!$F$2:$F$2224,"35-40")-1,"")</f>
        <v>0.395644446001475</v>
      </c>
      <c r="E42" s="27" t="n">
        <f aca="false">IFERROR(AVERAGEIFS(Pedidos!$S$2:$S$2224,Pedidos!$E$2:$E$2224,$A42,Pedidos!$F$2:$F$2224,"40-50")/AVERAGEIFS(Pedidos!$J$2:$J$2224,Pedidos!$E$2:$E$2224,$A42,Pedidos!$F$2:$F$2224,"40-50")-1,"")</f>
        <v>0.389009474267635</v>
      </c>
      <c r="F42" s="27" t="n">
        <f aca="false">IFERROR(AVERAGEIFS(Pedidos!$S$2:$S$2224,Pedidos!$E$2:$E$2224,$A42,Pedidos!$F$2:$F$2224,"50-60")/AVERAGEIFS(Pedidos!$J$2:$J$2224,Pedidos!$E$2:$E$2224,$A42,Pedidos!$F$2:$F$2224,"50-60")-1,"")</f>
        <v>0.411379533206159</v>
      </c>
      <c r="G42" s="27" t="n">
        <f aca="false">IFERROR(AVERAGEIFS(Pedidos!$S$2:$S$2224,Pedidos!$E$2:$E$2224,$A42,Pedidos!$F$2:$F$2224,"60-70")/AVERAGEIFS(Pedidos!$J$2:$J$2224,Pedidos!$E$2:$E$2224,$A42,Pedidos!$F$2:$F$2224,"60-70")-1,"")</f>
        <v>0.510951258090851</v>
      </c>
      <c r="H42" s="27" t="str">
        <f aca="false">IFERROR(AVERAGEIFS(Pedidos!$S$2:$S$2224,Pedidos!$E$2:$E$2224,$A42,Pedidos!$F$2:$F$2224,"70-80")/AVERAGEIFS(Pedidos!$J$2:$J$2224,Pedidos!$E$2:$E$2224,$A42,Pedidos!$F$2:$F$2224,"70-80")-1,"")</f>
        <v/>
      </c>
      <c r="I42" s="27" t="str">
        <f aca="false">IFERROR(AVERAGEIFS(Pedidos!$S$2:$S$2224,Pedidos!$E$2:$E$2224,$A42,Pedidos!$F$2:$F$2224,"80-100")/AVERAGEIFS(Pedidos!$J$2:$J$2224,Pedidos!$E$2:$E$2224,$A42,Pedidos!$F$2:$F$2224,"80-100")-1,"")</f>
        <v/>
      </c>
      <c r="J42" s="27" t="str">
        <f aca="false">IFERROR(AVERAGEIFS(Pedidos!$S$2:$S$2224,Pedidos!$E$2:$E$2224,$A42,Pedidos!$F$2:$F$2224,"100-120")/AVERAGEIFS(Pedidos!$J$2:$J$2224,Pedidos!$E$2:$E$2224,$A42,Pedidos!$F$2:$F$2224,"100-120")-1,"")</f>
        <v/>
      </c>
      <c r="K42" s="27" t="str">
        <f aca="false">IFERROR(AVERAGEIFS(Pedidos!$S$2:$S$2224,Pedidos!$E$2:$E$2224,$A42,Pedidos!$F$2:$F$2224,"120-150")/AVERAGEIFS(Pedidos!$J$2:$J$2224,Pedidos!$E$2:$E$2224,$A42,Pedidos!$F$2:$F$2224,"120-150")-1,"")</f>
        <v/>
      </c>
      <c r="L42" s="27" t="str">
        <f aca="false">IFERROR(AVERAGEIFS(Pedidos!$S$2:$S$2224,Pedidos!$E$2:$E$2224,$A42,Pedidos!$F$2:$F$2224,"150-170")/AVERAGEIFS(Pedidos!$J$2:$J$2224,Pedidos!$E$2:$E$2224,$A42,Pedidos!$F$2:$F$2224,"150-170")-1,"")</f>
        <v/>
      </c>
      <c r="M42" s="27" t="str">
        <f aca="false">IFERROR(AVERAGEIFS(Pedidos!$S$2:$S$2224,Pedidos!$E$2:$E$2224,$A42,Pedidos!$F$2:$F$2224,"170-200")/AVERAGEIFS(Pedidos!$J$2:$J$2224,Pedidos!$E$2:$E$2224,$A42,Pedidos!$F$2:$F$2224,"170-200")-1,"")</f>
        <v/>
      </c>
      <c r="N42" s="27" t="str">
        <f aca="false">IFERROR(AVERAGEIFS(Pedidos!$S$2:$S$2224,Pedidos!$E$2:$E$2224,$A42,Pedidos!$F$2:$F$2224,"200-250")/AVERAGEIFS(Pedidos!$J$2:$J$2224,Pedidos!$E$2:$E$2224,$A42,Pedidos!$F$2:$F$2224,"200-250")-1,"")</f>
        <v/>
      </c>
      <c r="O42" s="27" t="str">
        <f aca="false">IFERROR(AVERAGEIFS(Pedidos!$S$2:$S$2224,Pedidos!$E$2:$E$2224,$A42,Pedidos!$F$2:$F$2224,"&gt;250")/AVERAGEIFS(Pedidos!$J$2:$J$2224,Pedidos!$E$2:$E$2224,$A42,Pedidos!$F$2:$F$2224,"&gt;250")-1,"")</f>
        <v/>
      </c>
      <c r="P42" s="27" t="n">
        <f aca="false">IFERROR(AVERAGEIFS(Pedidos!$S$2:$S$2224,Pedidos!$E$2:$E$2224,$A42)/AVERAGEIFS(Pedidos!$J$2:$J$2224,Pedidos!$E$2:$E$2224,$A42)-1,"")</f>
        <v>0.427014925468083</v>
      </c>
    </row>
    <row r="43" customFormat="false" ht="15" hidden="false" customHeight="false" outlineLevel="0" collapsed="false">
      <c r="A43" s="14" t="s">
        <v>92</v>
      </c>
      <c r="B43" s="27" t="str">
        <f aca="false">IFERROR(AVERAGEIFS(Pedidos!$S$2:$S$2224,Pedidos!$E$2:$E$2224,$A43,Pedidos!$F$2:$F$2224,"0-20")/AVERAGEIFS(Pedidos!$J$2:$J$2224,Pedidos!$E$2:$E$2224,$A43,Pedidos!$F$2:$F$2224,"0-20")-1,"")</f>
        <v/>
      </c>
      <c r="C43" s="27" t="n">
        <f aca="false">IFERROR(AVERAGEIFS(Pedidos!$S$2:$S$2224,Pedidos!$E$2:$E$2224,$A43,Pedidos!$F$2:$F$2224,"20-35")/AVERAGEIFS(Pedidos!$J$2:$J$2224,Pedidos!$E$2:$E$2224,$A43,Pedidos!$F$2:$F$2224,"20-35")-1,"")</f>
        <v>0.421831554493302</v>
      </c>
      <c r="D43" s="27" t="n">
        <f aca="false">IFERROR(AVERAGEIFS(Pedidos!$S$2:$S$2224,Pedidos!$E$2:$E$2224,$A43,Pedidos!$F$2:$F$2224,"35-40")/AVERAGEIFS(Pedidos!$J$2:$J$2224,Pedidos!$E$2:$E$2224,$A43,Pedidos!$F$2:$F$2224,"35-40")-1,"")</f>
        <v>0.397806981770727</v>
      </c>
      <c r="E43" s="27" t="n">
        <f aca="false">IFERROR(AVERAGEIFS(Pedidos!$S$2:$S$2224,Pedidos!$E$2:$E$2224,$A43,Pedidos!$F$2:$F$2224,"40-50")/AVERAGEIFS(Pedidos!$J$2:$J$2224,Pedidos!$E$2:$E$2224,$A43,Pedidos!$F$2:$F$2224,"40-50")-1,"")</f>
        <v>0.392066249143752</v>
      </c>
      <c r="F43" s="27" t="n">
        <f aca="false">IFERROR(AVERAGEIFS(Pedidos!$S$2:$S$2224,Pedidos!$E$2:$E$2224,$A43,Pedidos!$F$2:$F$2224,"50-60")/AVERAGEIFS(Pedidos!$J$2:$J$2224,Pedidos!$E$2:$E$2224,$A43,Pedidos!$F$2:$F$2224,"50-60")-1,"")</f>
        <v>0.408573480184585</v>
      </c>
      <c r="G43" s="27" t="n">
        <f aca="false">IFERROR(AVERAGEIFS(Pedidos!$S$2:$S$2224,Pedidos!$E$2:$E$2224,$A43,Pedidos!$F$2:$F$2224,"60-70")/AVERAGEIFS(Pedidos!$J$2:$J$2224,Pedidos!$E$2:$E$2224,$A43,Pedidos!$F$2:$F$2224,"60-70")-1,"")</f>
        <v>0.516681702248713</v>
      </c>
      <c r="H43" s="27" t="n">
        <f aca="false">IFERROR(AVERAGEIFS(Pedidos!$S$2:$S$2224,Pedidos!$E$2:$E$2224,$A43,Pedidos!$F$2:$F$2224,"70-80")/AVERAGEIFS(Pedidos!$J$2:$J$2224,Pedidos!$E$2:$E$2224,$A43,Pedidos!$F$2:$F$2224,"70-80")-1,"")</f>
        <v>0.423813688541875</v>
      </c>
      <c r="I43" s="27" t="n">
        <f aca="false">IFERROR(AVERAGEIFS(Pedidos!$S$2:$S$2224,Pedidos!$E$2:$E$2224,$A43,Pedidos!$F$2:$F$2224,"80-100")/AVERAGEIFS(Pedidos!$J$2:$J$2224,Pedidos!$E$2:$E$2224,$A43,Pedidos!$F$2:$F$2224,"80-100")-1,"")</f>
        <v>0.459435250965433</v>
      </c>
      <c r="J43" s="27" t="str">
        <f aca="false">IFERROR(AVERAGEIFS(Pedidos!$S$2:$S$2224,Pedidos!$E$2:$E$2224,$A43,Pedidos!$F$2:$F$2224,"100-120")/AVERAGEIFS(Pedidos!$J$2:$J$2224,Pedidos!$E$2:$E$2224,$A43,Pedidos!$F$2:$F$2224,"100-120")-1,"")</f>
        <v/>
      </c>
      <c r="K43" s="27" t="str">
        <f aca="false">IFERROR(AVERAGEIFS(Pedidos!$S$2:$S$2224,Pedidos!$E$2:$E$2224,$A43,Pedidos!$F$2:$F$2224,"120-150")/AVERAGEIFS(Pedidos!$J$2:$J$2224,Pedidos!$E$2:$E$2224,$A43,Pedidos!$F$2:$F$2224,"120-150")-1,"")</f>
        <v/>
      </c>
      <c r="L43" s="27" t="str">
        <f aca="false">IFERROR(AVERAGEIFS(Pedidos!$S$2:$S$2224,Pedidos!$E$2:$E$2224,$A43,Pedidos!$F$2:$F$2224,"150-170")/AVERAGEIFS(Pedidos!$J$2:$J$2224,Pedidos!$E$2:$E$2224,$A43,Pedidos!$F$2:$F$2224,"150-170")-1,"")</f>
        <v/>
      </c>
      <c r="M43" s="27" t="str">
        <f aca="false">IFERROR(AVERAGEIFS(Pedidos!$S$2:$S$2224,Pedidos!$E$2:$E$2224,$A43,Pedidos!$F$2:$F$2224,"170-200")/AVERAGEIFS(Pedidos!$J$2:$J$2224,Pedidos!$E$2:$E$2224,$A43,Pedidos!$F$2:$F$2224,"170-200")-1,"")</f>
        <v/>
      </c>
      <c r="N43" s="27" t="str">
        <f aca="false">IFERROR(AVERAGEIFS(Pedidos!$S$2:$S$2224,Pedidos!$E$2:$E$2224,$A43,Pedidos!$F$2:$F$2224,"200-250")/AVERAGEIFS(Pedidos!$J$2:$J$2224,Pedidos!$E$2:$E$2224,$A43,Pedidos!$F$2:$F$2224,"200-250")-1,"")</f>
        <v/>
      </c>
      <c r="O43" s="27" t="str">
        <f aca="false">IFERROR(AVERAGEIFS(Pedidos!$S$2:$S$2224,Pedidos!$E$2:$E$2224,$A43,Pedidos!$F$2:$F$2224,"&gt;250")/AVERAGEIFS(Pedidos!$J$2:$J$2224,Pedidos!$E$2:$E$2224,$A43,Pedidos!$F$2:$F$2224,"&gt;250")-1,"")</f>
        <v/>
      </c>
      <c r="P43" s="27" t="n">
        <f aca="false">IFERROR(AVERAGEIFS(Pedidos!$S$2:$S$2224,Pedidos!$E$2:$E$2224,$A43)/AVERAGEIFS(Pedidos!$J$2:$J$2224,Pedidos!$E$2:$E$2224,$A43)-1,"")</f>
        <v>0.436009827670203</v>
      </c>
    </row>
    <row r="44" customFormat="false" ht="15" hidden="false" customHeight="false" outlineLevel="0" collapsed="false">
      <c r="A44" s="14" t="s">
        <v>93</v>
      </c>
      <c r="B44" s="27" t="n">
        <f aca="false">IFERROR(AVERAGEIFS(Pedidos!$S$2:$S$2224,Pedidos!$E$2:$E$2224,$A44,Pedidos!$F$2:$F$2224,"0-20")/AVERAGEIFS(Pedidos!$J$2:$J$2224,Pedidos!$E$2:$E$2224,$A44,Pedidos!$F$2:$F$2224,"0-20")-1,"")</f>
        <v>0.030585863647753</v>
      </c>
      <c r="C44" s="27" t="n">
        <f aca="false">IFERROR(AVERAGEIFS(Pedidos!$S$2:$S$2224,Pedidos!$E$2:$E$2224,$A44,Pedidos!$F$2:$F$2224,"20-35")/AVERAGEIFS(Pedidos!$J$2:$J$2224,Pedidos!$E$2:$E$2224,$A44,Pedidos!$F$2:$F$2224,"20-35")-1,"")</f>
        <v>0.275678489507937</v>
      </c>
      <c r="D44" s="27" t="n">
        <f aca="false">IFERROR(AVERAGEIFS(Pedidos!$S$2:$S$2224,Pedidos!$E$2:$E$2224,$A44,Pedidos!$F$2:$F$2224,"35-40")/AVERAGEIFS(Pedidos!$J$2:$J$2224,Pedidos!$E$2:$E$2224,$A44,Pedidos!$F$2:$F$2224,"35-40")-1,"")</f>
        <v>0.301816987686906</v>
      </c>
      <c r="E44" s="27" t="n">
        <f aca="false">IFERROR(AVERAGEIFS(Pedidos!$S$2:$S$2224,Pedidos!$E$2:$E$2224,$A44,Pedidos!$F$2:$F$2224,"40-50")/AVERAGEIFS(Pedidos!$J$2:$J$2224,Pedidos!$E$2:$E$2224,$A44,Pedidos!$F$2:$F$2224,"40-50")-1,"")</f>
        <v>0.266809806509657</v>
      </c>
      <c r="F44" s="27" t="n">
        <f aca="false">IFERROR(AVERAGEIFS(Pedidos!$S$2:$S$2224,Pedidos!$E$2:$E$2224,$A44,Pedidos!$F$2:$F$2224,"50-60")/AVERAGEIFS(Pedidos!$J$2:$J$2224,Pedidos!$E$2:$E$2224,$A44,Pedidos!$F$2:$F$2224,"50-60")-1,"")</f>
        <v>0.30191956563521</v>
      </c>
      <c r="G44" s="27" t="n">
        <f aca="false">IFERROR(AVERAGEIFS(Pedidos!$S$2:$S$2224,Pedidos!$E$2:$E$2224,$A44,Pedidos!$F$2:$F$2224,"60-70")/AVERAGEIFS(Pedidos!$J$2:$J$2224,Pedidos!$E$2:$E$2224,$A44,Pedidos!$F$2:$F$2224,"60-70")-1,"")</f>
        <v>0.38356616218536</v>
      </c>
      <c r="H44" s="27" t="str">
        <f aca="false">IFERROR(AVERAGEIFS(Pedidos!$S$2:$S$2224,Pedidos!$E$2:$E$2224,$A44,Pedidos!$F$2:$F$2224,"70-80")/AVERAGEIFS(Pedidos!$J$2:$J$2224,Pedidos!$E$2:$E$2224,$A44,Pedidos!$F$2:$F$2224,"70-80")-1,"")</f>
        <v/>
      </c>
      <c r="I44" s="27" t="str">
        <f aca="false">IFERROR(AVERAGEIFS(Pedidos!$S$2:$S$2224,Pedidos!$E$2:$E$2224,$A44,Pedidos!$F$2:$F$2224,"80-100")/AVERAGEIFS(Pedidos!$J$2:$J$2224,Pedidos!$E$2:$E$2224,$A44,Pedidos!$F$2:$F$2224,"80-100")-1,"")</f>
        <v/>
      </c>
      <c r="J44" s="27" t="str">
        <f aca="false">IFERROR(AVERAGEIFS(Pedidos!$S$2:$S$2224,Pedidos!$E$2:$E$2224,$A44,Pedidos!$F$2:$F$2224,"100-120")/AVERAGEIFS(Pedidos!$J$2:$J$2224,Pedidos!$E$2:$E$2224,$A44,Pedidos!$F$2:$F$2224,"100-120")-1,"")</f>
        <v/>
      </c>
      <c r="K44" s="27" t="n">
        <f aca="false">IFERROR(AVERAGEIFS(Pedidos!$S$2:$S$2224,Pedidos!$E$2:$E$2224,$A44,Pedidos!$F$2:$F$2224,"120-150")/AVERAGEIFS(Pedidos!$J$2:$J$2224,Pedidos!$E$2:$E$2224,$A44,Pedidos!$F$2:$F$2224,"120-150")-1,"")</f>
        <v>0.464539145352464</v>
      </c>
      <c r="L44" s="27" t="str">
        <f aca="false">IFERROR(AVERAGEIFS(Pedidos!$S$2:$S$2224,Pedidos!$E$2:$E$2224,$A44,Pedidos!$F$2:$F$2224,"150-170")/AVERAGEIFS(Pedidos!$J$2:$J$2224,Pedidos!$E$2:$E$2224,$A44,Pedidos!$F$2:$F$2224,"150-170")-1,"")</f>
        <v/>
      </c>
      <c r="M44" s="27" t="str">
        <f aca="false">IFERROR(AVERAGEIFS(Pedidos!$S$2:$S$2224,Pedidos!$E$2:$E$2224,$A44,Pedidos!$F$2:$F$2224,"170-200")/AVERAGEIFS(Pedidos!$J$2:$J$2224,Pedidos!$E$2:$E$2224,$A44,Pedidos!$F$2:$F$2224,"170-200")-1,"")</f>
        <v/>
      </c>
      <c r="N44" s="27" t="str">
        <f aca="false">IFERROR(AVERAGEIFS(Pedidos!$S$2:$S$2224,Pedidos!$E$2:$E$2224,$A44,Pedidos!$F$2:$F$2224,"200-250")/AVERAGEIFS(Pedidos!$J$2:$J$2224,Pedidos!$E$2:$E$2224,$A44,Pedidos!$F$2:$F$2224,"200-250")-1,"")</f>
        <v/>
      </c>
      <c r="O44" s="27" t="str">
        <f aca="false">IFERROR(AVERAGEIFS(Pedidos!$S$2:$S$2224,Pedidos!$E$2:$E$2224,$A44,Pedidos!$F$2:$F$2224,"&gt;250")/AVERAGEIFS(Pedidos!$J$2:$J$2224,Pedidos!$E$2:$E$2224,$A44,Pedidos!$F$2:$F$2224,"&gt;250")-1,"")</f>
        <v/>
      </c>
      <c r="P44" s="27" t="n">
        <f aca="false">IFERROR(AVERAGEIFS(Pedidos!$S$2:$S$2224,Pedidos!$E$2:$E$2224,$A44)/AVERAGEIFS(Pedidos!$J$2:$J$2224,Pedidos!$E$2:$E$2224,$A44)-1,"")</f>
        <v>0.316615025446124</v>
      </c>
    </row>
    <row r="45" customFormat="false" ht="15" hidden="false" customHeight="false" outlineLevel="0" collapsed="false">
      <c r="A45" s="14" t="s">
        <v>94</v>
      </c>
      <c r="B45" s="27" t="n">
        <f aca="false">IFERROR(AVERAGEIFS(Pedidos!$S$2:$S$2224,Pedidos!$E$2:$E$2224,$A45,Pedidos!$F$2:$F$2224,"0-20")/AVERAGEIFS(Pedidos!$J$2:$J$2224,Pedidos!$E$2:$E$2224,$A45,Pedidos!$F$2:$F$2224,"0-20")-1,"")</f>
        <v>-0.0603429998350964</v>
      </c>
      <c r="C45" s="27" t="n">
        <f aca="false">IFERROR(AVERAGEIFS(Pedidos!$S$2:$S$2224,Pedidos!$E$2:$E$2224,$A45,Pedidos!$F$2:$F$2224,"20-35")/AVERAGEIFS(Pedidos!$J$2:$J$2224,Pedidos!$E$2:$E$2224,$A45,Pedidos!$F$2:$F$2224,"20-35")-1,"")</f>
        <v>0.179138907918236</v>
      </c>
      <c r="D45" s="27" t="n">
        <f aca="false">IFERROR(AVERAGEIFS(Pedidos!$S$2:$S$2224,Pedidos!$E$2:$E$2224,$A45,Pedidos!$F$2:$F$2224,"35-40")/AVERAGEIFS(Pedidos!$J$2:$J$2224,Pedidos!$E$2:$E$2224,$A45,Pedidos!$F$2:$F$2224,"35-40")-1,"")</f>
        <v>0.205650937551005</v>
      </c>
      <c r="E45" s="27" t="n">
        <f aca="false">IFERROR(AVERAGEIFS(Pedidos!$S$2:$S$2224,Pedidos!$E$2:$E$2224,$A45,Pedidos!$F$2:$F$2224,"40-50")/AVERAGEIFS(Pedidos!$J$2:$J$2224,Pedidos!$E$2:$E$2224,$A45,Pedidos!$F$2:$F$2224,"40-50")-1,"")</f>
        <v>0.213233940981619</v>
      </c>
      <c r="F45" s="27" t="n">
        <f aca="false">IFERROR(AVERAGEIFS(Pedidos!$S$2:$S$2224,Pedidos!$E$2:$E$2224,$A45,Pedidos!$F$2:$F$2224,"50-60")/AVERAGEIFS(Pedidos!$J$2:$J$2224,Pedidos!$E$2:$E$2224,$A45,Pedidos!$F$2:$F$2224,"50-60")-1,"")</f>
        <v>0.296692605307042</v>
      </c>
      <c r="G45" s="27" t="n">
        <f aca="false">IFERROR(AVERAGEIFS(Pedidos!$S$2:$S$2224,Pedidos!$E$2:$E$2224,$A45,Pedidos!$F$2:$F$2224,"60-70")/AVERAGEIFS(Pedidos!$J$2:$J$2224,Pedidos!$E$2:$E$2224,$A45,Pedidos!$F$2:$F$2224,"60-70")-1,"")</f>
        <v>0.38886216617021</v>
      </c>
      <c r="H45" s="27" t="str">
        <f aca="false">IFERROR(AVERAGEIFS(Pedidos!$S$2:$S$2224,Pedidos!$E$2:$E$2224,$A45,Pedidos!$F$2:$F$2224,"70-80")/AVERAGEIFS(Pedidos!$J$2:$J$2224,Pedidos!$E$2:$E$2224,$A45,Pedidos!$F$2:$F$2224,"70-80")-1,"")</f>
        <v/>
      </c>
      <c r="I45" s="27" t="str">
        <f aca="false">IFERROR(AVERAGEIFS(Pedidos!$S$2:$S$2224,Pedidos!$E$2:$E$2224,$A45,Pedidos!$F$2:$F$2224,"80-100")/AVERAGEIFS(Pedidos!$J$2:$J$2224,Pedidos!$E$2:$E$2224,$A45,Pedidos!$F$2:$F$2224,"80-100")-1,"")</f>
        <v/>
      </c>
      <c r="J45" s="27" t="n">
        <f aca="false">IFERROR(AVERAGEIFS(Pedidos!$S$2:$S$2224,Pedidos!$E$2:$E$2224,$A45,Pedidos!$F$2:$F$2224,"100-120")/AVERAGEIFS(Pedidos!$J$2:$J$2224,Pedidos!$E$2:$E$2224,$A45,Pedidos!$F$2:$F$2224,"100-120")-1,"")</f>
        <v>0.578082153286295</v>
      </c>
      <c r="K45" s="27" t="str">
        <f aca="false">IFERROR(AVERAGEIFS(Pedidos!$S$2:$S$2224,Pedidos!$E$2:$E$2224,$A45,Pedidos!$F$2:$F$2224,"120-150")/AVERAGEIFS(Pedidos!$J$2:$J$2224,Pedidos!$E$2:$E$2224,$A45,Pedidos!$F$2:$F$2224,"120-150")-1,"")</f>
        <v/>
      </c>
      <c r="L45" s="27" t="str">
        <f aca="false">IFERROR(AVERAGEIFS(Pedidos!$S$2:$S$2224,Pedidos!$E$2:$E$2224,$A45,Pedidos!$F$2:$F$2224,"150-170")/AVERAGEIFS(Pedidos!$J$2:$J$2224,Pedidos!$E$2:$E$2224,$A45,Pedidos!$F$2:$F$2224,"150-170")-1,"")</f>
        <v/>
      </c>
      <c r="M45" s="27" t="str">
        <f aca="false">IFERROR(AVERAGEIFS(Pedidos!$S$2:$S$2224,Pedidos!$E$2:$E$2224,$A45,Pedidos!$F$2:$F$2224,"170-200")/AVERAGEIFS(Pedidos!$J$2:$J$2224,Pedidos!$E$2:$E$2224,$A45,Pedidos!$F$2:$F$2224,"170-200")-1,"")</f>
        <v/>
      </c>
      <c r="N45" s="27" t="str">
        <f aca="false">IFERROR(AVERAGEIFS(Pedidos!$S$2:$S$2224,Pedidos!$E$2:$E$2224,$A45,Pedidos!$F$2:$F$2224,"200-250")/AVERAGEIFS(Pedidos!$J$2:$J$2224,Pedidos!$E$2:$E$2224,$A45,Pedidos!$F$2:$F$2224,"200-250")-1,"")</f>
        <v/>
      </c>
      <c r="O45" s="27" t="str">
        <f aca="false">IFERROR(AVERAGEIFS(Pedidos!$S$2:$S$2224,Pedidos!$E$2:$E$2224,$A45,Pedidos!$F$2:$F$2224,"&gt;250")/AVERAGEIFS(Pedidos!$J$2:$J$2224,Pedidos!$E$2:$E$2224,$A45,Pedidos!$F$2:$F$2224,"&gt;250")-1,"")</f>
        <v/>
      </c>
      <c r="P45" s="27" t="n">
        <f aca="false">IFERROR(AVERAGEIFS(Pedidos!$S$2:$S$2224,Pedidos!$E$2:$E$2224,$A45)/AVERAGEIFS(Pedidos!$J$2:$J$2224,Pedidos!$E$2:$E$2224,$A45)-1,"")</f>
        <v>0.29057825212674</v>
      </c>
    </row>
    <row r="46" customFormat="false" ht="15" hidden="false" customHeight="false" outlineLevel="0" collapsed="false">
      <c r="A46" s="14" t="s">
        <v>95</v>
      </c>
      <c r="B46" s="27" t="n">
        <f aca="false">IFERROR(AVERAGEIFS(Pedidos!$S$2:$S$2224,Pedidos!$E$2:$E$2224,$A46,Pedidos!$F$2:$F$2224,"0-20")/AVERAGEIFS(Pedidos!$J$2:$J$2224,Pedidos!$E$2:$E$2224,$A46,Pedidos!$F$2:$F$2224,"0-20")-1,"")</f>
        <v>0.493467230443975</v>
      </c>
      <c r="C46" s="27" t="n">
        <f aca="false">IFERROR(AVERAGEIFS(Pedidos!$S$2:$S$2224,Pedidos!$E$2:$E$2224,$A46,Pedidos!$F$2:$F$2224,"20-35")/AVERAGEIFS(Pedidos!$J$2:$J$2224,Pedidos!$E$2:$E$2224,$A46,Pedidos!$F$2:$F$2224,"20-35")-1,"")</f>
        <v>0.296043377324398</v>
      </c>
      <c r="D46" s="27" t="n">
        <f aca="false">IFERROR(AVERAGEIFS(Pedidos!$S$2:$S$2224,Pedidos!$E$2:$E$2224,$A46,Pedidos!$F$2:$F$2224,"35-40")/AVERAGEIFS(Pedidos!$J$2:$J$2224,Pedidos!$E$2:$E$2224,$A46,Pedidos!$F$2:$F$2224,"35-40")-1,"")</f>
        <v>0.251601111435876</v>
      </c>
      <c r="E46" s="27" t="n">
        <f aca="false">IFERROR(AVERAGEIFS(Pedidos!$S$2:$S$2224,Pedidos!$E$2:$E$2224,$A46,Pedidos!$F$2:$F$2224,"40-50")/AVERAGEIFS(Pedidos!$J$2:$J$2224,Pedidos!$E$2:$E$2224,$A46,Pedidos!$F$2:$F$2224,"40-50")-1,"")</f>
        <v>0.289503344778285</v>
      </c>
      <c r="F46" s="27" t="n">
        <f aca="false">IFERROR(AVERAGEIFS(Pedidos!$S$2:$S$2224,Pedidos!$E$2:$E$2224,$A46,Pedidos!$F$2:$F$2224,"50-60")/AVERAGEIFS(Pedidos!$J$2:$J$2224,Pedidos!$E$2:$E$2224,$A46,Pedidos!$F$2:$F$2224,"50-60")-1,"")</f>
        <v>0.289803070761015</v>
      </c>
      <c r="G46" s="27" t="n">
        <f aca="false">IFERROR(AVERAGEIFS(Pedidos!$S$2:$S$2224,Pedidos!$E$2:$E$2224,$A46,Pedidos!$F$2:$F$2224,"60-70")/AVERAGEIFS(Pedidos!$J$2:$J$2224,Pedidos!$E$2:$E$2224,$A46,Pedidos!$F$2:$F$2224,"60-70")-1,"")</f>
        <v>0.298927456794736</v>
      </c>
      <c r="H46" s="27" t="str">
        <f aca="false">IFERROR(AVERAGEIFS(Pedidos!$S$2:$S$2224,Pedidos!$E$2:$E$2224,$A46,Pedidos!$F$2:$F$2224,"70-80")/AVERAGEIFS(Pedidos!$J$2:$J$2224,Pedidos!$E$2:$E$2224,$A46,Pedidos!$F$2:$F$2224,"70-80")-1,"")</f>
        <v/>
      </c>
      <c r="I46" s="27" t="n">
        <f aca="false">IFERROR(AVERAGEIFS(Pedidos!$S$2:$S$2224,Pedidos!$E$2:$E$2224,$A46,Pedidos!$F$2:$F$2224,"80-100")/AVERAGEIFS(Pedidos!$J$2:$J$2224,Pedidos!$E$2:$E$2224,$A46,Pedidos!$F$2:$F$2224,"80-100")-1,"")</f>
        <v>0.313606962248618</v>
      </c>
      <c r="J46" s="27" t="str">
        <f aca="false">IFERROR(AVERAGEIFS(Pedidos!$S$2:$S$2224,Pedidos!$E$2:$E$2224,$A46,Pedidos!$F$2:$F$2224,"100-120")/AVERAGEIFS(Pedidos!$J$2:$J$2224,Pedidos!$E$2:$E$2224,$A46,Pedidos!$F$2:$F$2224,"100-120")-1,"")</f>
        <v/>
      </c>
      <c r="K46" s="27" t="str">
        <f aca="false">IFERROR(AVERAGEIFS(Pedidos!$S$2:$S$2224,Pedidos!$E$2:$E$2224,$A46,Pedidos!$F$2:$F$2224,"120-150")/AVERAGEIFS(Pedidos!$J$2:$J$2224,Pedidos!$E$2:$E$2224,$A46,Pedidos!$F$2:$F$2224,"120-150")-1,"")</f>
        <v/>
      </c>
      <c r="L46" s="27" t="str">
        <f aca="false">IFERROR(AVERAGEIFS(Pedidos!$S$2:$S$2224,Pedidos!$E$2:$E$2224,$A46,Pedidos!$F$2:$F$2224,"150-170")/AVERAGEIFS(Pedidos!$J$2:$J$2224,Pedidos!$E$2:$E$2224,$A46,Pedidos!$F$2:$F$2224,"150-170")-1,"")</f>
        <v/>
      </c>
      <c r="M46" s="27" t="str">
        <f aca="false">IFERROR(AVERAGEIFS(Pedidos!$S$2:$S$2224,Pedidos!$E$2:$E$2224,$A46,Pedidos!$F$2:$F$2224,"170-200")/AVERAGEIFS(Pedidos!$J$2:$J$2224,Pedidos!$E$2:$E$2224,$A46,Pedidos!$F$2:$F$2224,"170-200")-1,"")</f>
        <v/>
      </c>
      <c r="N46" s="27" t="str">
        <f aca="false">IFERROR(AVERAGEIFS(Pedidos!$S$2:$S$2224,Pedidos!$E$2:$E$2224,$A46,Pedidos!$F$2:$F$2224,"200-250")/AVERAGEIFS(Pedidos!$J$2:$J$2224,Pedidos!$E$2:$E$2224,$A46,Pedidos!$F$2:$F$2224,"200-250")-1,"")</f>
        <v/>
      </c>
      <c r="O46" s="27" t="str">
        <f aca="false">IFERROR(AVERAGEIFS(Pedidos!$S$2:$S$2224,Pedidos!$E$2:$E$2224,$A46,Pedidos!$F$2:$F$2224,"&gt;250")/AVERAGEIFS(Pedidos!$J$2:$J$2224,Pedidos!$E$2:$E$2224,$A46,Pedidos!$F$2:$F$2224,"&gt;250")-1,"")</f>
        <v/>
      </c>
      <c r="P46" s="27" t="n">
        <f aca="false">IFERROR(AVERAGEIFS(Pedidos!$S$2:$S$2224,Pedidos!$E$2:$E$2224,$A46)/AVERAGEIFS(Pedidos!$J$2:$J$2224,Pedidos!$E$2:$E$2224,$A46)-1,"")</f>
        <v>0.304955318317024</v>
      </c>
    </row>
    <row r="47" customFormat="false" ht="15" hidden="false" customHeight="false" outlineLevel="0" collapsed="false">
      <c r="A47" s="14" t="s">
        <v>96</v>
      </c>
      <c r="B47" s="27" t="str">
        <f aca="false">IFERROR(AVERAGEIFS(Pedidos!$S$2:$S$2224,Pedidos!$E$2:$E$2224,$A47,Pedidos!$F$2:$F$2224,"0-20")/AVERAGEIFS(Pedidos!$J$2:$J$2224,Pedidos!$E$2:$E$2224,$A47,Pedidos!$F$2:$F$2224,"0-20")-1,"")</f>
        <v/>
      </c>
      <c r="C47" s="27" t="n">
        <f aca="false">IFERROR(AVERAGEIFS(Pedidos!$S$2:$S$2224,Pedidos!$E$2:$E$2224,$A47,Pedidos!$F$2:$F$2224,"20-35")/AVERAGEIFS(Pedidos!$J$2:$J$2224,Pedidos!$E$2:$E$2224,$A47,Pedidos!$F$2:$F$2224,"20-35")-1,"")</f>
        <v>0.483953689968574</v>
      </c>
      <c r="D47" s="27" t="n">
        <f aca="false">IFERROR(AVERAGEIFS(Pedidos!$S$2:$S$2224,Pedidos!$E$2:$E$2224,$A47,Pedidos!$F$2:$F$2224,"35-40")/AVERAGEIFS(Pedidos!$J$2:$J$2224,Pedidos!$E$2:$E$2224,$A47,Pedidos!$F$2:$F$2224,"35-40")-1,"")</f>
        <v>0.402026278062695</v>
      </c>
      <c r="E47" s="27" t="n">
        <f aca="false">IFERROR(AVERAGEIFS(Pedidos!$S$2:$S$2224,Pedidos!$E$2:$E$2224,$A47,Pedidos!$F$2:$F$2224,"40-50")/AVERAGEIFS(Pedidos!$J$2:$J$2224,Pedidos!$E$2:$E$2224,$A47,Pedidos!$F$2:$F$2224,"40-50")-1,"")</f>
        <v>0.435972086041285</v>
      </c>
      <c r="F47" s="27" t="n">
        <f aca="false">IFERROR(AVERAGEIFS(Pedidos!$S$2:$S$2224,Pedidos!$E$2:$E$2224,$A47,Pedidos!$F$2:$F$2224,"50-60")/AVERAGEIFS(Pedidos!$J$2:$J$2224,Pedidos!$E$2:$E$2224,$A47,Pedidos!$F$2:$F$2224,"50-60")-1,"")</f>
        <v>0.429662226602576</v>
      </c>
      <c r="G47" s="27" t="str">
        <f aca="false">IFERROR(AVERAGEIFS(Pedidos!$S$2:$S$2224,Pedidos!$E$2:$E$2224,$A47,Pedidos!$F$2:$F$2224,"60-70")/AVERAGEIFS(Pedidos!$J$2:$J$2224,Pedidos!$E$2:$E$2224,$A47,Pedidos!$F$2:$F$2224,"60-70")-1,"")</f>
        <v/>
      </c>
      <c r="H47" s="27" t="str">
        <f aca="false">IFERROR(AVERAGEIFS(Pedidos!$S$2:$S$2224,Pedidos!$E$2:$E$2224,$A47,Pedidos!$F$2:$F$2224,"70-80")/AVERAGEIFS(Pedidos!$J$2:$J$2224,Pedidos!$E$2:$E$2224,$A47,Pedidos!$F$2:$F$2224,"70-80")-1,"")</f>
        <v/>
      </c>
      <c r="I47" s="27" t="n">
        <f aca="false">IFERROR(AVERAGEIFS(Pedidos!$S$2:$S$2224,Pedidos!$E$2:$E$2224,$A47,Pedidos!$F$2:$F$2224,"80-100")/AVERAGEIFS(Pedidos!$J$2:$J$2224,Pedidos!$E$2:$E$2224,$A47,Pedidos!$F$2:$F$2224,"80-100")-1,"")</f>
        <v>0.454191074311892</v>
      </c>
      <c r="J47" s="27" t="n">
        <f aca="false">IFERROR(AVERAGEIFS(Pedidos!$S$2:$S$2224,Pedidos!$E$2:$E$2224,$A47,Pedidos!$F$2:$F$2224,"100-120")/AVERAGEIFS(Pedidos!$J$2:$J$2224,Pedidos!$E$2:$E$2224,$A47,Pedidos!$F$2:$F$2224,"100-120")-1,"")</f>
        <v>0.63013619575254</v>
      </c>
      <c r="K47" s="27" t="n">
        <f aca="false">IFERROR(AVERAGEIFS(Pedidos!$S$2:$S$2224,Pedidos!$E$2:$E$2224,$A47,Pedidos!$F$2:$F$2224,"120-150")/AVERAGEIFS(Pedidos!$J$2:$J$2224,Pedidos!$E$2:$E$2224,$A47,Pedidos!$F$2:$F$2224,"120-150")-1,"")</f>
        <v>0.533750659330385</v>
      </c>
      <c r="L47" s="27" t="str">
        <f aca="false">IFERROR(AVERAGEIFS(Pedidos!$S$2:$S$2224,Pedidos!$E$2:$E$2224,$A47,Pedidos!$F$2:$F$2224,"150-170")/AVERAGEIFS(Pedidos!$J$2:$J$2224,Pedidos!$E$2:$E$2224,$A47,Pedidos!$F$2:$F$2224,"150-170")-1,"")</f>
        <v/>
      </c>
      <c r="M47" s="27" t="str">
        <f aca="false">IFERROR(AVERAGEIFS(Pedidos!$S$2:$S$2224,Pedidos!$E$2:$E$2224,$A47,Pedidos!$F$2:$F$2224,"170-200")/AVERAGEIFS(Pedidos!$J$2:$J$2224,Pedidos!$E$2:$E$2224,$A47,Pedidos!$F$2:$F$2224,"170-200")-1,"")</f>
        <v/>
      </c>
      <c r="N47" s="27" t="str">
        <f aca="false">IFERROR(AVERAGEIFS(Pedidos!$S$2:$S$2224,Pedidos!$E$2:$E$2224,$A47,Pedidos!$F$2:$F$2224,"200-250")/AVERAGEIFS(Pedidos!$J$2:$J$2224,Pedidos!$E$2:$E$2224,$A47,Pedidos!$F$2:$F$2224,"200-250")-1,"")</f>
        <v/>
      </c>
      <c r="O47" s="27" t="str">
        <f aca="false">IFERROR(AVERAGEIFS(Pedidos!$S$2:$S$2224,Pedidos!$E$2:$E$2224,$A47,Pedidos!$F$2:$F$2224,"&gt;250")/AVERAGEIFS(Pedidos!$J$2:$J$2224,Pedidos!$E$2:$E$2224,$A47,Pedidos!$F$2:$F$2224,"&gt;250")-1,"")</f>
        <v/>
      </c>
      <c r="P47" s="27" t="n">
        <f aca="false">IFERROR(AVERAGEIFS(Pedidos!$S$2:$S$2224,Pedidos!$E$2:$E$2224,$A47)/AVERAGEIFS(Pedidos!$J$2:$J$2224,Pedidos!$E$2:$E$2224,$A47)-1,"")</f>
        <v>0.47388380043811</v>
      </c>
    </row>
    <row r="48" customFormat="false" ht="15" hidden="false" customHeight="false" outlineLevel="0" collapsed="false">
      <c r="A48" s="14" t="s">
        <v>97</v>
      </c>
      <c r="B48" s="27" t="str">
        <f aca="false">IFERROR(AVERAGEIFS(Pedidos!$S$2:$S$2224,Pedidos!$E$2:$E$2224,$A48,Pedidos!$F$2:$F$2224,"0-20")/AVERAGEIFS(Pedidos!$J$2:$J$2224,Pedidos!$E$2:$E$2224,$A48,Pedidos!$F$2:$F$2224,"0-20")-1,"")</f>
        <v/>
      </c>
      <c r="C48" s="27" t="n">
        <f aca="false">IFERROR(AVERAGEIFS(Pedidos!$S$2:$S$2224,Pedidos!$E$2:$E$2224,$A48,Pedidos!$F$2:$F$2224,"20-35")/AVERAGEIFS(Pedidos!$J$2:$J$2224,Pedidos!$E$2:$E$2224,$A48,Pedidos!$F$2:$F$2224,"20-35")-1,"")</f>
        <v>0.435623936171695</v>
      </c>
      <c r="D48" s="27" t="n">
        <f aca="false">IFERROR(AVERAGEIFS(Pedidos!$S$2:$S$2224,Pedidos!$E$2:$E$2224,$A48,Pedidos!$F$2:$F$2224,"35-40")/AVERAGEIFS(Pedidos!$J$2:$J$2224,Pedidos!$E$2:$E$2224,$A48,Pedidos!$F$2:$F$2224,"35-40")-1,"")</f>
        <v>0.397499454715509</v>
      </c>
      <c r="E48" s="27" t="n">
        <f aca="false">IFERROR(AVERAGEIFS(Pedidos!$S$2:$S$2224,Pedidos!$E$2:$E$2224,$A48,Pedidos!$F$2:$F$2224,"40-50")/AVERAGEIFS(Pedidos!$J$2:$J$2224,Pedidos!$E$2:$E$2224,$A48,Pedidos!$F$2:$F$2224,"40-50")-1,"")</f>
        <v>0.392224168248135</v>
      </c>
      <c r="F48" s="27" t="n">
        <f aca="false">IFERROR(AVERAGEIFS(Pedidos!$S$2:$S$2224,Pedidos!$E$2:$E$2224,$A48,Pedidos!$F$2:$F$2224,"50-60")/AVERAGEIFS(Pedidos!$J$2:$J$2224,Pedidos!$E$2:$E$2224,$A48,Pedidos!$F$2:$F$2224,"50-60")-1,"")</f>
        <v>0.406689236807694</v>
      </c>
      <c r="G48" s="27" t="n">
        <f aca="false">IFERROR(AVERAGEIFS(Pedidos!$S$2:$S$2224,Pedidos!$E$2:$E$2224,$A48,Pedidos!$F$2:$F$2224,"60-70")/AVERAGEIFS(Pedidos!$J$2:$J$2224,Pedidos!$E$2:$E$2224,$A48,Pedidos!$F$2:$F$2224,"60-70")-1,"")</f>
        <v>0.520097995245997</v>
      </c>
      <c r="H48" s="27" t="str">
        <f aca="false">IFERROR(AVERAGEIFS(Pedidos!$S$2:$S$2224,Pedidos!$E$2:$E$2224,$A48,Pedidos!$F$2:$F$2224,"70-80")/AVERAGEIFS(Pedidos!$J$2:$J$2224,Pedidos!$E$2:$E$2224,$A48,Pedidos!$F$2:$F$2224,"70-80")-1,"")</f>
        <v/>
      </c>
      <c r="I48" s="27" t="n">
        <f aca="false">IFERROR(AVERAGEIFS(Pedidos!$S$2:$S$2224,Pedidos!$E$2:$E$2224,$A48,Pedidos!$F$2:$F$2224,"80-100")/AVERAGEIFS(Pedidos!$J$2:$J$2224,Pedidos!$E$2:$E$2224,$A48,Pedidos!$F$2:$F$2224,"80-100")-1,"")</f>
        <v>0.462042750894102</v>
      </c>
      <c r="J48" s="27" t="str">
        <f aca="false">IFERROR(AVERAGEIFS(Pedidos!$S$2:$S$2224,Pedidos!$E$2:$E$2224,$A48,Pedidos!$F$2:$F$2224,"100-120")/AVERAGEIFS(Pedidos!$J$2:$J$2224,Pedidos!$E$2:$E$2224,$A48,Pedidos!$F$2:$F$2224,"100-120")-1,"")</f>
        <v/>
      </c>
      <c r="K48" s="27" t="str">
        <f aca="false">IFERROR(AVERAGEIFS(Pedidos!$S$2:$S$2224,Pedidos!$E$2:$E$2224,$A48,Pedidos!$F$2:$F$2224,"120-150")/AVERAGEIFS(Pedidos!$J$2:$J$2224,Pedidos!$E$2:$E$2224,$A48,Pedidos!$F$2:$F$2224,"120-150")-1,"")</f>
        <v/>
      </c>
      <c r="L48" s="27" t="str">
        <f aca="false">IFERROR(AVERAGEIFS(Pedidos!$S$2:$S$2224,Pedidos!$E$2:$E$2224,$A48,Pedidos!$F$2:$F$2224,"150-170")/AVERAGEIFS(Pedidos!$J$2:$J$2224,Pedidos!$E$2:$E$2224,$A48,Pedidos!$F$2:$F$2224,"150-170")-1,"")</f>
        <v/>
      </c>
      <c r="M48" s="27" t="str">
        <f aca="false">IFERROR(AVERAGEIFS(Pedidos!$S$2:$S$2224,Pedidos!$E$2:$E$2224,$A48,Pedidos!$F$2:$F$2224,"170-200")/AVERAGEIFS(Pedidos!$J$2:$J$2224,Pedidos!$E$2:$E$2224,$A48,Pedidos!$F$2:$F$2224,"170-200")-1,"")</f>
        <v/>
      </c>
      <c r="N48" s="27" t="str">
        <f aca="false">IFERROR(AVERAGEIFS(Pedidos!$S$2:$S$2224,Pedidos!$E$2:$E$2224,$A48,Pedidos!$F$2:$F$2224,"200-250")/AVERAGEIFS(Pedidos!$J$2:$J$2224,Pedidos!$E$2:$E$2224,$A48,Pedidos!$F$2:$F$2224,"200-250")-1,"")</f>
        <v/>
      </c>
      <c r="O48" s="27" t="str">
        <f aca="false">IFERROR(AVERAGEIFS(Pedidos!$S$2:$S$2224,Pedidos!$E$2:$E$2224,$A48,Pedidos!$F$2:$F$2224,"&gt;250")/AVERAGEIFS(Pedidos!$J$2:$J$2224,Pedidos!$E$2:$E$2224,$A48,Pedidos!$F$2:$F$2224,"&gt;250")-1,"")</f>
        <v/>
      </c>
      <c r="P48" s="27" t="n">
        <f aca="false">IFERROR(AVERAGEIFS(Pedidos!$S$2:$S$2224,Pedidos!$E$2:$E$2224,$A48)/AVERAGEIFS(Pedidos!$J$2:$J$2224,Pedidos!$E$2:$E$2224,$A48)-1,"")</f>
        <v>0.43790168889431</v>
      </c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3" t="s">
        <v>128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4" t="s">
        <v>63</v>
      </c>
      <c r="B52" s="4" t="s">
        <v>105</v>
      </c>
      <c r="C52" s="4" t="s">
        <v>106</v>
      </c>
      <c r="D52" s="4" t="s">
        <v>107</v>
      </c>
      <c r="E52" s="4" t="s">
        <v>108</v>
      </c>
      <c r="F52" s="4" t="s">
        <v>109</v>
      </c>
      <c r="G52" s="4" t="s">
        <v>110</v>
      </c>
      <c r="H52" s="4" t="s">
        <v>111</v>
      </c>
      <c r="I52" s="4" t="s">
        <v>112</v>
      </c>
      <c r="J52" s="4" t="s">
        <v>113</v>
      </c>
      <c r="K52" s="4" t="s">
        <v>114</v>
      </c>
      <c r="L52" s="4" t="s">
        <v>115</v>
      </c>
      <c r="M52" s="4" t="s">
        <v>116</v>
      </c>
      <c r="N52" s="4" t="s">
        <v>117</v>
      </c>
      <c r="O52" s="4" t="s">
        <v>118</v>
      </c>
      <c r="P52" s="4" t="s">
        <v>126</v>
      </c>
    </row>
    <row r="53" customFormat="false" ht="15" hidden="false" customHeight="false" outlineLevel="0" collapsed="false">
      <c r="A53" s="14" t="s">
        <v>78</v>
      </c>
      <c r="B53" s="27" t="n">
        <f aca="false">IFERROR(AVERAGEIFS(Pedidos!$K$2:$K$2224,Pedidos!$E$2:$E$2224,$A53,Pedidos!$F$2:$F$2224,"0-20")/AVERAGEIFS(Pedidos!$J$2:$J$2224,Pedidos!$E$2:$E$2224,$A53,Pedidos!$F$2:$F$2224,"0-20")-1,"")</f>
        <v>-0.279019355828809</v>
      </c>
      <c r="C53" s="27" t="n">
        <f aca="false">IFERROR(AVERAGEIFS(Pedidos!$K$2:$K$2224,Pedidos!$E$2:$E$2224,$A53,Pedidos!$F$2:$F$2224,"20-35")/AVERAGEIFS(Pedidos!$J$2:$J$2224,Pedidos!$E$2:$E$2224,$A53,Pedidos!$F$2:$F$2224,"20-35")-1,"")</f>
        <v>0.000506240314220419</v>
      </c>
      <c r="D53" s="27" t="n">
        <f aca="false">IFERROR(AVERAGEIFS(Pedidos!$K$2:$K$2224,Pedidos!$E$2:$E$2224,$A53,Pedidos!$F$2:$F$2224,"35-40")/AVERAGEIFS(Pedidos!$J$2:$J$2224,Pedidos!$E$2:$E$2224,$A53,Pedidos!$F$2:$F$2224,"35-40")-1,"")</f>
        <v>0.0190089000477667</v>
      </c>
      <c r="E53" s="27" t="n">
        <f aca="false">IFERROR(AVERAGEIFS(Pedidos!$K$2:$K$2224,Pedidos!$E$2:$E$2224,$A53,Pedidos!$F$2:$F$2224,"40-50")/AVERAGEIFS(Pedidos!$J$2:$J$2224,Pedidos!$E$2:$E$2224,$A53,Pedidos!$F$2:$F$2224,"40-50")-1,"")</f>
        <v>-0.0965257955683416</v>
      </c>
      <c r="F53" s="27" t="n">
        <f aca="false">IFERROR(AVERAGEIFS(Pedidos!$K$2:$K$2224,Pedidos!$E$2:$E$2224,$A53,Pedidos!$F$2:$F$2224,"50-60")/AVERAGEIFS(Pedidos!$J$2:$J$2224,Pedidos!$E$2:$E$2224,$A53,Pedidos!$F$2:$F$2224,"50-60")-1,"")</f>
        <v>-0.020317767865104</v>
      </c>
      <c r="G53" s="27" t="n">
        <f aca="false">IFERROR(AVERAGEIFS(Pedidos!$K$2:$K$2224,Pedidos!$E$2:$E$2224,$A53,Pedidos!$F$2:$F$2224,"60-70")/AVERAGEIFS(Pedidos!$J$2:$J$2224,Pedidos!$E$2:$E$2224,$A53,Pedidos!$F$2:$F$2224,"60-70")-1,"")</f>
        <v>0.0487098235789336</v>
      </c>
      <c r="H53" s="27" t="n">
        <f aca="false">IFERROR(AVERAGEIFS(Pedidos!$K$2:$K$2224,Pedidos!$E$2:$E$2224,$A53,Pedidos!$F$2:$F$2224,"70-80")/AVERAGEIFS(Pedidos!$J$2:$J$2224,Pedidos!$E$2:$E$2224,$A53,Pedidos!$F$2:$F$2224,"70-80")-1,"")</f>
        <v>-0.02599259425198</v>
      </c>
      <c r="I53" s="27" t="n">
        <f aca="false">IFERROR(AVERAGEIFS(Pedidos!$K$2:$K$2224,Pedidos!$E$2:$E$2224,$A53,Pedidos!$F$2:$F$2224,"80-100")/AVERAGEIFS(Pedidos!$J$2:$J$2224,Pedidos!$E$2:$E$2224,$A53,Pedidos!$F$2:$F$2224,"80-100")-1,"")</f>
        <v>0.0258337806089162</v>
      </c>
      <c r="J53" s="27" t="n">
        <f aca="false">IFERROR(AVERAGEIFS(Pedidos!$K$2:$K$2224,Pedidos!$E$2:$E$2224,$A53,Pedidos!$F$2:$F$2224,"100-120")/AVERAGEIFS(Pedidos!$J$2:$J$2224,Pedidos!$E$2:$E$2224,$A53,Pedidos!$F$2:$F$2224,"100-120")-1,"")</f>
        <v>0.0848809764823162</v>
      </c>
      <c r="K53" s="27" t="n">
        <f aca="false">IFERROR(AVERAGEIFS(Pedidos!$K$2:$K$2224,Pedidos!$E$2:$E$2224,$A53,Pedidos!$F$2:$F$2224,"120-150")/AVERAGEIFS(Pedidos!$J$2:$J$2224,Pedidos!$E$2:$E$2224,$A53,Pedidos!$F$2:$F$2224,"120-150")-1,"")</f>
        <v>0.0261081186890624</v>
      </c>
      <c r="L53" s="27" t="n">
        <f aca="false">IFERROR(AVERAGEIFS(Pedidos!$K$2:$K$2224,Pedidos!$E$2:$E$2224,$A53,Pedidos!$F$2:$F$2224,"150-170")/AVERAGEIFS(Pedidos!$J$2:$J$2224,Pedidos!$E$2:$E$2224,$A53,Pedidos!$F$2:$F$2224,"150-170")-1,"")</f>
        <v>0.0602150537634407</v>
      </c>
      <c r="M53" s="27" t="str">
        <f aca="false">IFERROR(AVERAGEIFS(Pedidos!$K$2:$K$2224,Pedidos!$E$2:$E$2224,$A53,Pedidos!$F$2:$F$2224,"170-200")/AVERAGEIFS(Pedidos!$J$2:$J$2224,Pedidos!$E$2:$E$2224,$A53,Pedidos!$F$2:$F$2224,"170-200")-1,"")</f>
        <v/>
      </c>
      <c r="N53" s="27" t="n">
        <f aca="false">IFERROR(AVERAGEIFS(Pedidos!$K$2:$K$2224,Pedidos!$E$2:$E$2224,$A53,Pedidos!$F$2:$F$2224,"200-250")/AVERAGEIFS(Pedidos!$J$2:$J$2224,Pedidos!$E$2:$E$2224,$A53,Pedidos!$F$2:$F$2224,"200-250")-1,"")</f>
        <v>0.179006505026612</v>
      </c>
      <c r="O53" s="27" t="str">
        <f aca="false">IFERROR(AVERAGEIFS(Pedidos!$K$2:$K$2224,Pedidos!$E$2:$E$2224,$A53,Pedidos!$F$2:$F$2224,"&gt;250")/AVERAGEIFS(Pedidos!$J$2:$J$2224,Pedidos!$E$2:$E$2224,$A53,Pedidos!$F$2:$F$2224,"&gt;250")-1,"")</f>
        <v/>
      </c>
      <c r="P53" s="27" t="n">
        <f aca="false">IFERROR(AVERAGEIFS(Pedidos!$K$2:$K$2224,Pedidos!$E$2:$E$2224,$A53)/AVERAGEIFS(Pedidos!$J$2:$J$2224,Pedidos!$E$2:$E$2224,$A53)-1,"")</f>
        <v>-0.0131955876702814</v>
      </c>
    </row>
    <row r="54" customFormat="false" ht="15" hidden="false" customHeight="false" outlineLevel="0" collapsed="false">
      <c r="A54" s="14" t="s">
        <v>79</v>
      </c>
      <c r="B54" s="27" t="n">
        <f aca="false">IFERROR(AVERAGEIFS(Pedidos!$K$2:$K$2224,Pedidos!$E$2:$E$2224,$A54,Pedidos!$F$2:$F$2224,"0-20")/AVERAGEIFS(Pedidos!$J$2:$J$2224,Pedidos!$E$2:$E$2224,$A54,Pedidos!$F$2:$F$2224,"0-20")-1,"")</f>
        <v>-0.24738082765846</v>
      </c>
      <c r="C54" s="27" t="n">
        <f aca="false">IFERROR(AVERAGEIFS(Pedidos!$K$2:$K$2224,Pedidos!$E$2:$E$2224,$A54,Pedidos!$F$2:$F$2224,"20-35")/AVERAGEIFS(Pedidos!$J$2:$J$2224,Pedidos!$E$2:$E$2224,$A54,Pedidos!$F$2:$F$2224,"20-35")-1,"")</f>
        <v>0.00247454994122953</v>
      </c>
      <c r="D54" s="27" t="n">
        <f aca="false">IFERROR(AVERAGEIFS(Pedidos!$K$2:$K$2224,Pedidos!$E$2:$E$2224,$A54,Pedidos!$F$2:$F$2224,"35-40")/AVERAGEIFS(Pedidos!$J$2:$J$2224,Pedidos!$E$2:$E$2224,$A54,Pedidos!$F$2:$F$2224,"35-40")-1,"")</f>
        <v>0.0116215965149877</v>
      </c>
      <c r="E54" s="27" t="n">
        <f aca="false">IFERROR(AVERAGEIFS(Pedidos!$K$2:$K$2224,Pedidos!$E$2:$E$2224,$A54,Pedidos!$F$2:$F$2224,"40-50")/AVERAGEIFS(Pedidos!$J$2:$J$2224,Pedidos!$E$2:$E$2224,$A54,Pedidos!$F$2:$F$2224,"40-50")-1,"")</f>
        <v>-0.0193424797772591</v>
      </c>
      <c r="F54" s="27" t="n">
        <f aca="false">IFERROR(AVERAGEIFS(Pedidos!$K$2:$K$2224,Pedidos!$E$2:$E$2224,$A54,Pedidos!$F$2:$F$2224,"50-60")/AVERAGEIFS(Pedidos!$J$2:$J$2224,Pedidos!$E$2:$E$2224,$A54,Pedidos!$F$2:$F$2224,"50-60")-1,"")</f>
        <v>-0.00560289301733641</v>
      </c>
      <c r="G54" s="27" t="n">
        <f aca="false">IFERROR(AVERAGEIFS(Pedidos!$K$2:$K$2224,Pedidos!$E$2:$E$2224,$A54,Pedidos!$F$2:$F$2224,"60-70")/AVERAGEIFS(Pedidos!$J$2:$J$2224,Pedidos!$E$2:$E$2224,$A54,Pedidos!$F$2:$F$2224,"60-70")-1,"")</f>
        <v>0.0648906617280434</v>
      </c>
      <c r="H54" s="27" t="n">
        <f aca="false">IFERROR(AVERAGEIFS(Pedidos!$K$2:$K$2224,Pedidos!$E$2:$E$2224,$A54,Pedidos!$F$2:$F$2224,"70-80")/AVERAGEIFS(Pedidos!$J$2:$J$2224,Pedidos!$E$2:$E$2224,$A54,Pedidos!$F$2:$F$2224,"70-80")-1,"")</f>
        <v>-0.0709047515730092</v>
      </c>
      <c r="I54" s="27" t="n">
        <f aca="false">IFERROR(AVERAGEIFS(Pedidos!$K$2:$K$2224,Pedidos!$E$2:$E$2224,$A54,Pedidos!$F$2:$F$2224,"80-100")/AVERAGEIFS(Pedidos!$J$2:$J$2224,Pedidos!$E$2:$E$2224,$A54,Pedidos!$F$2:$F$2224,"80-100")-1,"")</f>
        <v>0.0441652686200305</v>
      </c>
      <c r="J54" s="27" t="n">
        <f aca="false">IFERROR(AVERAGEIFS(Pedidos!$K$2:$K$2224,Pedidos!$E$2:$E$2224,$A54,Pedidos!$F$2:$F$2224,"100-120")/AVERAGEIFS(Pedidos!$J$2:$J$2224,Pedidos!$E$2:$E$2224,$A54,Pedidos!$F$2:$F$2224,"100-120")-1,"")</f>
        <v>0.0987888740634304</v>
      </c>
      <c r="K54" s="27" t="n">
        <f aca="false">IFERROR(AVERAGEIFS(Pedidos!$K$2:$K$2224,Pedidos!$E$2:$E$2224,$A54,Pedidos!$F$2:$F$2224,"120-150")/AVERAGEIFS(Pedidos!$J$2:$J$2224,Pedidos!$E$2:$E$2224,$A54,Pedidos!$F$2:$F$2224,"120-150")-1,"")</f>
        <v>0.0361032233906449</v>
      </c>
      <c r="L54" s="27" t="n">
        <f aca="false">IFERROR(AVERAGEIFS(Pedidos!$K$2:$K$2224,Pedidos!$E$2:$E$2224,$A54,Pedidos!$F$2:$F$2224,"150-170")/AVERAGEIFS(Pedidos!$J$2:$J$2224,Pedidos!$E$2:$E$2224,$A54,Pedidos!$F$2:$F$2224,"150-170")-1,"")</f>
        <v>0.0543165602002318</v>
      </c>
      <c r="M54" s="27" t="str">
        <f aca="false">IFERROR(AVERAGEIFS(Pedidos!$K$2:$K$2224,Pedidos!$E$2:$E$2224,$A54,Pedidos!$F$2:$F$2224,"170-200")/AVERAGEIFS(Pedidos!$J$2:$J$2224,Pedidos!$E$2:$E$2224,$A54,Pedidos!$F$2:$F$2224,"170-200")-1,"")</f>
        <v/>
      </c>
      <c r="N54" s="27" t="str">
        <f aca="false">IFERROR(AVERAGEIFS(Pedidos!$K$2:$K$2224,Pedidos!$E$2:$E$2224,$A54,Pedidos!$F$2:$F$2224,"200-250")/AVERAGEIFS(Pedidos!$J$2:$J$2224,Pedidos!$E$2:$E$2224,$A54,Pedidos!$F$2:$F$2224,"200-250")-1,"")</f>
        <v/>
      </c>
      <c r="O54" s="27" t="str">
        <f aca="false">IFERROR(AVERAGEIFS(Pedidos!$K$2:$K$2224,Pedidos!$E$2:$E$2224,$A54,Pedidos!$F$2:$F$2224,"&gt;250")/AVERAGEIFS(Pedidos!$J$2:$J$2224,Pedidos!$E$2:$E$2224,$A54,Pedidos!$F$2:$F$2224,"&gt;250")-1,"")</f>
        <v/>
      </c>
      <c r="P54" s="27" t="n">
        <f aca="false">IFERROR(AVERAGEIFS(Pedidos!$K$2:$K$2224,Pedidos!$E$2:$E$2224,$A54)/AVERAGEIFS(Pedidos!$J$2:$J$2224,Pedidos!$E$2:$E$2224,$A54)-1,"")</f>
        <v>0.00487314195485689</v>
      </c>
    </row>
    <row r="55" customFormat="false" ht="15" hidden="false" customHeight="false" outlineLevel="0" collapsed="false">
      <c r="A55" s="14" t="s">
        <v>80</v>
      </c>
      <c r="B55" s="27" t="n">
        <f aca="false">IFERROR(AVERAGEIFS(Pedidos!$K$2:$K$2224,Pedidos!$E$2:$E$2224,$A55,Pedidos!$F$2:$F$2224,"0-20")/AVERAGEIFS(Pedidos!$J$2:$J$2224,Pedidos!$E$2:$E$2224,$A55,Pedidos!$F$2:$F$2224,"0-20")-1,"")</f>
        <v>-0.376991932810255</v>
      </c>
      <c r="C55" s="27" t="n">
        <f aca="false">IFERROR(AVERAGEIFS(Pedidos!$K$2:$K$2224,Pedidos!$E$2:$E$2224,$A55,Pedidos!$F$2:$F$2224,"20-35")/AVERAGEIFS(Pedidos!$J$2:$J$2224,Pedidos!$E$2:$E$2224,$A55,Pedidos!$F$2:$F$2224,"20-35")-1,"")</f>
        <v>-0.189350425243436</v>
      </c>
      <c r="D55" s="27" t="n">
        <f aca="false">IFERROR(AVERAGEIFS(Pedidos!$K$2:$K$2224,Pedidos!$E$2:$E$2224,$A55,Pedidos!$F$2:$F$2224,"35-40")/AVERAGEIFS(Pedidos!$J$2:$J$2224,Pedidos!$E$2:$E$2224,$A55,Pedidos!$F$2:$F$2224,"35-40")-1,"")</f>
        <v>-0.170036292394656</v>
      </c>
      <c r="E55" s="27" t="n">
        <f aca="false">IFERROR(AVERAGEIFS(Pedidos!$K$2:$K$2224,Pedidos!$E$2:$E$2224,$A55,Pedidos!$F$2:$F$2224,"40-50")/AVERAGEIFS(Pedidos!$J$2:$J$2224,Pedidos!$E$2:$E$2224,$A55,Pedidos!$F$2:$F$2224,"40-50")-1,"")</f>
        <v>-0.197047781296562</v>
      </c>
      <c r="F55" s="27" t="n">
        <f aca="false">IFERROR(AVERAGEIFS(Pedidos!$K$2:$K$2224,Pedidos!$E$2:$E$2224,$A55,Pedidos!$F$2:$F$2224,"50-60")/AVERAGEIFS(Pedidos!$J$2:$J$2224,Pedidos!$E$2:$E$2224,$A55,Pedidos!$F$2:$F$2224,"50-60")-1,"")</f>
        <v>-0.127302481960701</v>
      </c>
      <c r="G55" s="27" t="n">
        <f aca="false">IFERROR(AVERAGEIFS(Pedidos!$K$2:$K$2224,Pedidos!$E$2:$E$2224,$A55,Pedidos!$F$2:$F$2224,"60-70")/AVERAGEIFS(Pedidos!$J$2:$J$2224,Pedidos!$E$2:$E$2224,$A55,Pedidos!$F$2:$F$2224,"60-70")-1,"")</f>
        <v>-0.0637360281550912</v>
      </c>
      <c r="H55" s="27" t="n">
        <f aca="false">IFERROR(AVERAGEIFS(Pedidos!$K$2:$K$2224,Pedidos!$E$2:$E$2224,$A55,Pedidos!$F$2:$F$2224,"70-80")/AVERAGEIFS(Pedidos!$J$2:$J$2224,Pedidos!$E$2:$E$2224,$A55,Pedidos!$F$2:$F$2224,"70-80")-1,"")</f>
        <v>-0.114340318966654</v>
      </c>
      <c r="I55" s="27" t="n">
        <f aca="false">IFERROR(AVERAGEIFS(Pedidos!$K$2:$K$2224,Pedidos!$E$2:$E$2224,$A55,Pedidos!$F$2:$F$2224,"80-100")/AVERAGEIFS(Pedidos!$J$2:$J$2224,Pedidos!$E$2:$E$2224,$A55,Pedidos!$F$2:$F$2224,"80-100")-1,"")</f>
        <v>-0.0324828658641939</v>
      </c>
      <c r="J55" s="27" t="n">
        <f aca="false">IFERROR(AVERAGEIFS(Pedidos!$K$2:$K$2224,Pedidos!$E$2:$E$2224,$A55,Pedidos!$F$2:$F$2224,"100-120")/AVERAGEIFS(Pedidos!$J$2:$J$2224,Pedidos!$E$2:$E$2224,$A55,Pedidos!$F$2:$F$2224,"100-120")-1,"")</f>
        <v>0.0315730222085764</v>
      </c>
      <c r="K55" s="27" t="n">
        <f aca="false">IFERROR(AVERAGEIFS(Pedidos!$K$2:$K$2224,Pedidos!$E$2:$E$2224,$A55,Pedidos!$F$2:$F$2224,"120-150")/AVERAGEIFS(Pedidos!$J$2:$J$2224,Pedidos!$E$2:$E$2224,$A55,Pedidos!$F$2:$F$2224,"120-150")-1,"")</f>
        <v>-0.0208155981926528</v>
      </c>
      <c r="L55" s="27" t="str">
        <f aca="false">IFERROR(AVERAGEIFS(Pedidos!$K$2:$K$2224,Pedidos!$E$2:$E$2224,$A55,Pedidos!$F$2:$F$2224,"150-170")/AVERAGEIFS(Pedidos!$J$2:$J$2224,Pedidos!$E$2:$E$2224,$A55,Pedidos!$F$2:$F$2224,"150-170")-1,"")</f>
        <v/>
      </c>
      <c r="M55" s="27" t="str">
        <f aca="false">IFERROR(AVERAGEIFS(Pedidos!$K$2:$K$2224,Pedidos!$E$2:$E$2224,$A55,Pedidos!$F$2:$F$2224,"170-200")/AVERAGEIFS(Pedidos!$J$2:$J$2224,Pedidos!$E$2:$E$2224,$A55,Pedidos!$F$2:$F$2224,"170-200")-1,"")</f>
        <v/>
      </c>
      <c r="N55" s="27" t="str">
        <f aca="false">IFERROR(AVERAGEIFS(Pedidos!$K$2:$K$2224,Pedidos!$E$2:$E$2224,$A55,Pedidos!$F$2:$F$2224,"200-250")/AVERAGEIFS(Pedidos!$J$2:$J$2224,Pedidos!$E$2:$E$2224,$A55,Pedidos!$F$2:$F$2224,"200-250")-1,"")</f>
        <v/>
      </c>
      <c r="O55" s="27" t="str">
        <f aca="false">IFERROR(AVERAGEIFS(Pedidos!$K$2:$K$2224,Pedidos!$E$2:$E$2224,$A55,Pedidos!$F$2:$F$2224,"&gt;250")/AVERAGEIFS(Pedidos!$J$2:$J$2224,Pedidos!$E$2:$E$2224,$A55,Pedidos!$F$2:$F$2224,"&gt;250")-1,"")</f>
        <v/>
      </c>
      <c r="P55" s="27" t="n">
        <f aca="false">IFERROR(AVERAGEIFS(Pedidos!$K$2:$K$2224,Pedidos!$E$2:$E$2224,$A55)/AVERAGEIFS(Pedidos!$J$2:$J$2224,Pedidos!$E$2:$E$2224,$A55)-1,"")</f>
        <v>-0.128629250560726</v>
      </c>
    </row>
    <row r="56" customFormat="false" ht="15" hidden="false" customHeight="false" outlineLevel="0" collapsed="false">
      <c r="A56" s="14" t="s">
        <v>81</v>
      </c>
      <c r="B56" s="27" t="n">
        <f aca="false">IFERROR(AVERAGEIFS(Pedidos!$K$2:$K$2224,Pedidos!$E$2:$E$2224,$A56,Pedidos!$F$2:$F$2224,"0-20")/AVERAGEIFS(Pedidos!$J$2:$J$2224,Pedidos!$E$2:$E$2224,$A56,Pedidos!$F$2:$F$2224,"0-20")-1,"")</f>
        <v>-0.378653617246396</v>
      </c>
      <c r="C56" s="27" t="n">
        <f aca="false">IFERROR(AVERAGEIFS(Pedidos!$K$2:$K$2224,Pedidos!$E$2:$E$2224,$A56,Pedidos!$F$2:$F$2224,"20-35")/AVERAGEIFS(Pedidos!$J$2:$J$2224,Pedidos!$E$2:$E$2224,$A56,Pedidos!$F$2:$F$2224,"20-35")-1,"")</f>
        <v>-0.190644961401924</v>
      </c>
      <c r="D56" s="27" t="n">
        <f aca="false">IFERROR(AVERAGEIFS(Pedidos!$K$2:$K$2224,Pedidos!$E$2:$E$2224,$A56,Pedidos!$F$2:$F$2224,"35-40")/AVERAGEIFS(Pedidos!$J$2:$J$2224,Pedidos!$E$2:$E$2224,$A56,Pedidos!$F$2:$F$2224,"35-40")-1,"")</f>
        <v>-0.168038955289951</v>
      </c>
      <c r="E56" s="27" t="n">
        <f aca="false">IFERROR(AVERAGEIFS(Pedidos!$K$2:$K$2224,Pedidos!$E$2:$E$2224,$A56,Pedidos!$F$2:$F$2224,"40-50")/AVERAGEIFS(Pedidos!$J$2:$J$2224,Pedidos!$E$2:$E$2224,$A56,Pedidos!$F$2:$F$2224,"40-50")-1,"")</f>
        <v>-0.197129247922763</v>
      </c>
      <c r="F56" s="27" t="n">
        <f aca="false">IFERROR(AVERAGEIFS(Pedidos!$K$2:$K$2224,Pedidos!$E$2:$E$2224,$A56,Pedidos!$F$2:$F$2224,"50-60")/AVERAGEIFS(Pedidos!$J$2:$J$2224,Pedidos!$E$2:$E$2224,$A56,Pedidos!$F$2:$F$2224,"50-60")-1,"")</f>
        <v>-0.124962578073417</v>
      </c>
      <c r="G56" s="27" t="n">
        <f aca="false">IFERROR(AVERAGEIFS(Pedidos!$K$2:$K$2224,Pedidos!$E$2:$E$2224,$A56,Pedidos!$F$2:$F$2224,"60-70")/AVERAGEIFS(Pedidos!$J$2:$J$2224,Pedidos!$E$2:$E$2224,$A56,Pedidos!$F$2:$F$2224,"60-70")-1,"")</f>
        <v>-0.0645437669570184</v>
      </c>
      <c r="H56" s="27" t="n">
        <f aca="false">IFERROR(AVERAGEIFS(Pedidos!$K$2:$K$2224,Pedidos!$E$2:$E$2224,$A56,Pedidos!$F$2:$F$2224,"70-80")/AVERAGEIFS(Pedidos!$J$2:$J$2224,Pedidos!$E$2:$E$2224,$A56,Pedidos!$F$2:$F$2224,"70-80")-1,"")</f>
        <v>-0.113902350575281</v>
      </c>
      <c r="I56" s="27" t="n">
        <f aca="false">IFERROR(AVERAGEIFS(Pedidos!$K$2:$K$2224,Pedidos!$E$2:$E$2224,$A56,Pedidos!$F$2:$F$2224,"80-100")/AVERAGEIFS(Pedidos!$J$2:$J$2224,Pedidos!$E$2:$E$2224,$A56,Pedidos!$F$2:$F$2224,"80-100")-1,"")</f>
        <v>-0.0285945586492035</v>
      </c>
      <c r="J56" s="27" t="n">
        <f aca="false">IFERROR(AVERAGEIFS(Pedidos!$K$2:$K$2224,Pedidos!$E$2:$E$2224,$A56,Pedidos!$F$2:$F$2224,"100-120")/AVERAGEIFS(Pedidos!$J$2:$J$2224,Pedidos!$E$2:$E$2224,$A56,Pedidos!$F$2:$F$2224,"100-120")-1,"")</f>
        <v>0.0298234500796926</v>
      </c>
      <c r="K56" s="27" t="n">
        <f aca="false">IFERROR(AVERAGEIFS(Pedidos!$K$2:$K$2224,Pedidos!$E$2:$E$2224,$A56,Pedidos!$F$2:$F$2224,"120-150")/AVERAGEIFS(Pedidos!$J$2:$J$2224,Pedidos!$E$2:$E$2224,$A56,Pedidos!$F$2:$F$2224,"120-150")-1,"")</f>
        <v>-0.0218724448078496</v>
      </c>
      <c r="L56" s="27" t="str">
        <f aca="false">IFERROR(AVERAGEIFS(Pedidos!$K$2:$K$2224,Pedidos!$E$2:$E$2224,$A56,Pedidos!$F$2:$F$2224,"150-170")/AVERAGEIFS(Pedidos!$J$2:$J$2224,Pedidos!$E$2:$E$2224,$A56,Pedidos!$F$2:$F$2224,"150-170")-1,"")</f>
        <v/>
      </c>
      <c r="M56" s="27" t="str">
        <f aca="false">IFERROR(AVERAGEIFS(Pedidos!$K$2:$K$2224,Pedidos!$E$2:$E$2224,$A56,Pedidos!$F$2:$F$2224,"170-200")/AVERAGEIFS(Pedidos!$J$2:$J$2224,Pedidos!$E$2:$E$2224,$A56,Pedidos!$F$2:$F$2224,"170-200")-1,"")</f>
        <v/>
      </c>
      <c r="N56" s="27" t="str">
        <f aca="false">IFERROR(AVERAGEIFS(Pedidos!$K$2:$K$2224,Pedidos!$E$2:$E$2224,$A56,Pedidos!$F$2:$F$2224,"200-250")/AVERAGEIFS(Pedidos!$J$2:$J$2224,Pedidos!$E$2:$E$2224,$A56,Pedidos!$F$2:$F$2224,"200-250")-1,"")</f>
        <v/>
      </c>
      <c r="O56" s="27" t="str">
        <f aca="false">IFERROR(AVERAGEIFS(Pedidos!$K$2:$K$2224,Pedidos!$E$2:$E$2224,$A56,Pedidos!$F$2:$F$2224,"&gt;250")/AVERAGEIFS(Pedidos!$J$2:$J$2224,Pedidos!$E$2:$E$2224,$A56,Pedidos!$F$2:$F$2224,"&gt;250")-1,"")</f>
        <v/>
      </c>
      <c r="P56" s="27" t="n">
        <f aca="false">IFERROR(AVERAGEIFS(Pedidos!$K$2:$K$2224,Pedidos!$E$2:$E$2224,$A56)/AVERAGEIFS(Pedidos!$J$2:$J$2224,Pedidos!$E$2:$E$2224,$A56)-1,"")</f>
        <v>-0.116352779350037</v>
      </c>
    </row>
    <row r="57" customFormat="false" ht="15" hidden="false" customHeight="false" outlineLevel="0" collapsed="false">
      <c r="A57" s="14" t="s">
        <v>82</v>
      </c>
      <c r="B57" s="27" t="n">
        <f aca="false">IFERROR(AVERAGEIFS(Pedidos!$K$2:$K$2224,Pedidos!$E$2:$E$2224,$A57,Pedidos!$F$2:$F$2224,"0-20")/AVERAGEIFS(Pedidos!$J$2:$J$2224,Pedidos!$E$2:$E$2224,$A57,Pedidos!$F$2:$F$2224,"0-20")-1,"")</f>
        <v>-0.235567970204842</v>
      </c>
      <c r="C57" s="27" t="n">
        <f aca="false">IFERROR(AVERAGEIFS(Pedidos!$K$2:$K$2224,Pedidos!$E$2:$E$2224,$A57,Pedidos!$F$2:$F$2224,"20-35")/AVERAGEIFS(Pedidos!$J$2:$J$2224,Pedidos!$E$2:$E$2224,$A57,Pedidos!$F$2:$F$2224,"20-35")-1,"")</f>
        <v>-0.00623360758811486</v>
      </c>
      <c r="D57" s="27" t="n">
        <f aca="false">IFERROR(AVERAGEIFS(Pedidos!$K$2:$K$2224,Pedidos!$E$2:$E$2224,$A57,Pedidos!$F$2:$F$2224,"35-40")/AVERAGEIFS(Pedidos!$J$2:$J$2224,Pedidos!$E$2:$E$2224,$A57,Pedidos!$F$2:$F$2224,"35-40")-1,"")</f>
        <v>0.0138228526070188</v>
      </c>
      <c r="E57" s="27" t="n">
        <f aca="false">IFERROR(AVERAGEIFS(Pedidos!$K$2:$K$2224,Pedidos!$E$2:$E$2224,$A57,Pedidos!$F$2:$F$2224,"40-50")/AVERAGEIFS(Pedidos!$J$2:$J$2224,Pedidos!$E$2:$E$2224,$A57,Pedidos!$F$2:$F$2224,"40-50")-1,"")</f>
        <v>-0.0161984206682489</v>
      </c>
      <c r="F57" s="27" t="n">
        <f aca="false">IFERROR(AVERAGEIFS(Pedidos!$K$2:$K$2224,Pedidos!$E$2:$E$2224,$A57,Pedidos!$F$2:$F$2224,"50-60")/AVERAGEIFS(Pedidos!$J$2:$J$2224,Pedidos!$E$2:$E$2224,$A57,Pedidos!$F$2:$F$2224,"50-60")-1,"")</f>
        <v>-0.00271169222702872</v>
      </c>
      <c r="G57" s="27" t="n">
        <f aca="false">IFERROR(AVERAGEIFS(Pedidos!$K$2:$K$2224,Pedidos!$E$2:$E$2224,$A57,Pedidos!$F$2:$F$2224,"60-70")/AVERAGEIFS(Pedidos!$J$2:$J$2224,Pedidos!$E$2:$E$2224,$A57,Pedidos!$F$2:$F$2224,"60-70")-1,"")</f>
        <v>0.0683804312316236</v>
      </c>
      <c r="H57" s="27" t="str">
        <f aca="false">IFERROR(AVERAGEIFS(Pedidos!$K$2:$K$2224,Pedidos!$E$2:$E$2224,$A57,Pedidos!$F$2:$F$2224,"70-80")/AVERAGEIFS(Pedidos!$J$2:$J$2224,Pedidos!$E$2:$E$2224,$A57,Pedidos!$F$2:$F$2224,"70-80")-1,"")</f>
        <v/>
      </c>
      <c r="I57" s="27" t="n">
        <f aca="false">IFERROR(AVERAGEIFS(Pedidos!$K$2:$K$2224,Pedidos!$E$2:$E$2224,$A57,Pedidos!$F$2:$F$2224,"80-100")/AVERAGEIFS(Pedidos!$J$2:$J$2224,Pedidos!$E$2:$E$2224,$A57,Pedidos!$F$2:$F$2224,"80-100")-1,"")</f>
        <v>0.0238723746126477</v>
      </c>
      <c r="J57" s="27" t="n">
        <f aca="false">IFERROR(AVERAGEIFS(Pedidos!$K$2:$K$2224,Pedidos!$E$2:$E$2224,$A57,Pedidos!$F$2:$F$2224,"100-120")/AVERAGEIFS(Pedidos!$J$2:$J$2224,Pedidos!$E$2:$E$2224,$A57,Pedidos!$F$2:$F$2224,"100-120")-1,"")</f>
        <v>0.0904507257448435</v>
      </c>
      <c r="K57" s="27" t="n">
        <f aca="false">IFERROR(AVERAGEIFS(Pedidos!$K$2:$K$2224,Pedidos!$E$2:$E$2224,$A57,Pedidos!$F$2:$F$2224,"120-150")/AVERAGEIFS(Pedidos!$J$2:$J$2224,Pedidos!$E$2:$E$2224,$A57,Pedidos!$F$2:$F$2224,"120-150")-1,"")</f>
        <v>0.0202802359882006</v>
      </c>
      <c r="L57" s="27" t="str">
        <f aca="false">IFERROR(AVERAGEIFS(Pedidos!$K$2:$K$2224,Pedidos!$E$2:$E$2224,$A57,Pedidos!$F$2:$F$2224,"150-170")/AVERAGEIFS(Pedidos!$J$2:$J$2224,Pedidos!$E$2:$E$2224,$A57,Pedidos!$F$2:$F$2224,"150-170")-1,"")</f>
        <v/>
      </c>
      <c r="M57" s="27" t="str">
        <f aca="false">IFERROR(AVERAGEIFS(Pedidos!$K$2:$K$2224,Pedidos!$E$2:$E$2224,$A57,Pedidos!$F$2:$F$2224,"170-200")/AVERAGEIFS(Pedidos!$J$2:$J$2224,Pedidos!$E$2:$E$2224,$A57,Pedidos!$F$2:$F$2224,"170-200")-1,"")</f>
        <v/>
      </c>
      <c r="N57" s="27" t="str">
        <f aca="false">IFERROR(AVERAGEIFS(Pedidos!$K$2:$K$2224,Pedidos!$E$2:$E$2224,$A57,Pedidos!$F$2:$F$2224,"200-250")/AVERAGEIFS(Pedidos!$J$2:$J$2224,Pedidos!$E$2:$E$2224,$A57,Pedidos!$F$2:$F$2224,"200-250")-1,"")</f>
        <v/>
      </c>
      <c r="O57" s="27" t="str">
        <f aca="false">IFERROR(AVERAGEIFS(Pedidos!$K$2:$K$2224,Pedidos!$E$2:$E$2224,$A57,Pedidos!$F$2:$F$2224,"&gt;250")/AVERAGEIFS(Pedidos!$J$2:$J$2224,Pedidos!$E$2:$E$2224,$A57,Pedidos!$F$2:$F$2224,"&gt;250")-1,"")</f>
        <v/>
      </c>
      <c r="P57" s="27" t="n">
        <f aca="false">IFERROR(AVERAGEIFS(Pedidos!$K$2:$K$2224,Pedidos!$E$2:$E$2224,$A57)/AVERAGEIFS(Pedidos!$J$2:$J$2224,Pedidos!$E$2:$E$2224,$A57)-1,"")</f>
        <v>0.00406313034551054</v>
      </c>
    </row>
    <row r="58" customFormat="false" ht="15" hidden="false" customHeight="false" outlineLevel="0" collapsed="false">
      <c r="A58" s="14" t="s">
        <v>83</v>
      </c>
      <c r="B58" s="27" t="str">
        <f aca="false">IFERROR(AVERAGEIFS(Pedidos!$K$2:$K$2224,Pedidos!$E$2:$E$2224,$A58,Pedidos!$F$2:$F$2224,"0-20")/AVERAGEIFS(Pedidos!$J$2:$J$2224,Pedidos!$E$2:$E$2224,$A58,Pedidos!$F$2:$F$2224,"0-20")-1,"")</f>
        <v/>
      </c>
      <c r="C58" s="27" t="n">
        <f aca="false">IFERROR(AVERAGEIFS(Pedidos!$K$2:$K$2224,Pedidos!$E$2:$E$2224,$A58,Pedidos!$F$2:$F$2224,"20-35")/AVERAGEIFS(Pedidos!$J$2:$J$2224,Pedidos!$E$2:$E$2224,$A58,Pedidos!$F$2:$F$2224,"20-35")-1,"")</f>
        <v>0.265703743957898</v>
      </c>
      <c r="D58" s="27" t="n">
        <f aca="false">IFERROR(AVERAGEIFS(Pedidos!$K$2:$K$2224,Pedidos!$E$2:$E$2224,$A58,Pedidos!$F$2:$F$2224,"35-40")/AVERAGEIFS(Pedidos!$J$2:$J$2224,Pedidos!$E$2:$E$2224,$A58,Pedidos!$F$2:$F$2224,"35-40")-1,"")</f>
        <v>0.159697590043983</v>
      </c>
      <c r="E58" s="27" t="n">
        <f aca="false">IFERROR(AVERAGEIFS(Pedidos!$K$2:$K$2224,Pedidos!$E$2:$E$2224,$A58,Pedidos!$F$2:$F$2224,"40-50")/AVERAGEIFS(Pedidos!$J$2:$J$2224,Pedidos!$E$2:$E$2224,$A58,Pedidos!$F$2:$F$2224,"40-50")-1,"")</f>
        <v>0.167010940249407</v>
      </c>
      <c r="F58" s="27" t="n">
        <f aca="false">IFERROR(AVERAGEIFS(Pedidos!$K$2:$K$2224,Pedidos!$E$2:$E$2224,$A58,Pedidos!$F$2:$F$2224,"50-60")/AVERAGEIFS(Pedidos!$J$2:$J$2224,Pedidos!$E$2:$E$2224,$A58,Pedidos!$F$2:$F$2224,"50-60")-1,"")</f>
        <v>0.134839854328135</v>
      </c>
      <c r="G58" s="27" t="n">
        <f aca="false">IFERROR(AVERAGEIFS(Pedidos!$K$2:$K$2224,Pedidos!$E$2:$E$2224,$A58,Pedidos!$F$2:$F$2224,"60-70")/AVERAGEIFS(Pedidos!$J$2:$J$2224,Pedidos!$E$2:$E$2224,$A58,Pedidos!$F$2:$F$2224,"60-70")-1,"")</f>
        <v>0.0990869774147043</v>
      </c>
      <c r="H58" s="27" t="str">
        <f aca="false">IFERROR(AVERAGEIFS(Pedidos!$K$2:$K$2224,Pedidos!$E$2:$E$2224,$A58,Pedidos!$F$2:$F$2224,"70-80")/AVERAGEIFS(Pedidos!$J$2:$J$2224,Pedidos!$E$2:$E$2224,$A58,Pedidos!$F$2:$F$2224,"70-80")-1,"")</f>
        <v/>
      </c>
      <c r="I58" s="27" t="n">
        <f aca="false">IFERROR(AVERAGEIFS(Pedidos!$K$2:$K$2224,Pedidos!$E$2:$E$2224,$A58,Pedidos!$F$2:$F$2224,"80-100")/AVERAGEIFS(Pedidos!$J$2:$J$2224,Pedidos!$E$2:$E$2224,$A58,Pedidos!$F$2:$F$2224,"80-100")-1,"")</f>
        <v>0.037067758826274</v>
      </c>
      <c r="J58" s="27" t="n">
        <f aca="false">IFERROR(AVERAGEIFS(Pedidos!$K$2:$K$2224,Pedidos!$E$2:$E$2224,$A58,Pedidos!$F$2:$F$2224,"100-120")/AVERAGEIFS(Pedidos!$J$2:$J$2224,Pedidos!$E$2:$E$2224,$A58,Pedidos!$F$2:$F$2224,"100-120")-1,"")</f>
        <v>0.0942105992699718</v>
      </c>
      <c r="K58" s="27" t="str">
        <f aca="false">IFERROR(AVERAGEIFS(Pedidos!$K$2:$K$2224,Pedidos!$E$2:$E$2224,$A58,Pedidos!$F$2:$F$2224,"120-150")/AVERAGEIFS(Pedidos!$J$2:$J$2224,Pedidos!$E$2:$E$2224,$A58,Pedidos!$F$2:$F$2224,"120-150")-1,"")</f>
        <v/>
      </c>
      <c r="L58" s="27" t="str">
        <f aca="false">IFERROR(AVERAGEIFS(Pedidos!$K$2:$K$2224,Pedidos!$E$2:$E$2224,$A58,Pedidos!$F$2:$F$2224,"150-170")/AVERAGEIFS(Pedidos!$J$2:$J$2224,Pedidos!$E$2:$E$2224,$A58,Pedidos!$F$2:$F$2224,"150-170")-1,"")</f>
        <v/>
      </c>
      <c r="M58" s="27" t="str">
        <f aca="false">IFERROR(AVERAGEIFS(Pedidos!$K$2:$K$2224,Pedidos!$E$2:$E$2224,$A58,Pedidos!$F$2:$F$2224,"170-200")/AVERAGEIFS(Pedidos!$J$2:$J$2224,Pedidos!$E$2:$E$2224,$A58,Pedidos!$F$2:$F$2224,"170-200")-1,"")</f>
        <v/>
      </c>
      <c r="N58" s="27" t="str">
        <f aca="false">IFERROR(AVERAGEIFS(Pedidos!$K$2:$K$2224,Pedidos!$E$2:$E$2224,$A58,Pedidos!$F$2:$F$2224,"200-250")/AVERAGEIFS(Pedidos!$J$2:$J$2224,Pedidos!$E$2:$E$2224,$A58,Pedidos!$F$2:$F$2224,"200-250")-1,"")</f>
        <v/>
      </c>
      <c r="O58" s="27" t="str">
        <f aca="false">IFERROR(AVERAGEIFS(Pedidos!$K$2:$K$2224,Pedidos!$E$2:$E$2224,$A58,Pedidos!$F$2:$F$2224,"&gt;250")/AVERAGEIFS(Pedidos!$J$2:$J$2224,Pedidos!$E$2:$E$2224,$A58,Pedidos!$F$2:$F$2224,"&gt;250")-1,"")</f>
        <v/>
      </c>
      <c r="P58" s="27" t="n">
        <f aca="false">IFERROR(AVERAGEIFS(Pedidos!$K$2:$K$2224,Pedidos!$E$2:$E$2224,$A58)/AVERAGEIFS(Pedidos!$J$2:$J$2224,Pedidos!$E$2:$E$2224,$A58)-1,"")</f>
        <v>0.159733098047866</v>
      </c>
    </row>
    <row r="59" customFormat="false" ht="15" hidden="false" customHeight="false" outlineLevel="0" collapsed="false">
      <c r="A59" s="14" t="s">
        <v>84</v>
      </c>
      <c r="B59" s="27" t="n">
        <f aca="false">IFERROR(AVERAGEIFS(Pedidos!$K$2:$K$2224,Pedidos!$E$2:$E$2224,$A59,Pedidos!$F$2:$F$2224,"0-20")/AVERAGEIFS(Pedidos!$J$2:$J$2224,Pedidos!$E$2:$E$2224,$A59,Pedidos!$F$2:$F$2224,"0-20")-1,"")</f>
        <v>-0.389909746120382</v>
      </c>
      <c r="C59" s="27" t="n">
        <f aca="false">IFERROR(AVERAGEIFS(Pedidos!$K$2:$K$2224,Pedidos!$E$2:$E$2224,$A59,Pedidos!$F$2:$F$2224,"20-35")/AVERAGEIFS(Pedidos!$J$2:$J$2224,Pedidos!$E$2:$E$2224,$A59,Pedidos!$F$2:$F$2224,"20-35")-1,"")</f>
        <v>-0.140871564426795</v>
      </c>
      <c r="D59" s="27" t="n">
        <f aca="false">IFERROR(AVERAGEIFS(Pedidos!$K$2:$K$2224,Pedidos!$E$2:$E$2224,$A59,Pedidos!$F$2:$F$2224,"35-40")/AVERAGEIFS(Pedidos!$J$2:$J$2224,Pedidos!$E$2:$E$2224,$A59,Pedidos!$F$2:$F$2224,"35-40")-1,"")</f>
        <v>-0.172884240174865</v>
      </c>
      <c r="E59" s="27" t="n">
        <f aca="false">IFERROR(AVERAGEIFS(Pedidos!$K$2:$K$2224,Pedidos!$E$2:$E$2224,$A59,Pedidos!$F$2:$F$2224,"40-50")/AVERAGEIFS(Pedidos!$J$2:$J$2224,Pedidos!$E$2:$E$2224,$A59,Pedidos!$F$2:$F$2224,"40-50")-1,"")</f>
        <v>-0.20347838148151</v>
      </c>
      <c r="F59" s="27" t="n">
        <f aca="false">IFERROR(AVERAGEIFS(Pedidos!$K$2:$K$2224,Pedidos!$E$2:$E$2224,$A59,Pedidos!$F$2:$F$2224,"50-60")/AVERAGEIFS(Pedidos!$J$2:$J$2224,Pedidos!$E$2:$E$2224,$A59,Pedidos!$F$2:$F$2224,"50-60")-1,"")</f>
        <v>-0.123806254291243</v>
      </c>
      <c r="G59" s="27" t="n">
        <f aca="false">IFERROR(AVERAGEIFS(Pedidos!$K$2:$K$2224,Pedidos!$E$2:$E$2224,$A59,Pedidos!$F$2:$F$2224,"60-70")/AVERAGEIFS(Pedidos!$J$2:$J$2224,Pedidos!$E$2:$E$2224,$A59,Pedidos!$F$2:$F$2224,"60-70")-1,"")</f>
        <v>-0.0652588236493166</v>
      </c>
      <c r="H59" s="27" t="n">
        <f aca="false">IFERROR(AVERAGEIFS(Pedidos!$K$2:$K$2224,Pedidos!$E$2:$E$2224,$A59,Pedidos!$F$2:$F$2224,"70-80")/AVERAGEIFS(Pedidos!$J$2:$J$2224,Pedidos!$E$2:$E$2224,$A59,Pedidos!$F$2:$F$2224,"70-80")-1,"")</f>
        <v>-0.114593170088943</v>
      </c>
      <c r="I59" s="27" t="n">
        <f aca="false">IFERROR(AVERAGEIFS(Pedidos!$K$2:$K$2224,Pedidos!$E$2:$E$2224,$A59,Pedidos!$F$2:$F$2224,"80-100")/AVERAGEIFS(Pedidos!$J$2:$J$2224,Pedidos!$E$2:$E$2224,$A59,Pedidos!$F$2:$F$2224,"80-100")-1,"")</f>
        <v>-0.0234842759983723</v>
      </c>
      <c r="J59" s="27" t="n">
        <f aca="false">IFERROR(AVERAGEIFS(Pedidos!$K$2:$K$2224,Pedidos!$E$2:$E$2224,$A59,Pedidos!$F$2:$F$2224,"100-120")/AVERAGEIFS(Pedidos!$J$2:$J$2224,Pedidos!$E$2:$E$2224,$A59,Pedidos!$F$2:$F$2224,"100-120")-1,"")</f>
        <v>0.0331326073030109</v>
      </c>
      <c r="K59" s="27" t="n">
        <f aca="false">IFERROR(AVERAGEIFS(Pedidos!$K$2:$K$2224,Pedidos!$E$2:$E$2224,$A59,Pedidos!$F$2:$F$2224,"120-150")/AVERAGEIFS(Pedidos!$J$2:$J$2224,Pedidos!$E$2:$E$2224,$A59,Pedidos!$F$2:$F$2224,"120-150")-1,"")</f>
        <v>-0.0406592084686634</v>
      </c>
      <c r="L59" s="27" t="str">
        <f aca="false">IFERROR(AVERAGEIFS(Pedidos!$K$2:$K$2224,Pedidos!$E$2:$E$2224,$A59,Pedidos!$F$2:$F$2224,"150-170")/AVERAGEIFS(Pedidos!$J$2:$J$2224,Pedidos!$E$2:$E$2224,$A59,Pedidos!$F$2:$F$2224,"150-170")-1,"")</f>
        <v/>
      </c>
      <c r="M59" s="27" t="str">
        <f aca="false">IFERROR(AVERAGEIFS(Pedidos!$K$2:$K$2224,Pedidos!$E$2:$E$2224,$A59,Pedidos!$F$2:$F$2224,"170-200")/AVERAGEIFS(Pedidos!$J$2:$J$2224,Pedidos!$E$2:$E$2224,$A59,Pedidos!$F$2:$F$2224,"170-200")-1,"")</f>
        <v/>
      </c>
      <c r="N59" s="27" t="str">
        <f aca="false">IFERROR(AVERAGEIFS(Pedidos!$K$2:$K$2224,Pedidos!$E$2:$E$2224,$A59,Pedidos!$F$2:$F$2224,"200-250")/AVERAGEIFS(Pedidos!$J$2:$J$2224,Pedidos!$E$2:$E$2224,$A59,Pedidos!$F$2:$F$2224,"200-250")-1,"")</f>
        <v/>
      </c>
      <c r="O59" s="27" t="str">
        <f aca="false">IFERROR(AVERAGEIFS(Pedidos!$K$2:$K$2224,Pedidos!$E$2:$E$2224,$A59,Pedidos!$F$2:$F$2224,"&gt;250")/AVERAGEIFS(Pedidos!$J$2:$J$2224,Pedidos!$E$2:$E$2224,$A59,Pedidos!$F$2:$F$2224,"&gt;250")-1,"")</f>
        <v/>
      </c>
      <c r="P59" s="27" t="n">
        <f aca="false">IFERROR(AVERAGEIFS(Pedidos!$K$2:$K$2224,Pedidos!$E$2:$E$2224,$A59)/AVERAGEIFS(Pedidos!$J$2:$J$2224,Pedidos!$E$2:$E$2224,$A59)-1,"")</f>
        <v>-0.131067381090085</v>
      </c>
    </row>
    <row r="60" customFormat="false" ht="15" hidden="false" customHeight="false" outlineLevel="0" collapsed="false">
      <c r="A60" s="14" t="s">
        <v>85</v>
      </c>
      <c r="B60" s="27" t="n">
        <f aca="false">IFERROR(AVERAGEIFS(Pedidos!$K$2:$K$2224,Pedidos!$E$2:$E$2224,$A60,Pedidos!$F$2:$F$2224,"0-20")/AVERAGEIFS(Pedidos!$J$2:$J$2224,Pedidos!$E$2:$E$2224,$A60,Pedidos!$F$2:$F$2224,"0-20")-1,"")</f>
        <v>0.555945810336177</v>
      </c>
      <c r="C60" s="27" t="n">
        <f aca="false">IFERROR(AVERAGEIFS(Pedidos!$K$2:$K$2224,Pedidos!$E$2:$E$2224,$A60,Pedidos!$F$2:$F$2224,"20-35")/AVERAGEIFS(Pedidos!$J$2:$J$2224,Pedidos!$E$2:$E$2224,$A60,Pedidos!$F$2:$F$2224,"20-35")-1,"")</f>
        <v>0.273300646824575</v>
      </c>
      <c r="D60" s="27" t="n">
        <f aca="false">IFERROR(AVERAGEIFS(Pedidos!$K$2:$K$2224,Pedidos!$E$2:$E$2224,$A60,Pedidos!$F$2:$F$2224,"35-40")/AVERAGEIFS(Pedidos!$J$2:$J$2224,Pedidos!$E$2:$E$2224,$A60,Pedidos!$F$2:$F$2224,"35-40")-1,"")</f>
        <v>0.16401513610286</v>
      </c>
      <c r="E60" s="27" t="n">
        <f aca="false">IFERROR(AVERAGEIFS(Pedidos!$K$2:$K$2224,Pedidos!$E$2:$E$2224,$A60,Pedidos!$F$2:$F$2224,"40-50")/AVERAGEIFS(Pedidos!$J$2:$J$2224,Pedidos!$E$2:$E$2224,$A60,Pedidos!$F$2:$F$2224,"40-50")-1,"")</f>
        <v>0.169325705962956</v>
      </c>
      <c r="F60" s="27" t="n">
        <f aca="false">IFERROR(AVERAGEIFS(Pedidos!$K$2:$K$2224,Pedidos!$E$2:$E$2224,$A60,Pedidos!$F$2:$F$2224,"50-60")/AVERAGEIFS(Pedidos!$J$2:$J$2224,Pedidos!$E$2:$E$2224,$A60,Pedidos!$F$2:$F$2224,"50-60")-1,"")</f>
        <v>0.130192939781515</v>
      </c>
      <c r="G60" s="27" t="n">
        <f aca="false">IFERROR(AVERAGEIFS(Pedidos!$K$2:$K$2224,Pedidos!$E$2:$E$2224,$A60,Pedidos!$F$2:$F$2224,"60-70")/AVERAGEIFS(Pedidos!$J$2:$J$2224,Pedidos!$E$2:$E$2224,$A60,Pedidos!$F$2:$F$2224,"60-70")-1,"")</f>
        <v>0.101804868649239</v>
      </c>
      <c r="H60" s="27" t="str">
        <f aca="false">IFERROR(AVERAGEIFS(Pedidos!$K$2:$K$2224,Pedidos!$E$2:$E$2224,$A60,Pedidos!$F$2:$F$2224,"70-80")/AVERAGEIFS(Pedidos!$J$2:$J$2224,Pedidos!$E$2:$E$2224,$A60,Pedidos!$F$2:$F$2224,"70-80")-1,"")</f>
        <v/>
      </c>
      <c r="I60" s="27" t="n">
        <f aca="false">IFERROR(AVERAGEIFS(Pedidos!$K$2:$K$2224,Pedidos!$E$2:$E$2224,$A60,Pedidos!$F$2:$F$2224,"80-100")/AVERAGEIFS(Pedidos!$J$2:$J$2224,Pedidos!$E$2:$E$2224,$A60,Pedidos!$F$2:$F$2224,"80-100")-1,"")</f>
        <v>0.0512559997197211</v>
      </c>
      <c r="J60" s="27" t="str">
        <f aca="false">IFERROR(AVERAGEIFS(Pedidos!$K$2:$K$2224,Pedidos!$E$2:$E$2224,$A60,Pedidos!$F$2:$F$2224,"100-120")/AVERAGEIFS(Pedidos!$J$2:$J$2224,Pedidos!$E$2:$E$2224,$A60,Pedidos!$F$2:$F$2224,"100-120")-1,"")</f>
        <v/>
      </c>
      <c r="K60" s="27" t="n">
        <f aca="false">IFERROR(AVERAGEIFS(Pedidos!$K$2:$K$2224,Pedidos!$E$2:$E$2224,$A60,Pedidos!$F$2:$F$2224,"120-150")/AVERAGEIFS(Pedidos!$J$2:$J$2224,Pedidos!$E$2:$E$2224,$A60,Pedidos!$F$2:$F$2224,"120-150")-1,"")</f>
        <v>0.031123708369996</v>
      </c>
      <c r="L60" s="27" t="str">
        <f aca="false">IFERROR(AVERAGEIFS(Pedidos!$K$2:$K$2224,Pedidos!$E$2:$E$2224,$A60,Pedidos!$F$2:$F$2224,"150-170")/AVERAGEIFS(Pedidos!$J$2:$J$2224,Pedidos!$E$2:$E$2224,$A60,Pedidos!$F$2:$F$2224,"150-170")-1,"")</f>
        <v/>
      </c>
      <c r="M60" s="27" t="n">
        <f aca="false">IFERROR(AVERAGEIFS(Pedidos!$K$2:$K$2224,Pedidos!$E$2:$E$2224,$A60,Pedidos!$F$2:$F$2224,"170-200")/AVERAGEIFS(Pedidos!$J$2:$J$2224,Pedidos!$E$2:$E$2224,$A60,Pedidos!$F$2:$F$2224,"170-200")-1,"")</f>
        <v>0.781168045188622</v>
      </c>
      <c r="N60" s="27" t="str">
        <f aca="false">IFERROR(AVERAGEIFS(Pedidos!$K$2:$K$2224,Pedidos!$E$2:$E$2224,$A60,Pedidos!$F$2:$F$2224,"200-250")/AVERAGEIFS(Pedidos!$J$2:$J$2224,Pedidos!$E$2:$E$2224,$A60,Pedidos!$F$2:$F$2224,"200-250")-1,"")</f>
        <v/>
      </c>
      <c r="O60" s="27" t="str">
        <f aca="false">IFERROR(AVERAGEIFS(Pedidos!$K$2:$K$2224,Pedidos!$E$2:$E$2224,$A60,Pedidos!$F$2:$F$2224,"&gt;250")/AVERAGEIFS(Pedidos!$J$2:$J$2224,Pedidos!$E$2:$E$2224,$A60,Pedidos!$F$2:$F$2224,"&gt;250")-1,"")</f>
        <v/>
      </c>
      <c r="P60" s="27" t="n">
        <f aca="false">IFERROR(AVERAGEIFS(Pedidos!$K$2:$K$2224,Pedidos!$E$2:$E$2224,$A60)/AVERAGEIFS(Pedidos!$J$2:$J$2224,Pedidos!$E$2:$E$2224,$A60)-1,"")</f>
        <v>0.15109567281574</v>
      </c>
    </row>
    <row r="61" customFormat="false" ht="15" hidden="false" customHeight="false" outlineLevel="0" collapsed="false">
      <c r="A61" s="14" t="s">
        <v>86</v>
      </c>
      <c r="B61" s="27" t="n">
        <f aca="false">IFERROR(AVERAGEIFS(Pedidos!$K$2:$K$2224,Pedidos!$E$2:$E$2224,$A61,Pedidos!$F$2:$F$2224,"0-20")/AVERAGEIFS(Pedidos!$J$2:$J$2224,Pedidos!$E$2:$E$2224,$A61,Pedidos!$F$2:$F$2224,"0-20")-1,"")</f>
        <v>-0.390266060999351</v>
      </c>
      <c r="C61" s="27" t="n">
        <f aca="false">IFERROR(AVERAGEIFS(Pedidos!$K$2:$K$2224,Pedidos!$E$2:$E$2224,$A61,Pedidos!$F$2:$F$2224,"20-35")/AVERAGEIFS(Pedidos!$J$2:$J$2224,Pedidos!$E$2:$E$2224,$A61,Pedidos!$F$2:$F$2224,"20-35")-1,"")</f>
        <v>-0.113600586548207</v>
      </c>
      <c r="D61" s="27" t="n">
        <f aca="false">IFERROR(AVERAGEIFS(Pedidos!$K$2:$K$2224,Pedidos!$E$2:$E$2224,$A61,Pedidos!$F$2:$F$2224,"35-40")/AVERAGEIFS(Pedidos!$J$2:$J$2224,Pedidos!$E$2:$E$2224,$A61,Pedidos!$F$2:$F$2224,"35-40")-1,"")</f>
        <v>-0.175918617907568</v>
      </c>
      <c r="E61" s="27" t="n">
        <f aca="false">IFERROR(AVERAGEIFS(Pedidos!$K$2:$K$2224,Pedidos!$E$2:$E$2224,$A61,Pedidos!$F$2:$F$2224,"40-50")/AVERAGEIFS(Pedidos!$J$2:$J$2224,Pedidos!$E$2:$E$2224,$A61,Pedidos!$F$2:$F$2224,"40-50")-1,"")</f>
        <v>-0.19594421151707</v>
      </c>
      <c r="F61" s="27" t="n">
        <f aca="false">IFERROR(AVERAGEIFS(Pedidos!$K$2:$K$2224,Pedidos!$E$2:$E$2224,$A61,Pedidos!$F$2:$F$2224,"50-60")/AVERAGEIFS(Pedidos!$J$2:$J$2224,Pedidos!$E$2:$E$2224,$A61,Pedidos!$F$2:$F$2224,"50-60")-1,"")</f>
        <v>-0.128115260478477</v>
      </c>
      <c r="G61" s="27" t="n">
        <f aca="false">IFERROR(AVERAGEIFS(Pedidos!$K$2:$K$2224,Pedidos!$E$2:$E$2224,$A61,Pedidos!$F$2:$F$2224,"60-70")/AVERAGEIFS(Pedidos!$J$2:$J$2224,Pedidos!$E$2:$E$2224,$A61,Pedidos!$F$2:$F$2224,"60-70")-1,"")</f>
        <v>-0.0598618710198224</v>
      </c>
      <c r="H61" s="27" t="str">
        <f aca="false">IFERROR(AVERAGEIFS(Pedidos!$K$2:$K$2224,Pedidos!$E$2:$E$2224,$A61,Pedidos!$F$2:$F$2224,"70-80")/AVERAGEIFS(Pedidos!$J$2:$J$2224,Pedidos!$E$2:$E$2224,$A61,Pedidos!$F$2:$F$2224,"70-80")-1,"")</f>
        <v/>
      </c>
      <c r="I61" s="27" t="n">
        <f aca="false">IFERROR(AVERAGEIFS(Pedidos!$K$2:$K$2224,Pedidos!$E$2:$E$2224,$A61,Pedidos!$F$2:$F$2224,"80-100")/AVERAGEIFS(Pedidos!$J$2:$J$2224,Pedidos!$E$2:$E$2224,$A61,Pedidos!$F$2:$F$2224,"80-100")-1,"")</f>
        <v>-0.0201808107319917</v>
      </c>
      <c r="J61" s="27" t="n">
        <f aca="false">IFERROR(AVERAGEIFS(Pedidos!$K$2:$K$2224,Pedidos!$E$2:$E$2224,$A61,Pedidos!$F$2:$F$2224,"100-120")/AVERAGEIFS(Pedidos!$J$2:$J$2224,Pedidos!$E$2:$E$2224,$A61,Pedidos!$F$2:$F$2224,"100-120")-1,"")</f>
        <v>0.0173092450545014</v>
      </c>
      <c r="K61" s="27" t="n">
        <f aca="false">IFERROR(AVERAGEIFS(Pedidos!$K$2:$K$2224,Pedidos!$E$2:$E$2224,$A61,Pedidos!$F$2:$F$2224,"120-150")/AVERAGEIFS(Pedidos!$J$2:$J$2224,Pedidos!$E$2:$E$2224,$A61,Pedidos!$F$2:$F$2224,"120-150")-1,"")</f>
        <v>0.00251414204902578</v>
      </c>
      <c r="L61" s="27" t="str">
        <f aca="false">IFERROR(AVERAGEIFS(Pedidos!$K$2:$K$2224,Pedidos!$E$2:$E$2224,$A61,Pedidos!$F$2:$F$2224,"150-170")/AVERAGEIFS(Pedidos!$J$2:$J$2224,Pedidos!$E$2:$E$2224,$A61,Pedidos!$F$2:$F$2224,"150-170")-1,"")</f>
        <v/>
      </c>
      <c r="M61" s="27" t="str">
        <f aca="false">IFERROR(AVERAGEIFS(Pedidos!$K$2:$K$2224,Pedidos!$E$2:$E$2224,$A61,Pedidos!$F$2:$F$2224,"170-200")/AVERAGEIFS(Pedidos!$J$2:$J$2224,Pedidos!$E$2:$E$2224,$A61,Pedidos!$F$2:$F$2224,"170-200")-1,"")</f>
        <v/>
      </c>
      <c r="N61" s="27" t="str">
        <f aca="false">IFERROR(AVERAGEIFS(Pedidos!$K$2:$K$2224,Pedidos!$E$2:$E$2224,$A61,Pedidos!$F$2:$F$2224,"200-250")/AVERAGEIFS(Pedidos!$J$2:$J$2224,Pedidos!$E$2:$E$2224,$A61,Pedidos!$F$2:$F$2224,"200-250")-1,"")</f>
        <v/>
      </c>
      <c r="O61" s="27" t="str">
        <f aca="false">IFERROR(AVERAGEIFS(Pedidos!$K$2:$K$2224,Pedidos!$E$2:$E$2224,$A61,Pedidos!$F$2:$F$2224,"&gt;250")/AVERAGEIFS(Pedidos!$J$2:$J$2224,Pedidos!$E$2:$E$2224,$A61,Pedidos!$F$2:$F$2224,"&gt;250")-1,"")</f>
        <v/>
      </c>
      <c r="P61" s="27" t="n">
        <f aca="false">IFERROR(AVERAGEIFS(Pedidos!$K$2:$K$2224,Pedidos!$E$2:$E$2224,$A61)/AVERAGEIFS(Pedidos!$J$2:$J$2224,Pedidos!$E$2:$E$2224,$A61)-1,"")</f>
        <v>-0.110106870604739</v>
      </c>
    </row>
    <row r="62" customFormat="false" ht="15" hidden="false" customHeight="false" outlineLevel="0" collapsed="false">
      <c r="A62" s="14" t="s">
        <v>87</v>
      </c>
      <c r="B62" s="27" t="str">
        <f aca="false">IFERROR(AVERAGEIFS(Pedidos!$K$2:$K$2224,Pedidos!$E$2:$E$2224,$A62,Pedidos!$F$2:$F$2224,"0-20")/AVERAGEIFS(Pedidos!$J$2:$J$2224,Pedidos!$E$2:$E$2224,$A62,Pedidos!$F$2:$F$2224,"0-20")-1,"")</f>
        <v/>
      </c>
      <c r="C62" s="27" t="n">
        <f aca="false">IFERROR(AVERAGEIFS(Pedidos!$K$2:$K$2224,Pedidos!$E$2:$E$2224,$A62,Pedidos!$F$2:$F$2224,"20-35")/AVERAGEIFS(Pedidos!$J$2:$J$2224,Pedidos!$E$2:$E$2224,$A62,Pedidos!$F$2:$F$2224,"20-35")-1,"")</f>
        <v>-0.0015939818584223</v>
      </c>
      <c r="D62" s="27" t="n">
        <f aca="false">IFERROR(AVERAGEIFS(Pedidos!$K$2:$K$2224,Pedidos!$E$2:$E$2224,$A62,Pedidos!$F$2:$F$2224,"35-40")/AVERAGEIFS(Pedidos!$J$2:$J$2224,Pedidos!$E$2:$E$2224,$A62,Pedidos!$F$2:$F$2224,"35-40")-1,"")</f>
        <v>0.0146739407535819</v>
      </c>
      <c r="E62" s="27" t="n">
        <f aca="false">IFERROR(AVERAGEIFS(Pedidos!$K$2:$K$2224,Pedidos!$E$2:$E$2224,$A62,Pedidos!$F$2:$F$2224,"40-50")/AVERAGEIFS(Pedidos!$J$2:$J$2224,Pedidos!$E$2:$E$2224,$A62,Pedidos!$F$2:$F$2224,"40-50")-1,"")</f>
        <v>-0.0533382044022286</v>
      </c>
      <c r="F62" s="27" t="n">
        <f aca="false">IFERROR(AVERAGEIFS(Pedidos!$K$2:$K$2224,Pedidos!$E$2:$E$2224,$A62,Pedidos!$F$2:$F$2224,"50-60")/AVERAGEIFS(Pedidos!$J$2:$J$2224,Pedidos!$E$2:$E$2224,$A62,Pedidos!$F$2:$F$2224,"50-60")-1,"")</f>
        <v>-0.00064200304951445</v>
      </c>
      <c r="G62" s="27" t="n">
        <f aca="false">IFERROR(AVERAGEIFS(Pedidos!$K$2:$K$2224,Pedidos!$E$2:$E$2224,$A62,Pedidos!$F$2:$F$2224,"60-70")/AVERAGEIFS(Pedidos!$J$2:$J$2224,Pedidos!$E$2:$E$2224,$A62,Pedidos!$F$2:$F$2224,"60-70")-1,"")</f>
        <v>0.0675573157089404</v>
      </c>
      <c r="H62" s="27" t="str">
        <f aca="false">IFERROR(AVERAGEIFS(Pedidos!$K$2:$K$2224,Pedidos!$E$2:$E$2224,$A62,Pedidos!$F$2:$F$2224,"70-80")/AVERAGEIFS(Pedidos!$J$2:$J$2224,Pedidos!$E$2:$E$2224,$A62,Pedidos!$F$2:$F$2224,"70-80")-1,"")</f>
        <v/>
      </c>
      <c r="I62" s="27" t="n">
        <f aca="false">IFERROR(AVERAGEIFS(Pedidos!$K$2:$K$2224,Pedidos!$E$2:$E$2224,$A62,Pedidos!$F$2:$F$2224,"80-100")/AVERAGEIFS(Pedidos!$J$2:$J$2224,Pedidos!$E$2:$E$2224,$A62,Pedidos!$F$2:$F$2224,"80-100")-1,"")</f>
        <v>0.0104449336951513</v>
      </c>
      <c r="J62" s="27" t="n">
        <f aca="false">IFERROR(AVERAGEIFS(Pedidos!$K$2:$K$2224,Pedidos!$E$2:$E$2224,$A62,Pedidos!$F$2:$F$2224,"100-120")/AVERAGEIFS(Pedidos!$J$2:$J$2224,Pedidos!$E$2:$E$2224,$A62,Pedidos!$F$2:$F$2224,"100-120")-1,"")</f>
        <v>0.0971507991660876</v>
      </c>
      <c r="K62" s="27" t="n">
        <f aca="false">IFERROR(AVERAGEIFS(Pedidos!$K$2:$K$2224,Pedidos!$E$2:$E$2224,$A62,Pedidos!$F$2:$F$2224,"120-150")/AVERAGEIFS(Pedidos!$J$2:$J$2224,Pedidos!$E$2:$E$2224,$A62,Pedidos!$F$2:$F$2224,"120-150")-1,"")</f>
        <v>0.0147126436781608</v>
      </c>
      <c r="L62" s="27" t="str">
        <f aca="false">IFERROR(AVERAGEIFS(Pedidos!$K$2:$K$2224,Pedidos!$E$2:$E$2224,$A62,Pedidos!$F$2:$F$2224,"150-170")/AVERAGEIFS(Pedidos!$J$2:$J$2224,Pedidos!$E$2:$E$2224,$A62,Pedidos!$F$2:$F$2224,"150-170")-1,"")</f>
        <v/>
      </c>
      <c r="M62" s="27" t="str">
        <f aca="false">IFERROR(AVERAGEIFS(Pedidos!$K$2:$K$2224,Pedidos!$E$2:$E$2224,$A62,Pedidos!$F$2:$F$2224,"170-200")/AVERAGEIFS(Pedidos!$J$2:$J$2224,Pedidos!$E$2:$E$2224,$A62,Pedidos!$F$2:$F$2224,"170-200")-1,"")</f>
        <v/>
      </c>
      <c r="N62" s="27" t="str">
        <f aca="false">IFERROR(AVERAGEIFS(Pedidos!$K$2:$K$2224,Pedidos!$E$2:$E$2224,$A62,Pedidos!$F$2:$F$2224,"200-250")/AVERAGEIFS(Pedidos!$J$2:$J$2224,Pedidos!$E$2:$E$2224,$A62,Pedidos!$F$2:$F$2224,"200-250")-1,"")</f>
        <v/>
      </c>
      <c r="O62" s="27" t="str">
        <f aca="false">IFERROR(AVERAGEIFS(Pedidos!$K$2:$K$2224,Pedidos!$E$2:$E$2224,$A62,Pedidos!$F$2:$F$2224,"&gt;250")/AVERAGEIFS(Pedidos!$J$2:$J$2224,Pedidos!$E$2:$E$2224,$A62,Pedidos!$F$2:$F$2224,"&gt;250")-1,"")</f>
        <v/>
      </c>
      <c r="P62" s="27" t="n">
        <f aca="false">IFERROR(AVERAGEIFS(Pedidos!$K$2:$K$2224,Pedidos!$E$2:$E$2224,$A62)/AVERAGEIFS(Pedidos!$J$2:$J$2224,Pedidos!$E$2:$E$2224,$A62)-1,"")</f>
        <v>0.0114040468352072</v>
      </c>
    </row>
    <row r="63" customFormat="false" ht="15" hidden="false" customHeight="false" outlineLevel="0" collapsed="false">
      <c r="A63" s="14" t="s">
        <v>88</v>
      </c>
      <c r="B63" s="27" t="n">
        <f aca="false">IFERROR(AVERAGEIFS(Pedidos!$K$2:$K$2224,Pedidos!$E$2:$E$2224,$A63,Pedidos!$F$2:$F$2224,"0-20")/AVERAGEIFS(Pedidos!$J$2:$J$2224,Pedidos!$E$2:$E$2224,$A63,Pedidos!$F$2:$F$2224,"0-20")-1,"")</f>
        <v>-0.0317129146672232</v>
      </c>
      <c r="C63" s="27" t="n">
        <f aca="false">IFERROR(AVERAGEIFS(Pedidos!$K$2:$K$2224,Pedidos!$E$2:$E$2224,$A63,Pedidos!$F$2:$F$2224,"20-35")/AVERAGEIFS(Pedidos!$J$2:$J$2224,Pedidos!$E$2:$E$2224,$A63,Pedidos!$F$2:$F$2224,"20-35")-1,"")</f>
        <v>-0.0035099499450616</v>
      </c>
      <c r="D63" s="27" t="n">
        <f aca="false">IFERROR(AVERAGEIFS(Pedidos!$K$2:$K$2224,Pedidos!$E$2:$E$2224,$A63,Pedidos!$F$2:$F$2224,"35-40")/AVERAGEIFS(Pedidos!$J$2:$J$2224,Pedidos!$E$2:$E$2224,$A63,Pedidos!$F$2:$F$2224,"35-40")-1,"")</f>
        <v>0.0057085563659296</v>
      </c>
      <c r="E63" s="27" t="n">
        <f aca="false">IFERROR(AVERAGEIFS(Pedidos!$K$2:$K$2224,Pedidos!$E$2:$E$2224,$A63,Pedidos!$F$2:$F$2224,"40-50")/AVERAGEIFS(Pedidos!$J$2:$J$2224,Pedidos!$E$2:$E$2224,$A63,Pedidos!$F$2:$F$2224,"40-50")-1,"")</f>
        <v>-0.051448508593817</v>
      </c>
      <c r="F63" s="27" t="n">
        <f aca="false">IFERROR(AVERAGEIFS(Pedidos!$K$2:$K$2224,Pedidos!$E$2:$E$2224,$A63,Pedidos!$F$2:$F$2224,"50-60")/AVERAGEIFS(Pedidos!$J$2:$J$2224,Pedidos!$E$2:$E$2224,$A63,Pedidos!$F$2:$F$2224,"50-60")-1,"")</f>
        <v>-0.00472431155591491</v>
      </c>
      <c r="G63" s="27" t="n">
        <f aca="false">IFERROR(AVERAGEIFS(Pedidos!$K$2:$K$2224,Pedidos!$E$2:$E$2224,$A63,Pedidos!$F$2:$F$2224,"60-70")/AVERAGEIFS(Pedidos!$J$2:$J$2224,Pedidos!$E$2:$E$2224,$A63,Pedidos!$F$2:$F$2224,"60-70")-1,"")</f>
        <v>0.0602432717172685</v>
      </c>
      <c r="H63" s="27" t="n">
        <f aca="false">IFERROR(AVERAGEIFS(Pedidos!$K$2:$K$2224,Pedidos!$E$2:$E$2224,$A63,Pedidos!$F$2:$F$2224,"70-80")/AVERAGEIFS(Pedidos!$J$2:$J$2224,Pedidos!$E$2:$E$2224,$A63,Pedidos!$F$2:$F$2224,"70-80")-1,"")</f>
        <v>-0.0602940301172549</v>
      </c>
      <c r="I63" s="27" t="n">
        <f aca="false">IFERROR(AVERAGEIFS(Pedidos!$K$2:$K$2224,Pedidos!$E$2:$E$2224,$A63,Pedidos!$F$2:$F$2224,"80-100")/AVERAGEIFS(Pedidos!$J$2:$J$2224,Pedidos!$E$2:$E$2224,$A63,Pedidos!$F$2:$F$2224,"80-100")-1,"")</f>
        <v>0.0217447579601346</v>
      </c>
      <c r="J63" s="27" t="str">
        <f aca="false">IFERROR(AVERAGEIFS(Pedidos!$K$2:$K$2224,Pedidos!$E$2:$E$2224,$A63,Pedidos!$F$2:$F$2224,"100-120")/AVERAGEIFS(Pedidos!$J$2:$J$2224,Pedidos!$E$2:$E$2224,$A63,Pedidos!$F$2:$F$2224,"100-120")-1,"")</f>
        <v/>
      </c>
      <c r="K63" s="27" t="str">
        <f aca="false">IFERROR(AVERAGEIFS(Pedidos!$K$2:$K$2224,Pedidos!$E$2:$E$2224,$A63,Pedidos!$F$2:$F$2224,"120-150")/AVERAGEIFS(Pedidos!$J$2:$J$2224,Pedidos!$E$2:$E$2224,$A63,Pedidos!$F$2:$F$2224,"120-150")-1,"")</f>
        <v/>
      </c>
      <c r="L63" s="27" t="str">
        <f aca="false">IFERROR(AVERAGEIFS(Pedidos!$K$2:$K$2224,Pedidos!$E$2:$E$2224,$A63,Pedidos!$F$2:$F$2224,"150-170")/AVERAGEIFS(Pedidos!$J$2:$J$2224,Pedidos!$E$2:$E$2224,$A63,Pedidos!$F$2:$F$2224,"150-170")-1,"")</f>
        <v/>
      </c>
      <c r="M63" s="27" t="str">
        <f aca="false">IFERROR(AVERAGEIFS(Pedidos!$K$2:$K$2224,Pedidos!$E$2:$E$2224,$A63,Pedidos!$F$2:$F$2224,"170-200")/AVERAGEIFS(Pedidos!$J$2:$J$2224,Pedidos!$E$2:$E$2224,$A63,Pedidos!$F$2:$F$2224,"170-200")-1,"")</f>
        <v/>
      </c>
      <c r="N63" s="27" t="str">
        <f aca="false">IFERROR(AVERAGEIFS(Pedidos!$K$2:$K$2224,Pedidos!$E$2:$E$2224,$A63,Pedidos!$F$2:$F$2224,"200-250")/AVERAGEIFS(Pedidos!$J$2:$J$2224,Pedidos!$E$2:$E$2224,$A63,Pedidos!$F$2:$F$2224,"200-250")-1,"")</f>
        <v/>
      </c>
      <c r="O63" s="27" t="str">
        <f aca="false">IFERROR(AVERAGEIFS(Pedidos!$K$2:$K$2224,Pedidos!$E$2:$E$2224,$A63,Pedidos!$F$2:$F$2224,"&gt;250")/AVERAGEIFS(Pedidos!$J$2:$J$2224,Pedidos!$E$2:$E$2224,$A63,Pedidos!$F$2:$F$2224,"&gt;250")-1,"")</f>
        <v/>
      </c>
      <c r="P63" s="27" t="n">
        <f aca="false">IFERROR(AVERAGEIFS(Pedidos!$K$2:$K$2224,Pedidos!$E$2:$E$2224,$A63)/AVERAGEIFS(Pedidos!$J$2:$J$2224,Pedidos!$E$2:$E$2224,$A63)-1,"")</f>
        <v>-0.0118222854944889</v>
      </c>
    </row>
    <row r="64" customFormat="false" ht="15" hidden="false" customHeight="false" outlineLevel="0" collapsed="false">
      <c r="A64" s="14" t="s">
        <v>89</v>
      </c>
      <c r="B64" s="27" t="str">
        <f aca="false">IFERROR(AVERAGEIFS(Pedidos!$K$2:$K$2224,Pedidos!$E$2:$E$2224,$A64,Pedidos!$F$2:$F$2224,"0-20")/AVERAGEIFS(Pedidos!$J$2:$J$2224,Pedidos!$E$2:$E$2224,$A64,Pedidos!$F$2:$F$2224,"0-20")-1,"")</f>
        <v/>
      </c>
      <c r="C64" s="27" t="n">
        <f aca="false">IFERROR(AVERAGEIFS(Pedidos!$K$2:$K$2224,Pedidos!$E$2:$E$2224,$A64,Pedidos!$F$2:$F$2224,"20-35")/AVERAGEIFS(Pedidos!$J$2:$J$2224,Pedidos!$E$2:$E$2224,$A64,Pedidos!$F$2:$F$2224,"20-35")-1,"")</f>
        <v>-0.00746023639282067</v>
      </c>
      <c r="D64" s="27" t="n">
        <f aca="false">IFERROR(AVERAGEIFS(Pedidos!$K$2:$K$2224,Pedidos!$E$2:$E$2224,$A64,Pedidos!$F$2:$F$2224,"35-40")/AVERAGEIFS(Pedidos!$J$2:$J$2224,Pedidos!$E$2:$E$2224,$A64,Pedidos!$F$2:$F$2224,"35-40")-1,"")</f>
        <v>0.0145069388611179</v>
      </c>
      <c r="E64" s="27" t="n">
        <f aca="false">IFERROR(AVERAGEIFS(Pedidos!$K$2:$K$2224,Pedidos!$E$2:$E$2224,$A64,Pedidos!$F$2:$F$2224,"40-50")/AVERAGEIFS(Pedidos!$J$2:$J$2224,Pedidos!$E$2:$E$2224,$A64,Pedidos!$F$2:$F$2224,"40-50")-1,"")</f>
        <v>-0.0593425431077946</v>
      </c>
      <c r="F64" s="27" t="n">
        <f aca="false">IFERROR(AVERAGEIFS(Pedidos!$K$2:$K$2224,Pedidos!$E$2:$E$2224,$A64,Pedidos!$F$2:$F$2224,"50-60")/AVERAGEIFS(Pedidos!$J$2:$J$2224,Pedidos!$E$2:$E$2224,$A64,Pedidos!$F$2:$F$2224,"50-60")-1,"")</f>
        <v>-0.0113348230308786</v>
      </c>
      <c r="G64" s="27" t="n">
        <f aca="false">IFERROR(AVERAGEIFS(Pedidos!$K$2:$K$2224,Pedidos!$E$2:$E$2224,$A64,Pedidos!$F$2:$F$2224,"60-70")/AVERAGEIFS(Pedidos!$J$2:$J$2224,Pedidos!$E$2:$E$2224,$A64,Pedidos!$F$2:$F$2224,"60-70")-1,"")</f>
        <v>0.0603448275862071</v>
      </c>
      <c r="H64" s="27" t="n">
        <f aca="false">IFERROR(AVERAGEIFS(Pedidos!$K$2:$K$2224,Pedidos!$E$2:$E$2224,$A64,Pedidos!$F$2:$F$2224,"70-80")/AVERAGEIFS(Pedidos!$J$2:$J$2224,Pedidos!$E$2:$E$2224,$A64,Pedidos!$F$2:$F$2224,"70-80")-1,"")</f>
        <v>-0.011960014280614</v>
      </c>
      <c r="I64" s="27" t="n">
        <f aca="false">IFERROR(AVERAGEIFS(Pedidos!$K$2:$K$2224,Pedidos!$E$2:$E$2224,$A64,Pedidos!$F$2:$F$2224,"80-100")/AVERAGEIFS(Pedidos!$J$2:$J$2224,Pedidos!$E$2:$E$2224,$A64,Pedidos!$F$2:$F$2224,"80-100")-1,"")</f>
        <v>0.024024491490245</v>
      </c>
      <c r="J64" s="27" t="n">
        <f aca="false">IFERROR(AVERAGEIFS(Pedidos!$K$2:$K$2224,Pedidos!$E$2:$E$2224,$A64,Pedidos!$F$2:$F$2224,"100-120")/AVERAGEIFS(Pedidos!$J$2:$J$2224,Pedidos!$E$2:$E$2224,$A64,Pedidos!$F$2:$F$2224,"100-120")-1,"")</f>
        <v>0.107463524130191</v>
      </c>
      <c r="K64" s="27" t="n">
        <f aca="false">IFERROR(AVERAGEIFS(Pedidos!$K$2:$K$2224,Pedidos!$E$2:$E$2224,$A64,Pedidos!$F$2:$F$2224,"120-150")/AVERAGEIFS(Pedidos!$J$2:$J$2224,Pedidos!$E$2:$E$2224,$A64,Pedidos!$F$2:$F$2224,"120-150")-1,"")</f>
        <v>0.0343561636702119</v>
      </c>
      <c r="L64" s="27" t="str">
        <f aca="false">IFERROR(AVERAGEIFS(Pedidos!$K$2:$K$2224,Pedidos!$E$2:$E$2224,$A64,Pedidos!$F$2:$F$2224,"150-170")/AVERAGEIFS(Pedidos!$J$2:$J$2224,Pedidos!$E$2:$E$2224,$A64,Pedidos!$F$2:$F$2224,"150-170")-1,"")</f>
        <v/>
      </c>
      <c r="M64" s="27" t="str">
        <f aca="false">IFERROR(AVERAGEIFS(Pedidos!$K$2:$K$2224,Pedidos!$E$2:$E$2224,$A64,Pedidos!$F$2:$F$2224,"170-200")/AVERAGEIFS(Pedidos!$J$2:$J$2224,Pedidos!$E$2:$E$2224,$A64,Pedidos!$F$2:$F$2224,"170-200")-1,"")</f>
        <v/>
      </c>
      <c r="N64" s="27" t="str">
        <f aca="false">IFERROR(AVERAGEIFS(Pedidos!$K$2:$K$2224,Pedidos!$E$2:$E$2224,$A64,Pedidos!$F$2:$F$2224,"200-250")/AVERAGEIFS(Pedidos!$J$2:$J$2224,Pedidos!$E$2:$E$2224,$A64,Pedidos!$F$2:$F$2224,"200-250")-1,"")</f>
        <v/>
      </c>
      <c r="O64" s="27" t="str">
        <f aca="false">IFERROR(AVERAGEIFS(Pedidos!$K$2:$K$2224,Pedidos!$E$2:$E$2224,$A64,Pedidos!$F$2:$F$2224,"&gt;250")/AVERAGEIFS(Pedidos!$J$2:$J$2224,Pedidos!$E$2:$E$2224,$A64,Pedidos!$F$2:$F$2224,"&gt;250")-1,"")</f>
        <v/>
      </c>
      <c r="P64" s="27" t="n">
        <f aca="false">IFERROR(AVERAGEIFS(Pedidos!$K$2:$K$2224,Pedidos!$E$2:$E$2224,$A64)/AVERAGEIFS(Pedidos!$J$2:$J$2224,Pedidos!$E$2:$E$2224,$A64)-1,"")</f>
        <v>0.0154968399132827</v>
      </c>
    </row>
    <row r="65" customFormat="false" ht="15" hidden="false" customHeight="false" outlineLevel="0" collapsed="false">
      <c r="A65" s="14" t="s">
        <v>90</v>
      </c>
      <c r="B65" s="27" t="str">
        <f aca="false">IFERROR(AVERAGEIFS(Pedidos!$K$2:$K$2224,Pedidos!$E$2:$E$2224,$A65,Pedidos!$F$2:$F$2224,"0-20")/AVERAGEIFS(Pedidos!$J$2:$J$2224,Pedidos!$E$2:$E$2224,$A65,Pedidos!$F$2:$F$2224,"0-20")-1,"")</f>
        <v/>
      </c>
      <c r="C65" s="27" t="n">
        <f aca="false">IFERROR(AVERAGEIFS(Pedidos!$K$2:$K$2224,Pedidos!$E$2:$E$2224,$A65,Pedidos!$F$2:$F$2224,"20-35")/AVERAGEIFS(Pedidos!$J$2:$J$2224,Pedidos!$E$2:$E$2224,$A65,Pedidos!$F$2:$F$2224,"20-35")-1,"")</f>
        <v>-0.0747010119595216</v>
      </c>
      <c r="D65" s="27" t="n">
        <f aca="false">IFERROR(AVERAGEIFS(Pedidos!$K$2:$K$2224,Pedidos!$E$2:$E$2224,$A65,Pedidos!$F$2:$F$2224,"35-40")/AVERAGEIFS(Pedidos!$J$2:$J$2224,Pedidos!$E$2:$E$2224,$A65,Pedidos!$F$2:$F$2224,"35-40")-1,"")</f>
        <v>-0.064338705551292</v>
      </c>
      <c r="E65" s="27" t="n">
        <f aca="false">IFERROR(AVERAGEIFS(Pedidos!$K$2:$K$2224,Pedidos!$E$2:$E$2224,$A65,Pedidos!$F$2:$F$2224,"40-50")/AVERAGEIFS(Pedidos!$J$2:$J$2224,Pedidos!$E$2:$E$2224,$A65,Pedidos!$F$2:$F$2224,"40-50")-1,"")</f>
        <v>-0.12799959541811</v>
      </c>
      <c r="F65" s="27" t="n">
        <f aca="false">IFERROR(AVERAGEIFS(Pedidos!$K$2:$K$2224,Pedidos!$E$2:$E$2224,$A65,Pedidos!$F$2:$F$2224,"50-60")/AVERAGEIFS(Pedidos!$J$2:$J$2224,Pedidos!$E$2:$E$2224,$A65,Pedidos!$F$2:$F$2224,"50-60")-1,"")</f>
        <v>-0.103383129832418</v>
      </c>
      <c r="G65" s="27" t="n">
        <f aca="false">IFERROR(AVERAGEIFS(Pedidos!$K$2:$K$2224,Pedidos!$E$2:$E$2224,$A65,Pedidos!$F$2:$F$2224,"60-70")/AVERAGEIFS(Pedidos!$J$2:$J$2224,Pedidos!$E$2:$E$2224,$A65,Pedidos!$F$2:$F$2224,"60-70")-1,"")</f>
        <v>-0.0440361497143831</v>
      </c>
      <c r="H65" s="27" t="n">
        <f aca="false">IFERROR(AVERAGEIFS(Pedidos!$K$2:$K$2224,Pedidos!$E$2:$E$2224,$A65,Pedidos!$F$2:$F$2224,"70-80")/AVERAGEIFS(Pedidos!$J$2:$J$2224,Pedidos!$E$2:$E$2224,$A65,Pedidos!$F$2:$F$2224,"70-80")-1,"")</f>
        <v>-0.153681963713981</v>
      </c>
      <c r="I65" s="27" t="str">
        <f aca="false">IFERROR(AVERAGEIFS(Pedidos!$K$2:$K$2224,Pedidos!$E$2:$E$2224,$A65,Pedidos!$F$2:$F$2224,"80-100")/AVERAGEIFS(Pedidos!$J$2:$J$2224,Pedidos!$E$2:$E$2224,$A65,Pedidos!$F$2:$F$2224,"80-100")-1,"")</f>
        <v/>
      </c>
      <c r="J65" s="27" t="n">
        <f aca="false">IFERROR(AVERAGEIFS(Pedidos!$K$2:$K$2224,Pedidos!$E$2:$E$2224,$A65,Pedidos!$F$2:$F$2224,"100-120")/AVERAGEIFS(Pedidos!$J$2:$J$2224,Pedidos!$E$2:$E$2224,$A65,Pedidos!$F$2:$F$2224,"100-120")-1,"")</f>
        <v>0.000420521446593769</v>
      </c>
      <c r="K65" s="27" t="n">
        <f aca="false">IFERROR(AVERAGEIFS(Pedidos!$K$2:$K$2224,Pedidos!$E$2:$E$2224,$A65,Pedidos!$F$2:$F$2224,"120-150")/AVERAGEIFS(Pedidos!$J$2:$J$2224,Pedidos!$E$2:$E$2224,$A65,Pedidos!$F$2:$F$2224,"120-150")-1,"")</f>
        <v>-0.0351912596533823</v>
      </c>
      <c r="L65" s="27" t="str">
        <f aca="false">IFERROR(AVERAGEIFS(Pedidos!$K$2:$K$2224,Pedidos!$E$2:$E$2224,$A65,Pedidos!$F$2:$F$2224,"150-170")/AVERAGEIFS(Pedidos!$J$2:$J$2224,Pedidos!$E$2:$E$2224,$A65,Pedidos!$F$2:$F$2224,"150-170")-1,"")</f>
        <v/>
      </c>
      <c r="M65" s="27" t="str">
        <f aca="false">IFERROR(AVERAGEIFS(Pedidos!$K$2:$K$2224,Pedidos!$E$2:$E$2224,$A65,Pedidos!$F$2:$F$2224,"170-200")/AVERAGEIFS(Pedidos!$J$2:$J$2224,Pedidos!$E$2:$E$2224,$A65,Pedidos!$F$2:$F$2224,"170-200")-1,"")</f>
        <v/>
      </c>
      <c r="N65" s="27" t="str">
        <f aca="false">IFERROR(AVERAGEIFS(Pedidos!$K$2:$K$2224,Pedidos!$E$2:$E$2224,$A65,Pedidos!$F$2:$F$2224,"200-250")/AVERAGEIFS(Pedidos!$J$2:$J$2224,Pedidos!$E$2:$E$2224,$A65,Pedidos!$F$2:$F$2224,"200-250")-1,"")</f>
        <v/>
      </c>
      <c r="O65" s="27" t="str">
        <f aca="false">IFERROR(AVERAGEIFS(Pedidos!$K$2:$K$2224,Pedidos!$E$2:$E$2224,$A65,Pedidos!$F$2:$F$2224,"&gt;250")/AVERAGEIFS(Pedidos!$J$2:$J$2224,Pedidos!$E$2:$E$2224,$A65,Pedidos!$F$2:$F$2224,"&gt;250")-1,"")</f>
        <v/>
      </c>
      <c r="P65" s="27" t="n">
        <f aca="false">IFERROR(AVERAGEIFS(Pedidos!$K$2:$K$2224,Pedidos!$E$2:$E$2224,$A65)/AVERAGEIFS(Pedidos!$J$2:$J$2224,Pedidos!$E$2:$E$2224,$A65)-1,"")</f>
        <v>-0.0741070951327196</v>
      </c>
    </row>
    <row r="66" customFormat="false" ht="15" hidden="false" customHeight="false" outlineLevel="0" collapsed="false">
      <c r="A66" s="14" t="s">
        <v>91</v>
      </c>
      <c r="B66" s="27" t="n">
        <f aca="false">IFERROR(AVERAGEIFS(Pedidos!$K$2:$K$2224,Pedidos!$E$2:$E$2224,$A66,Pedidos!$F$2:$F$2224,"0-20")/AVERAGEIFS(Pedidos!$J$2:$J$2224,Pedidos!$E$2:$E$2224,$A66,Pedidos!$F$2:$F$2224,"0-20")-1,"")</f>
        <v>0.263171098845961</v>
      </c>
      <c r="C66" s="27" t="n">
        <f aca="false">IFERROR(AVERAGEIFS(Pedidos!$K$2:$K$2224,Pedidos!$E$2:$E$2224,$A66,Pedidos!$F$2:$F$2224,"20-35")/AVERAGEIFS(Pedidos!$J$2:$J$2224,Pedidos!$E$2:$E$2224,$A66,Pedidos!$F$2:$F$2224,"20-35")-1,"")</f>
        <v>0.0583155336230388</v>
      </c>
      <c r="D66" s="27" t="n">
        <f aca="false">IFERROR(AVERAGEIFS(Pedidos!$K$2:$K$2224,Pedidos!$E$2:$E$2224,$A66,Pedidos!$F$2:$F$2224,"35-40")/AVERAGEIFS(Pedidos!$J$2:$J$2224,Pedidos!$E$2:$E$2224,$A66,Pedidos!$F$2:$F$2224,"35-40")-1,"")</f>
        <v>0.0150247087092534</v>
      </c>
      <c r="E66" s="27" t="n">
        <f aca="false">IFERROR(AVERAGEIFS(Pedidos!$K$2:$K$2224,Pedidos!$E$2:$E$2224,$A66,Pedidos!$F$2:$F$2224,"40-50")/AVERAGEIFS(Pedidos!$J$2:$J$2224,Pedidos!$E$2:$E$2224,$A66,Pedidos!$F$2:$F$2224,"40-50")-1,"")</f>
        <v>-0.0146830941191415</v>
      </c>
      <c r="F66" s="27" t="n">
        <f aca="false">IFERROR(AVERAGEIFS(Pedidos!$K$2:$K$2224,Pedidos!$E$2:$E$2224,$A66,Pedidos!$F$2:$F$2224,"50-60")/AVERAGEIFS(Pedidos!$J$2:$J$2224,Pedidos!$E$2:$E$2224,$A66,Pedidos!$F$2:$F$2224,"50-60")-1,"")</f>
        <v>-0.0208462332301341</v>
      </c>
      <c r="G66" s="27" t="n">
        <f aca="false">IFERROR(AVERAGEIFS(Pedidos!$K$2:$K$2224,Pedidos!$E$2:$E$2224,$A66,Pedidos!$F$2:$F$2224,"60-70")/AVERAGEIFS(Pedidos!$J$2:$J$2224,Pedidos!$E$2:$E$2224,$A66,Pedidos!$F$2:$F$2224,"60-70")-1,"")</f>
        <v>0.0651058370750481</v>
      </c>
      <c r="H66" s="27" t="str">
        <f aca="false">IFERROR(AVERAGEIFS(Pedidos!$K$2:$K$2224,Pedidos!$E$2:$E$2224,$A66,Pedidos!$F$2:$F$2224,"70-80")/AVERAGEIFS(Pedidos!$J$2:$J$2224,Pedidos!$E$2:$E$2224,$A66,Pedidos!$F$2:$F$2224,"70-80")-1,"")</f>
        <v/>
      </c>
      <c r="I66" s="27" t="str">
        <f aca="false">IFERROR(AVERAGEIFS(Pedidos!$K$2:$K$2224,Pedidos!$E$2:$E$2224,$A66,Pedidos!$F$2:$F$2224,"80-100")/AVERAGEIFS(Pedidos!$J$2:$J$2224,Pedidos!$E$2:$E$2224,$A66,Pedidos!$F$2:$F$2224,"80-100")-1,"")</f>
        <v/>
      </c>
      <c r="J66" s="27" t="str">
        <f aca="false">IFERROR(AVERAGEIFS(Pedidos!$K$2:$K$2224,Pedidos!$E$2:$E$2224,$A66,Pedidos!$F$2:$F$2224,"100-120")/AVERAGEIFS(Pedidos!$J$2:$J$2224,Pedidos!$E$2:$E$2224,$A66,Pedidos!$F$2:$F$2224,"100-120")-1,"")</f>
        <v/>
      </c>
      <c r="K66" s="27" t="str">
        <f aca="false">IFERROR(AVERAGEIFS(Pedidos!$K$2:$K$2224,Pedidos!$E$2:$E$2224,$A66,Pedidos!$F$2:$F$2224,"120-150")/AVERAGEIFS(Pedidos!$J$2:$J$2224,Pedidos!$E$2:$E$2224,$A66,Pedidos!$F$2:$F$2224,"120-150")-1,"")</f>
        <v/>
      </c>
      <c r="L66" s="27" t="str">
        <f aca="false">IFERROR(AVERAGEIFS(Pedidos!$K$2:$K$2224,Pedidos!$E$2:$E$2224,$A66,Pedidos!$F$2:$F$2224,"150-170")/AVERAGEIFS(Pedidos!$J$2:$J$2224,Pedidos!$E$2:$E$2224,$A66,Pedidos!$F$2:$F$2224,"150-170")-1,"")</f>
        <v/>
      </c>
      <c r="M66" s="27" t="str">
        <f aca="false">IFERROR(AVERAGEIFS(Pedidos!$K$2:$K$2224,Pedidos!$E$2:$E$2224,$A66,Pedidos!$F$2:$F$2224,"170-200")/AVERAGEIFS(Pedidos!$J$2:$J$2224,Pedidos!$E$2:$E$2224,$A66,Pedidos!$F$2:$F$2224,"170-200")-1,"")</f>
        <v/>
      </c>
      <c r="N66" s="27" t="str">
        <f aca="false">IFERROR(AVERAGEIFS(Pedidos!$K$2:$K$2224,Pedidos!$E$2:$E$2224,$A66,Pedidos!$F$2:$F$2224,"200-250")/AVERAGEIFS(Pedidos!$J$2:$J$2224,Pedidos!$E$2:$E$2224,$A66,Pedidos!$F$2:$F$2224,"200-250")-1,"")</f>
        <v/>
      </c>
      <c r="O66" s="27" t="str">
        <f aca="false">IFERROR(AVERAGEIFS(Pedidos!$K$2:$K$2224,Pedidos!$E$2:$E$2224,$A66,Pedidos!$F$2:$F$2224,"&gt;250")/AVERAGEIFS(Pedidos!$J$2:$J$2224,Pedidos!$E$2:$E$2224,$A66,Pedidos!$F$2:$F$2224,"&gt;250")-1,"")</f>
        <v/>
      </c>
      <c r="P66" s="27" t="n">
        <f aca="false">IFERROR(AVERAGEIFS(Pedidos!$K$2:$K$2224,Pedidos!$E$2:$E$2224,$A66)/AVERAGEIFS(Pedidos!$J$2:$J$2224,Pedidos!$E$2:$E$2224,$A66)-1,"")</f>
        <v>0.0249594133124336</v>
      </c>
    </row>
    <row r="67" customFormat="false" ht="15" hidden="false" customHeight="false" outlineLevel="0" collapsed="false">
      <c r="A67" s="14" t="s">
        <v>92</v>
      </c>
      <c r="B67" s="27" t="str">
        <f aca="false">IFERROR(AVERAGEIFS(Pedidos!$K$2:$K$2224,Pedidos!$E$2:$E$2224,$A67,Pedidos!$F$2:$F$2224,"0-20")/AVERAGEIFS(Pedidos!$J$2:$J$2224,Pedidos!$E$2:$E$2224,$A67,Pedidos!$F$2:$F$2224,"0-20")-1,"")</f>
        <v/>
      </c>
      <c r="C67" s="27" t="n">
        <f aca="false">IFERROR(AVERAGEIFS(Pedidos!$K$2:$K$2224,Pedidos!$E$2:$E$2224,$A67,Pedidos!$F$2:$F$2224,"20-35")/AVERAGEIFS(Pedidos!$J$2:$J$2224,Pedidos!$E$2:$E$2224,$A67,Pedidos!$F$2:$F$2224,"20-35")-1,"")</f>
        <v>0.0579194404393042</v>
      </c>
      <c r="D67" s="27" t="n">
        <f aca="false">IFERROR(AVERAGEIFS(Pedidos!$K$2:$K$2224,Pedidos!$E$2:$E$2224,$A67,Pedidos!$F$2:$F$2224,"35-40")/AVERAGEIFS(Pedidos!$J$2:$J$2224,Pedidos!$E$2:$E$2224,$A67,Pedidos!$F$2:$F$2224,"35-40")-1,"")</f>
        <v>0.0144773867297419</v>
      </c>
      <c r="E67" s="27" t="n">
        <f aca="false">IFERROR(AVERAGEIFS(Pedidos!$K$2:$K$2224,Pedidos!$E$2:$E$2224,$A67,Pedidos!$F$2:$F$2224,"40-50")/AVERAGEIFS(Pedidos!$J$2:$J$2224,Pedidos!$E$2:$E$2224,$A67,Pedidos!$F$2:$F$2224,"40-50")-1,"")</f>
        <v>-0.00592034445640477</v>
      </c>
      <c r="F67" s="27" t="n">
        <f aca="false">IFERROR(AVERAGEIFS(Pedidos!$K$2:$K$2224,Pedidos!$E$2:$E$2224,$A67,Pedidos!$F$2:$F$2224,"50-60")/AVERAGEIFS(Pedidos!$J$2:$J$2224,Pedidos!$E$2:$E$2224,$A67,Pedidos!$F$2:$F$2224,"50-60")-1,"")</f>
        <v>-0.00810779416889296</v>
      </c>
      <c r="G67" s="27" t="n">
        <f aca="false">IFERROR(AVERAGEIFS(Pedidos!$K$2:$K$2224,Pedidos!$E$2:$E$2224,$A67,Pedidos!$F$2:$F$2224,"60-70")/AVERAGEIFS(Pedidos!$J$2:$J$2224,Pedidos!$E$2:$E$2224,$A67,Pedidos!$F$2:$F$2224,"60-70")-1,"")</f>
        <v>0.0676854491287482</v>
      </c>
      <c r="H67" s="27" t="n">
        <f aca="false">IFERROR(AVERAGEIFS(Pedidos!$K$2:$K$2224,Pedidos!$E$2:$E$2224,$A67,Pedidos!$F$2:$F$2224,"70-80")/AVERAGEIFS(Pedidos!$J$2:$J$2224,Pedidos!$E$2:$E$2224,$A67,Pedidos!$F$2:$F$2224,"70-80")-1,"")</f>
        <v>-0.0123713792898351</v>
      </c>
      <c r="I67" s="27" t="n">
        <f aca="false">IFERROR(AVERAGEIFS(Pedidos!$K$2:$K$2224,Pedidos!$E$2:$E$2224,$A67,Pedidos!$F$2:$F$2224,"80-100")/AVERAGEIFS(Pedidos!$J$2:$J$2224,Pedidos!$E$2:$E$2224,$A67,Pedidos!$F$2:$F$2224,"80-100")-1,"")</f>
        <v>0.0261009722872145</v>
      </c>
      <c r="J67" s="27" t="str">
        <f aca="false">IFERROR(AVERAGEIFS(Pedidos!$K$2:$K$2224,Pedidos!$E$2:$E$2224,$A67,Pedidos!$F$2:$F$2224,"100-120")/AVERAGEIFS(Pedidos!$J$2:$J$2224,Pedidos!$E$2:$E$2224,$A67,Pedidos!$F$2:$F$2224,"100-120")-1,"")</f>
        <v/>
      </c>
      <c r="K67" s="27" t="str">
        <f aca="false">IFERROR(AVERAGEIFS(Pedidos!$K$2:$K$2224,Pedidos!$E$2:$E$2224,$A67,Pedidos!$F$2:$F$2224,"120-150")/AVERAGEIFS(Pedidos!$J$2:$J$2224,Pedidos!$E$2:$E$2224,$A67,Pedidos!$F$2:$F$2224,"120-150")-1,"")</f>
        <v/>
      </c>
      <c r="L67" s="27" t="str">
        <f aca="false">IFERROR(AVERAGEIFS(Pedidos!$K$2:$K$2224,Pedidos!$E$2:$E$2224,$A67,Pedidos!$F$2:$F$2224,"150-170")/AVERAGEIFS(Pedidos!$J$2:$J$2224,Pedidos!$E$2:$E$2224,$A67,Pedidos!$F$2:$F$2224,"150-170")-1,"")</f>
        <v/>
      </c>
      <c r="M67" s="27" t="str">
        <f aca="false">IFERROR(AVERAGEIFS(Pedidos!$K$2:$K$2224,Pedidos!$E$2:$E$2224,$A67,Pedidos!$F$2:$F$2224,"170-200")/AVERAGEIFS(Pedidos!$J$2:$J$2224,Pedidos!$E$2:$E$2224,$A67,Pedidos!$F$2:$F$2224,"170-200")-1,"")</f>
        <v/>
      </c>
      <c r="N67" s="27" t="str">
        <f aca="false">IFERROR(AVERAGEIFS(Pedidos!$K$2:$K$2224,Pedidos!$E$2:$E$2224,$A67,Pedidos!$F$2:$F$2224,"200-250")/AVERAGEIFS(Pedidos!$J$2:$J$2224,Pedidos!$E$2:$E$2224,$A67,Pedidos!$F$2:$F$2224,"200-250")-1,"")</f>
        <v/>
      </c>
      <c r="O67" s="27" t="str">
        <f aca="false">IFERROR(AVERAGEIFS(Pedidos!$K$2:$K$2224,Pedidos!$E$2:$E$2224,$A67,Pedidos!$F$2:$F$2224,"&gt;250")/AVERAGEIFS(Pedidos!$J$2:$J$2224,Pedidos!$E$2:$E$2224,$A67,Pedidos!$F$2:$F$2224,"&gt;250")-1,"")</f>
        <v/>
      </c>
      <c r="P67" s="27" t="n">
        <f aca="false">IFERROR(AVERAGEIFS(Pedidos!$K$2:$K$2224,Pedidos!$E$2:$E$2224,$A67)/AVERAGEIFS(Pedidos!$J$2:$J$2224,Pedidos!$E$2:$E$2224,$A67)-1,"")</f>
        <v>0.0284881124532155</v>
      </c>
    </row>
    <row r="68" customFormat="false" ht="15" hidden="false" customHeight="false" outlineLevel="0" collapsed="false">
      <c r="A68" s="14" t="s">
        <v>93</v>
      </c>
      <c r="B68" s="27" t="n">
        <f aca="false">IFERROR(AVERAGEIFS(Pedidos!$K$2:$K$2224,Pedidos!$E$2:$E$2224,$A68,Pedidos!$F$2:$F$2224,"0-20")/AVERAGEIFS(Pedidos!$J$2:$J$2224,Pedidos!$E$2:$E$2224,$A68,Pedidos!$F$2:$F$2224,"0-20")-1,"")</f>
        <v>-0.28000501127537</v>
      </c>
      <c r="C68" s="27" t="n">
        <f aca="false">IFERROR(AVERAGEIFS(Pedidos!$K$2:$K$2224,Pedidos!$E$2:$E$2224,$A68,Pedidos!$F$2:$F$2224,"20-35")/AVERAGEIFS(Pedidos!$J$2:$J$2224,Pedidos!$E$2:$E$2224,$A68,Pedidos!$F$2:$F$2224,"20-35")-1,"")</f>
        <v>-0.0821736551535337</v>
      </c>
      <c r="D68" s="27" t="n">
        <f aca="false">IFERROR(AVERAGEIFS(Pedidos!$K$2:$K$2224,Pedidos!$E$2:$E$2224,$A68,Pedidos!$F$2:$F$2224,"35-40")/AVERAGEIFS(Pedidos!$J$2:$J$2224,Pedidos!$E$2:$E$2224,$A68,Pedidos!$F$2:$F$2224,"35-40")-1,"")</f>
        <v>-0.0660293042277171</v>
      </c>
      <c r="E68" s="27" t="n">
        <f aca="false">IFERROR(AVERAGEIFS(Pedidos!$K$2:$K$2224,Pedidos!$E$2:$E$2224,$A68,Pedidos!$F$2:$F$2224,"40-50")/AVERAGEIFS(Pedidos!$J$2:$J$2224,Pedidos!$E$2:$E$2224,$A68,Pedidos!$F$2:$F$2224,"40-50")-1,"")</f>
        <v>-0.126842025305467</v>
      </c>
      <c r="F68" s="27" t="n">
        <f aca="false">IFERROR(AVERAGEIFS(Pedidos!$K$2:$K$2224,Pedidos!$E$2:$E$2224,$A68,Pedidos!$F$2:$F$2224,"50-60")/AVERAGEIFS(Pedidos!$J$2:$J$2224,Pedidos!$E$2:$E$2224,$A68,Pedidos!$F$2:$F$2224,"50-60")-1,"")</f>
        <v>-0.0969696969696972</v>
      </c>
      <c r="G68" s="27" t="n">
        <f aca="false">IFERROR(AVERAGEIFS(Pedidos!$K$2:$K$2224,Pedidos!$E$2:$E$2224,$A68,Pedidos!$F$2:$F$2224,"60-70")/AVERAGEIFS(Pedidos!$J$2:$J$2224,Pedidos!$E$2:$E$2224,$A68,Pedidos!$F$2:$F$2224,"60-70")-1,"")</f>
        <v>-0.046292555340549</v>
      </c>
      <c r="H68" s="27" t="str">
        <f aca="false">IFERROR(AVERAGEIFS(Pedidos!$K$2:$K$2224,Pedidos!$E$2:$E$2224,$A68,Pedidos!$F$2:$F$2224,"70-80")/AVERAGEIFS(Pedidos!$J$2:$J$2224,Pedidos!$E$2:$E$2224,$A68,Pedidos!$F$2:$F$2224,"70-80")-1,"")</f>
        <v/>
      </c>
      <c r="I68" s="27" t="str">
        <f aca="false">IFERROR(AVERAGEIFS(Pedidos!$K$2:$K$2224,Pedidos!$E$2:$E$2224,$A68,Pedidos!$F$2:$F$2224,"80-100")/AVERAGEIFS(Pedidos!$J$2:$J$2224,Pedidos!$E$2:$E$2224,$A68,Pedidos!$F$2:$F$2224,"80-100")-1,"")</f>
        <v/>
      </c>
      <c r="J68" s="27" t="str">
        <f aca="false">IFERROR(AVERAGEIFS(Pedidos!$K$2:$K$2224,Pedidos!$E$2:$E$2224,$A68,Pedidos!$F$2:$F$2224,"100-120")/AVERAGEIFS(Pedidos!$J$2:$J$2224,Pedidos!$E$2:$E$2224,$A68,Pedidos!$F$2:$F$2224,"100-120")-1,"")</f>
        <v/>
      </c>
      <c r="K68" s="27" t="n">
        <f aca="false">IFERROR(AVERAGEIFS(Pedidos!$K$2:$K$2224,Pedidos!$E$2:$E$2224,$A68,Pedidos!$F$2:$F$2224,"120-150")/AVERAGEIFS(Pedidos!$J$2:$J$2224,Pedidos!$E$2:$E$2224,$A68,Pedidos!$F$2:$F$2224,"120-150")-1,"")</f>
        <v>-0.0290470991890206</v>
      </c>
      <c r="L68" s="27" t="str">
        <f aca="false">IFERROR(AVERAGEIFS(Pedidos!$K$2:$K$2224,Pedidos!$E$2:$E$2224,$A68,Pedidos!$F$2:$F$2224,"150-170")/AVERAGEIFS(Pedidos!$J$2:$J$2224,Pedidos!$E$2:$E$2224,$A68,Pedidos!$F$2:$F$2224,"150-170")-1,"")</f>
        <v/>
      </c>
      <c r="M68" s="27" t="str">
        <f aca="false">IFERROR(AVERAGEIFS(Pedidos!$K$2:$K$2224,Pedidos!$E$2:$E$2224,$A68,Pedidos!$F$2:$F$2224,"170-200")/AVERAGEIFS(Pedidos!$J$2:$J$2224,Pedidos!$E$2:$E$2224,$A68,Pedidos!$F$2:$F$2224,"170-200")-1,"")</f>
        <v/>
      </c>
      <c r="N68" s="27" t="str">
        <f aca="false">IFERROR(AVERAGEIFS(Pedidos!$K$2:$K$2224,Pedidos!$E$2:$E$2224,$A68,Pedidos!$F$2:$F$2224,"200-250")/AVERAGEIFS(Pedidos!$J$2:$J$2224,Pedidos!$E$2:$E$2224,$A68,Pedidos!$F$2:$F$2224,"200-250")-1,"")</f>
        <v/>
      </c>
      <c r="O68" s="27" t="str">
        <f aca="false">IFERROR(AVERAGEIFS(Pedidos!$K$2:$K$2224,Pedidos!$E$2:$E$2224,$A68,Pedidos!$F$2:$F$2224,"&gt;250")/AVERAGEIFS(Pedidos!$J$2:$J$2224,Pedidos!$E$2:$E$2224,$A68,Pedidos!$F$2:$F$2224,"&gt;250")-1,"")</f>
        <v/>
      </c>
      <c r="P68" s="27" t="n">
        <f aca="false">IFERROR(AVERAGEIFS(Pedidos!$K$2:$K$2224,Pedidos!$E$2:$E$2224,$A68)/AVERAGEIFS(Pedidos!$J$2:$J$2224,Pedidos!$E$2:$E$2224,$A68)-1,"")</f>
        <v>-0.0860044864315994</v>
      </c>
    </row>
    <row r="69" customFormat="false" ht="15" hidden="false" customHeight="false" outlineLevel="0" collapsed="false">
      <c r="A69" s="14" t="s">
        <v>94</v>
      </c>
      <c r="B69" s="27" t="n">
        <f aca="false">IFERROR(AVERAGEIFS(Pedidos!$K$2:$K$2224,Pedidos!$E$2:$E$2224,$A69,Pedidos!$F$2:$F$2224,"0-20")/AVERAGEIFS(Pedidos!$J$2:$J$2224,Pedidos!$E$2:$E$2224,$A69,Pedidos!$F$2:$F$2224,"0-20")-1,"")</f>
        <v>-0.391293081109096</v>
      </c>
      <c r="C69" s="27" t="n">
        <f aca="false">IFERROR(AVERAGEIFS(Pedidos!$K$2:$K$2224,Pedidos!$E$2:$E$2224,$A69,Pedidos!$F$2:$F$2224,"20-35")/AVERAGEIFS(Pedidos!$J$2:$J$2224,Pedidos!$E$2:$E$2224,$A69,Pedidos!$F$2:$F$2224,"20-35")-1,"")</f>
        <v>-0.18842344269308</v>
      </c>
      <c r="D69" s="27" t="n">
        <f aca="false">IFERROR(AVERAGEIFS(Pedidos!$K$2:$K$2224,Pedidos!$E$2:$E$2224,$A69,Pedidos!$F$2:$F$2224,"35-40")/AVERAGEIFS(Pedidos!$J$2:$J$2224,Pedidos!$E$2:$E$2224,$A69,Pedidos!$F$2:$F$2224,"35-40")-1,"")</f>
        <v>-0.181003677944535</v>
      </c>
      <c r="E69" s="27" t="n">
        <f aca="false">IFERROR(AVERAGEIFS(Pedidos!$K$2:$K$2224,Pedidos!$E$2:$E$2224,$A69,Pedidos!$F$2:$F$2224,"40-50")/AVERAGEIFS(Pedidos!$J$2:$J$2224,Pedidos!$E$2:$E$2224,$A69,Pedidos!$F$2:$F$2224,"40-50")-1,"")</f>
        <v>-0.200745075358079</v>
      </c>
      <c r="F69" s="27" t="n">
        <f aca="false">IFERROR(AVERAGEIFS(Pedidos!$K$2:$K$2224,Pedidos!$E$2:$E$2224,$A69,Pedidos!$F$2:$F$2224,"50-60")/AVERAGEIFS(Pedidos!$J$2:$J$2224,Pedidos!$E$2:$E$2224,$A69,Pedidos!$F$2:$F$2224,"50-60")-1,"")</f>
        <v>-0.13807659835751</v>
      </c>
      <c r="G69" s="27" t="n">
        <f aca="false">IFERROR(AVERAGEIFS(Pedidos!$K$2:$K$2224,Pedidos!$E$2:$E$2224,$A69,Pedidos!$F$2:$F$2224,"60-70")/AVERAGEIFS(Pedidos!$J$2:$J$2224,Pedidos!$E$2:$E$2224,$A69,Pedidos!$F$2:$F$2224,"60-70")-1,"")</f>
        <v>-0.0787512304879763</v>
      </c>
      <c r="H69" s="27" t="str">
        <f aca="false">IFERROR(AVERAGEIFS(Pedidos!$K$2:$K$2224,Pedidos!$E$2:$E$2224,$A69,Pedidos!$F$2:$F$2224,"70-80")/AVERAGEIFS(Pedidos!$J$2:$J$2224,Pedidos!$E$2:$E$2224,$A69,Pedidos!$F$2:$F$2224,"70-80")-1,"")</f>
        <v/>
      </c>
      <c r="I69" s="27" t="str">
        <f aca="false">IFERROR(AVERAGEIFS(Pedidos!$K$2:$K$2224,Pedidos!$E$2:$E$2224,$A69,Pedidos!$F$2:$F$2224,"80-100")/AVERAGEIFS(Pedidos!$J$2:$J$2224,Pedidos!$E$2:$E$2224,$A69,Pedidos!$F$2:$F$2224,"80-100")-1,"")</f>
        <v/>
      </c>
      <c r="J69" s="27" t="n">
        <f aca="false">IFERROR(AVERAGEIFS(Pedidos!$K$2:$K$2224,Pedidos!$E$2:$E$2224,$A69,Pedidos!$F$2:$F$2224,"100-120")/AVERAGEIFS(Pedidos!$J$2:$J$2224,Pedidos!$E$2:$E$2224,$A69,Pedidos!$F$2:$F$2224,"100-120")-1,"")</f>
        <v>0.0385616032559697</v>
      </c>
      <c r="K69" s="27" t="str">
        <f aca="false">IFERROR(AVERAGEIFS(Pedidos!$K$2:$K$2224,Pedidos!$E$2:$E$2224,$A69,Pedidos!$F$2:$F$2224,"120-150")/AVERAGEIFS(Pedidos!$J$2:$J$2224,Pedidos!$E$2:$E$2224,$A69,Pedidos!$F$2:$F$2224,"120-150")-1,"")</f>
        <v/>
      </c>
      <c r="L69" s="27" t="str">
        <f aca="false">IFERROR(AVERAGEIFS(Pedidos!$K$2:$K$2224,Pedidos!$E$2:$E$2224,$A69,Pedidos!$F$2:$F$2224,"150-170")/AVERAGEIFS(Pedidos!$J$2:$J$2224,Pedidos!$E$2:$E$2224,$A69,Pedidos!$F$2:$F$2224,"150-170")-1,"")</f>
        <v/>
      </c>
      <c r="M69" s="27" t="str">
        <f aca="false">IFERROR(AVERAGEIFS(Pedidos!$K$2:$K$2224,Pedidos!$E$2:$E$2224,$A69,Pedidos!$F$2:$F$2224,"170-200")/AVERAGEIFS(Pedidos!$J$2:$J$2224,Pedidos!$E$2:$E$2224,$A69,Pedidos!$F$2:$F$2224,"170-200")-1,"")</f>
        <v/>
      </c>
      <c r="N69" s="27" t="str">
        <f aca="false">IFERROR(AVERAGEIFS(Pedidos!$K$2:$K$2224,Pedidos!$E$2:$E$2224,$A69,Pedidos!$F$2:$F$2224,"200-250")/AVERAGEIFS(Pedidos!$J$2:$J$2224,Pedidos!$E$2:$E$2224,$A69,Pedidos!$F$2:$F$2224,"200-250")-1,"")</f>
        <v/>
      </c>
      <c r="O69" s="27" t="str">
        <f aca="false">IFERROR(AVERAGEIFS(Pedidos!$K$2:$K$2224,Pedidos!$E$2:$E$2224,$A69,Pedidos!$F$2:$F$2224,"&gt;250")/AVERAGEIFS(Pedidos!$J$2:$J$2224,Pedidos!$E$2:$E$2224,$A69,Pedidos!$F$2:$F$2224,"&gt;250")-1,"")</f>
        <v/>
      </c>
      <c r="P69" s="27" t="n">
        <f aca="false">IFERROR(AVERAGEIFS(Pedidos!$K$2:$K$2224,Pedidos!$E$2:$E$2224,$A69)/AVERAGEIFS(Pedidos!$J$2:$J$2224,Pedidos!$E$2:$E$2224,$A69)-1,"")</f>
        <v>-0.139003158815463</v>
      </c>
    </row>
    <row r="70" customFormat="false" ht="15" hidden="false" customHeight="false" outlineLevel="0" collapsed="false">
      <c r="A70" s="14" t="s">
        <v>95</v>
      </c>
      <c r="B70" s="27" t="n">
        <f aca="false">IFERROR(AVERAGEIFS(Pedidos!$K$2:$K$2224,Pedidos!$E$2:$E$2224,$A70,Pedidos!$F$2:$F$2224,"0-20")/AVERAGEIFS(Pedidos!$J$2:$J$2224,Pedidos!$E$2:$E$2224,$A70,Pedidos!$F$2:$F$2224,"0-20")-1,"")</f>
        <v>0.104248062015504</v>
      </c>
      <c r="C70" s="27" t="n">
        <f aca="false">IFERROR(AVERAGEIFS(Pedidos!$K$2:$K$2224,Pedidos!$E$2:$E$2224,$A70,Pedidos!$F$2:$F$2224,"20-35")/AVERAGEIFS(Pedidos!$J$2:$J$2224,Pedidos!$E$2:$E$2224,$A70,Pedidos!$F$2:$F$2224,"20-35")-1,"")</f>
        <v>-0.0550993801605635</v>
      </c>
      <c r="D70" s="27" t="n">
        <f aca="false">IFERROR(AVERAGEIFS(Pedidos!$K$2:$K$2224,Pedidos!$E$2:$E$2224,$A70,Pedidos!$F$2:$F$2224,"35-40")/AVERAGEIFS(Pedidos!$J$2:$J$2224,Pedidos!$E$2:$E$2224,$A70,Pedidos!$F$2:$F$2224,"35-40")-1,"")</f>
        <v>-0.120670709372838</v>
      </c>
      <c r="E70" s="27" t="n">
        <f aca="false">IFERROR(AVERAGEIFS(Pedidos!$K$2:$K$2224,Pedidos!$E$2:$E$2224,$A70,Pedidos!$F$2:$F$2224,"40-50")/AVERAGEIFS(Pedidos!$J$2:$J$2224,Pedidos!$E$2:$E$2224,$A70,Pedidos!$F$2:$F$2224,"40-50")-1,"")</f>
        <v>-0.102820189033023</v>
      </c>
      <c r="F70" s="27" t="n">
        <f aca="false">IFERROR(AVERAGEIFS(Pedidos!$K$2:$K$2224,Pedidos!$E$2:$E$2224,$A70,Pedidos!$F$2:$F$2224,"50-60")/AVERAGEIFS(Pedidos!$J$2:$J$2224,Pedidos!$E$2:$E$2224,$A70,Pedidos!$F$2:$F$2224,"50-60")-1,"")</f>
        <v>-0.107371231817862</v>
      </c>
      <c r="G70" s="27" t="n">
        <f aca="false">IFERROR(AVERAGEIFS(Pedidos!$K$2:$K$2224,Pedidos!$E$2:$E$2224,$A70,Pedidos!$F$2:$F$2224,"60-70")/AVERAGEIFS(Pedidos!$J$2:$J$2224,Pedidos!$E$2:$E$2224,$A70,Pedidos!$F$2:$F$2224,"60-70")-1,"")</f>
        <v>-0.123346603313214</v>
      </c>
      <c r="H70" s="27" t="str">
        <f aca="false">IFERROR(AVERAGEIFS(Pedidos!$K$2:$K$2224,Pedidos!$E$2:$E$2224,$A70,Pedidos!$F$2:$F$2224,"70-80")/AVERAGEIFS(Pedidos!$J$2:$J$2224,Pedidos!$E$2:$E$2224,$A70,Pedidos!$F$2:$F$2224,"70-80")-1,"")</f>
        <v/>
      </c>
      <c r="I70" s="27" t="n">
        <f aca="false">IFERROR(AVERAGEIFS(Pedidos!$K$2:$K$2224,Pedidos!$E$2:$E$2224,$A70,Pedidos!$F$2:$F$2224,"80-100")/AVERAGEIFS(Pedidos!$J$2:$J$2224,Pedidos!$E$2:$E$2224,$A70,Pedidos!$F$2:$F$2224,"80-100")-1,"")</f>
        <v>-0.130711513583441</v>
      </c>
      <c r="J70" s="27" t="str">
        <f aca="false">IFERROR(AVERAGEIFS(Pedidos!$K$2:$K$2224,Pedidos!$E$2:$E$2224,$A70,Pedidos!$F$2:$F$2224,"100-120")/AVERAGEIFS(Pedidos!$J$2:$J$2224,Pedidos!$E$2:$E$2224,$A70,Pedidos!$F$2:$F$2224,"100-120")-1,"")</f>
        <v/>
      </c>
      <c r="K70" s="27" t="str">
        <f aca="false">IFERROR(AVERAGEIFS(Pedidos!$K$2:$K$2224,Pedidos!$E$2:$E$2224,$A70,Pedidos!$F$2:$F$2224,"120-150")/AVERAGEIFS(Pedidos!$J$2:$J$2224,Pedidos!$E$2:$E$2224,$A70,Pedidos!$F$2:$F$2224,"120-150")-1,"")</f>
        <v/>
      </c>
      <c r="L70" s="27" t="str">
        <f aca="false">IFERROR(AVERAGEIFS(Pedidos!$K$2:$K$2224,Pedidos!$E$2:$E$2224,$A70,Pedidos!$F$2:$F$2224,"150-170")/AVERAGEIFS(Pedidos!$J$2:$J$2224,Pedidos!$E$2:$E$2224,$A70,Pedidos!$F$2:$F$2224,"150-170")-1,"")</f>
        <v/>
      </c>
      <c r="M70" s="27" t="str">
        <f aca="false">IFERROR(AVERAGEIFS(Pedidos!$K$2:$K$2224,Pedidos!$E$2:$E$2224,$A70,Pedidos!$F$2:$F$2224,"170-200")/AVERAGEIFS(Pedidos!$J$2:$J$2224,Pedidos!$E$2:$E$2224,$A70,Pedidos!$F$2:$F$2224,"170-200")-1,"")</f>
        <v/>
      </c>
      <c r="N70" s="27" t="str">
        <f aca="false">IFERROR(AVERAGEIFS(Pedidos!$K$2:$K$2224,Pedidos!$E$2:$E$2224,$A70,Pedidos!$F$2:$F$2224,"200-250")/AVERAGEIFS(Pedidos!$J$2:$J$2224,Pedidos!$E$2:$E$2224,$A70,Pedidos!$F$2:$F$2224,"200-250")-1,"")</f>
        <v/>
      </c>
      <c r="O70" s="27" t="str">
        <f aca="false">IFERROR(AVERAGEIFS(Pedidos!$K$2:$K$2224,Pedidos!$E$2:$E$2224,$A70,Pedidos!$F$2:$F$2224,"&gt;250")/AVERAGEIFS(Pedidos!$J$2:$J$2224,Pedidos!$E$2:$E$2224,$A70,Pedidos!$F$2:$F$2224,"&gt;250")-1,"")</f>
        <v/>
      </c>
      <c r="P70" s="27" t="n">
        <f aca="false">IFERROR(AVERAGEIFS(Pedidos!$K$2:$K$2224,Pedidos!$E$2:$E$2224,$A70)/AVERAGEIFS(Pedidos!$J$2:$J$2224,Pedidos!$E$2:$E$2224,$A70)-1,"")</f>
        <v>-0.0809309430018491</v>
      </c>
    </row>
    <row r="71" customFormat="false" ht="15" hidden="false" customHeight="false" outlineLevel="0" collapsed="false">
      <c r="A71" s="14" t="s">
        <v>96</v>
      </c>
      <c r="B71" s="27" t="str">
        <f aca="false">IFERROR(AVERAGEIFS(Pedidos!$K$2:$K$2224,Pedidos!$E$2:$E$2224,$A71,Pedidos!$F$2:$F$2224,"0-20")/AVERAGEIFS(Pedidos!$J$2:$J$2224,Pedidos!$E$2:$E$2224,$A71,Pedidos!$F$2:$F$2224,"0-20")-1,"")</f>
        <v/>
      </c>
      <c r="C71" s="27" t="n">
        <f aca="false">IFERROR(AVERAGEIFS(Pedidos!$K$2:$K$2224,Pedidos!$E$2:$E$2224,$A71,Pedidos!$F$2:$F$2224,"20-35")/AVERAGEIFS(Pedidos!$J$2:$J$2224,Pedidos!$E$2:$E$2224,$A71,Pedidos!$F$2:$F$2224,"20-35")-1,"")</f>
        <v>0.0994742950774903</v>
      </c>
      <c r="D71" s="27" t="n">
        <f aca="false">IFERROR(AVERAGEIFS(Pedidos!$K$2:$K$2224,Pedidos!$E$2:$E$2224,$A71,Pedidos!$F$2:$F$2224,"35-40")/AVERAGEIFS(Pedidos!$J$2:$J$2224,Pedidos!$E$2:$E$2224,$A71,Pedidos!$F$2:$F$2224,"35-40")-1,"")</f>
        <v>0.0212160624288733</v>
      </c>
      <c r="E71" s="27" t="n">
        <f aca="false">IFERROR(AVERAGEIFS(Pedidos!$K$2:$K$2224,Pedidos!$E$2:$E$2224,$A71,Pedidos!$F$2:$F$2224,"40-50")/AVERAGEIFS(Pedidos!$J$2:$J$2224,Pedidos!$E$2:$E$2224,$A71,Pedidos!$F$2:$F$2224,"40-50")-1,"")</f>
        <v>0.0310585091152047</v>
      </c>
      <c r="F71" s="27" t="n">
        <f aca="false">IFERROR(AVERAGEIFS(Pedidos!$K$2:$K$2224,Pedidos!$E$2:$E$2224,$A71,Pedidos!$F$2:$F$2224,"50-60")/AVERAGEIFS(Pedidos!$J$2:$J$2224,Pedidos!$E$2:$E$2224,$A71,Pedidos!$F$2:$F$2224,"50-60")-1,"")</f>
        <v>0.0130844178602305</v>
      </c>
      <c r="G71" s="27" t="str">
        <f aca="false">IFERROR(AVERAGEIFS(Pedidos!$K$2:$K$2224,Pedidos!$E$2:$E$2224,$A71,Pedidos!$F$2:$F$2224,"60-70")/AVERAGEIFS(Pedidos!$J$2:$J$2224,Pedidos!$E$2:$E$2224,$A71,Pedidos!$F$2:$F$2224,"60-70")-1,"")</f>
        <v/>
      </c>
      <c r="H71" s="27" t="str">
        <f aca="false">IFERROR(AVERAGEIFS(Pedidos!$K$2:$K$2224,Pedidos!$E$2:$E$2224,$A71,Pedidos!$F$2:$F$2224,"70-80")/AVERAGEIFS(Pedidos!$J$2:$J$2224,Pedidos!$E$2:$E$2224,$A71,Pedidos!$F$2:$F$2224,"70-80")-1,"")</f>
        <v/>
      </c>
      <c r="I71" s="27" t="n">
        <f aca="false">IFERROR(AVERAGEIFS(Pedidos!$K$2:$K$2224,Pedidos!$E$2:$E$2224,$A71,Pedidos!$F$2:$F$2224,"80-100")/AVERAGEIFS(Pedidos!$J$2:$J$2224,Pedidos!$E$2:$E$2224,$A71,Pedidos!$F$2:$F$2224,"80-100")-1,"")</f>
        <v>0.0189487814952498</v>
      </c>
      <c r="J71" s="27" t="n">
        <f aca="false">IFERROR(AVERAGEIFS(Pedidos!$K$2:$K$2224,Pedidos!$E$2:$E$2224,$A71,Pedidos!$F$2:$F$2224,"100-120")/AVERAGEIFS(Pedidos!$J$2:$J$2224,Pedidos!$E$2:$E$2224,$A71,Pedidos!$F$2:$F$2224,"100-120")-1,"")</f>
        <v>0.0933518005540166</v>
      </c>
      <c r="K71" s="27" t="n">
        <f aca="false">IFERROR(AVERAGEIFS(Pedidos!$K$2:$K$2224,Pedidos!$E$2:$E$2224,$A71,Pedidos!$F$2:$F$2224,"120-150")/AVERAGEIFS(Pedidos!$J$2:$J$2224,Pedidos!$E$2:$E$2224,$A71,Pedidos!$F$2:$F$2224,"120-150")-1,"")</f>
        <v>0.0278462344517105</v>
      </c>
      <c r="L71" s="27" t="str">
        <f aca="false">IFERROR(AVERAGEIFS(Pedidos!$K$2:$K$2224,Pedidos!$E$2:$E$2224,$A71,Pedidos!$F$2:$F$2224,"150-170")/AVERAGEIFS(Pedidos!$J$2:$J$2224,Pedidos!$E$2:$E$2224,$A71,Pedidos!$F$2:$F$2224,"150-170")-1,"")</f>
        <v/>
      </c>
      <c r="M71" s="27" t="str">
        <f aca="false">IFERROR(AVERAGEIFS(Pedidos!$K$2:$K$2224,Pedidos!$E$2:$E$2224,$A71,Pedidos!$F$2:$F$2224,"170-200")/AVERAGEIFS(Pedidos!$J$2:$J$2224,Pedidos!$E$2:$E$2224,$A71,Pedidos!$F$2:$F$2224,"170-200")-1,"")</f>
        <v/>
      </c>
      <c r="N71" s="27" t="str">
        <f aca="false">IFERROR(AVERAGEIFS(Pedidos!$K$2:$K$2224,Pedidos!$E$2:$E$2224,$A71,Pedidos!$F$2:$F$2224,"200-250")/AVERAGEIFS(Pedidos!$J$2:$J$2224,Pedidos!$E$2:$E$2224,$A71,Pedidos!$F$2:$F$2224,"200-250")-1,"")</f>
        <v/>
      </c>
      <c r="O71" s="27" t="str">
        <f aca="false">IFERROR(AVERAGEIFS(Pedidos!$K$2:$K$2224,Pedidos!$E$2:$E$2224,$A71,Pedidos!$F$2:$F$2224,"&gt;250")/AVERAGEIFS(Pedidos!$J$2:$J$2224,Pedidos!$E$2:$E$2224,$A71,Pedidos!$F$2:$F$2224,"&gt;250")-1,"")</f>
        <v/>
      </c>
      <c r="P71" s="27" t="n">
        <f aca="false">IFERROR(AVERAGEIFS(Pedidos!$K$2:$K$2224,Pedidos!$E$2:$E$2224,$A71)/AVERAGEIFS(Pedidos!$J$2:$J$2224,Pedidos!$E$2:$E$2224,$A71)-1,"")</f>
        <v>0.0415686245308871</v>
      </c>
    </row>
    <row r="72" customFormat="false" ht="15" hidden="false" customHeight="false" outlineLevel="0" collapsed="false">
      <c r="A72" s="14" t="s">
        <v>97</v>
      </c>
      <c r="B72" s="27" t="str">
        <f aca="false">IFERROR(AVERAGEIFS(Pedidos!$K$2:$K$2224,Pedidos!$E$2:$E$2224,$A72,Pedidos!$F$2:$F$2224,"0-20")/AVERAGEIFS(Pedidos!$J$2:$J$2224,Pedidos!$E$2:$E$2224,$A72,Pedidos!$F$2:$F$2224,"0-20")-1,"")</f>
        <v/>
      </c>
      <c r="C72" s="27" t="n">
        <f aca="false">IFERROR(AVERAGEIFS(Pedidos!$K$2:$K$2224,Pedidos!$E$2:$E$2224,$A72,Pedidos!$F$2:$F$2224,"20-35")/AVERAGEIFS(Pedidos!$J$2:$J$2224,Pedidos!$E$2:$E$2224,$A72,Pedidos!$F$2:$F$2224,"20-35")-1,"")</f>
        <v>0.0567523672356205</v>
      </c>
      <c r="D72" s="27" t="n">
        <f aca="false">IFERROR(AVERAGEIFS(Pedidos!$K$2:$K$2224,Pedidos!$E$2:$E$2224,$A72,Pedidos!$F$2:$F$2224,"35-40")/AVERAGEIFS(Pedidos!$J$2:$J$2224,Pedidos!$E$2:$E$2224,$A72,Pedidos!$F$2:$F$2224,"35-40")-1,"")</f>
        <v>0.0115896059533975</v>
      </c>
      <c r="E72" s="27" t="n">
        <f aca="false">IFERROR(AVERAGEIFS(Pedidos!$K$2:$K$2224,Pedidos!$E$2:$E$2224,$A72,Pedidos!$F$2:$F$2224,"40-50")/AVERAGEIFS(Pedidos!$J$2:$J$2224,Pedidos!$E$2:$E$2224,$A72,Pedidos!$F$2:$F$2224,"40-50")-1,"")</f>
        <v>-0.00894294401717055</v>
      </c>
      <c r="F72" s="27" t="n">
        <f aca="false">IFERROR(AVERAGEIFS(Pedidos!$K$2:$K$2224,Pedidos!$E$2:$E$2224,$A72,Pedidos!$F$2:$F$2224,"50-60")/AVERAGEIFS(Pedidos!$J$2:$J$2224,Pedidos!$E$2:$E$2224,$A72,Pedidos!$F$2:$F$2224,"50-60")-1,"")</f>
        <v>-0.0236227674998285</v>
      </c>
      <c r="G72" s="27" t="n">
        <f aca="false">IFERROR(AVERAGEIFS(Pedidos!$K$2:$K$2224,Pedidos!$E$2:$E$2224,$A72,Pedidos!$F$2:$F$2224,"60-70")/AVERAGEIFS(Pedidos!$J$2:$J$2224,Pedidos!$E$2:$E$2224,$A72,Pedidos!$F$2:$F$2224,"60-70")-1,"")</f>
        <v>0.0685098989725661</v>
      </c>
      <c r="H72" s="27" t="str">
        <f aca="false">IFERROR(AVERAGEIFS(Pedidos!$K$2:$K$2224,Pedidos!$E$2:$E$2224,$A72,Pedidos!$F$2:$F$2224,"70-80")/AVERAGEIFS(Pedidos!$J$2:$J$2224,Pedidos!$E$2:$E$2224,$A72,Pedidos!$F$2:$F$2224,"70-80")-1,"")</f>
        <v/>
      </c>
      <c r="I72" s="27" t="n">
        <f aca="false">IFERROR(AVERAGEIFS(Pedidos!$K$2:$K$2224,Pedidos!$E$2:$E$2224,$A72,Pedidos!$F$2:$F$2224,"80-100")/AVERAGEIFS(Pedidos!$J$2:$J$2224,Pedidos!$E$2:$E$2224,$A72,Pedidos!$F$2:$F$2224,"80-100")-1,"")</f>
        <v>0.0296879891474486</v>
      </c>
      <c r="J72" s="27" t="str">
        <f aca="false">IFERROR(AVERAGEIFS(Pedidos!$K$2:$K$2224,Pedidos!$E$2:$E$2224,$A72,Pedidos!$F$2:$F$2224,"100-120")/AVERAGEIFS(Pedidos!$J$2:$J$2224,Pedidos!$E$2:$E$2224,$A72,Pedidos!$F$2:$F$2224,"100-120")-1,"")</f>
        <v/>
      </c>
      <c r="K72" s="27" t="str">
        <f aca="false">IFERROR(AVERAGEIFS(Pedidos!$K$2:$K$2224,Pedidos!$E$2:$E$2224,$A72,Pedidos!$F$2:$F$2224,"120-150")/AVERAGEIFS(Pedidos!$J$2:$J$2224,Pedidos!$E$2:$E$2224,$A72,Pedidos!$F$2:$F$2224,"120-150")-1,"")</f>
        <v/>
      </c>
      <c r="L72" s="27" t="str">
        <f aca="false">IFERROR(AVERAGEIFS(Pedidos!$K$2:$K$2224,Pedidos!$E$2:$E$2224,$A72,Pedidos!$F$2:$F$2224,"150-170")/AVERAGEIFS(Pedidos!$J$2:$J$2224,Pedidos!$E$2:$E$2224,$A72,Pedidos!$F$2:$F$2224,"150-170")-1,"")</f>
        <v/>
      </c>
      <c r="M72" s="27" t="str">
        <f aca="false">IFERROR(AVERAGEIFS(Pedidos!$K$2:$K$2224,Pedidos!$E$2:$E$2224,$A72,Pedidos!$F$2:$F$2224,"170-200")/AVERAGEIFS(Pedidos!$J$2:$J$2224,Pedidos!$E$2:$E$2224,$A72,Pedidos!$F$2:$F$2224,"170-200")-1,"")</f>
        <v/>
      </c>
      <c r="N72" s="27" t="str">
        <f aca="false">IFERROR(AVERAGEIFS(Pedidos!$K$2:$K$2224,Pedidos!$E$2:$E$2224,$A72,Pedidos!$F$2:$F$2224,"200-250")/AVERAGEIFS(Pedidos!$J$2:$J$2224,Pedidos!$E$2:$E$2224,$A72,Pedidos!$F$2:$F$2224,"200-250")-1,"")</f>
        <v/>
      </c>
      <c r="O72" s="27" t="str">
        <f aca="false">IFERROR(AVERAGEIFS(Pedidos!$K$2:$K$2224,Pedidos!$E$2:$E$2224,$A72,Pedidos!$F$2:$F$2224,"&gt;250")/AVERAGEIFS(Pedidos!$J$2:$J$2224,Pedidos!$E$2:$E$2224,$A72,Pedidos!$F$2:$F$2224,"&gt;250")-1,"")</f>
        <v/>
      </c>
      <c r="P72" s="27" t="n">
        <f aca="false">IFERROR(AVERAGEIFS(Pedidos!$K$2:$K$2224,Pedidos!$E$2:$E$2224,$A72)/AVERAGEIFS(Pedidos!$J$2:$J$2224,Pedidos!$E$2:$E$2224,$A72)-1,"")</f>
        <v>0.0267032828812208</v>
      </c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A75" s="3" t="s">
        <v>129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" hidden="false" customHeight="false" outlineLevel="0" collapsed="false">
      <c r="A76" s="4" t="s">
        <v>63</v>
      </c>
      <c r="B76" s="4" t="s">
        <v>105</v>
      </c>
      <c r="C76" s="4" t="s">
        <v>106</v>
      </c>
      <c r="D76" s="4" t="s">
        <v>107</v>
      </c>
      <c r="E76" s="4" t="s">
        <v>108</v>
      </c>
      <c r="F76" s="4" t="s">
        <v>109</v>
      </c>
      <c r="G76" s="4" t="s">
        <v>110</v>
      </c>
      <c r="H76" s="4" t="s">
        <v>111</v>
      </c>
      <c r="I76" s="4" t="s">
        <v>112</v>
      </c>
      <c r="J76" s="4" t="s">
        <v>113</v>
      </c>
      <c r="K76" s="4" t="s">
        <v>114</v>
      </c>
      <c r="L76" s="4" t="s">
        <v>115</v>
      </c>
      <c r="M76" s="4" t="s">
        <v>116</v>
      </c>
      <c r="N76" s="4" t="s">
        <v>117</v>
      </c>
      <c r="O76" s="4" t="s">
        <v>118</v>
      </c>
      <c r="P76" s="4" t="s">
        <v>126</v>
      </c>
    </row>
    <row r="77" customFormat="false" ht="15" hidden="false" customHeight="false" outlineLevel="0" collapsed="false">
      <c r="A77" s="14" t="s">
        <v>78</v>
      </c>
      <c r="B77" s="28" t="n">
        <f aca="false">IFERROR(AVERAGEIFS(Pedidos!$J$2:$J$2224,Pedidos!$E$2:$E$2224,$A77,Pedidos!$F$2:$F$2224,"0-20"),"")</f>
        <v>65.16125</v>
      </c>
      <c r="C77" s="28" t="n">
        <f aca="false">IFERROR(AVERAGEIFS(Pedidos!$J$2:$J$2224,Pedidos!$E$2:$E$2224,$A77,Pedidos!$F$2:$F$2224,"20-35"),"")</f>
        <v>82.1684030418251</v>
      </c>
      <c r="D77" s="28" t="n">
        <f aca="false">IFERROR(AVERAGEIFS(Pedidos!$J$2:$J$2224,Pedidos!$E$2:$E$2224,$A77,Pedidos!$F$2:$F$2224,"35-40"),"")</f>
        <v>92.2170552147239</v>
      </c>
      <c r="E77" s="28" t="n">
        <f aca="false">IFERROR(AVERAGEIFS(Pedidos!$J$2:$J$2224,Pedidos!$E$2:$E$2224,$A77,Pedidos!$F$2:$F$2224,"40-50"),"")</f>
        <v>104.00961038961</v>
      </c>
      <c r="F77" s="28" t="n">
        <f aca="false">IFERROR(AVERAGEIFS(Pedidos!$J$2:$J$2224,Pedidos!$E$2:$E$2224,$A77,Pedidos!$F$2:$F$2224,"50-60"),"")</f>
        <v>114.629005524862</v>
      </c>
      <c r="G77" s="28" t="n">
        <f aca="false">IFERROR(AVERAGEIFS(Pedidos!$J$2:$J$2224,Pedidos!$E$2:$E$2224,$A77,Pedidos!$F$2:$F$2224,"60-70"),"")</f>
        <v>124.934464285714</v>
      </c>
      <c r="H77" s="28" t="n">
        <f aca="false">IFERROR(AVERAGEIFS(Pedidos!$J$2:$J$2224,Pedidos!$E$2:$E$2224,$A77,Pedidos!$F$2:$F$2224,"70-80"),"")</f>
        <v>137.976363636364</v>
      </c>
      <c r="I77" s="28" t="n">
        <f aca="false">IFERROR(AVERAGEIFS(Pedidos!$J$2:$J$2224,Pedidos!$E$2:$E$2224,$A77,Pedidos!$F$2:$F$2224,"80-100"),"")</f>
        <v>163.759473684211</v>
      </c>
      <c r="J77" s="28" t="n">
        <f aca="false">IFERROR(AVERAGEIFS(Pedidos!$J$2:$J$2224,Pedidos!$E$2:$E$2224,$A77,Pedidos!$F$2:$F$2224,"100-120"),"")</f>
        <v>185.817619047619</v>
      </c>
      <c r="K77" s="28" t="n">
        <f aca="false">IFERROR(AVERAGEIFS(Pedidos!$J$2:$J$2224,Pedidos!$E$2:$E$2224,$A77,Pedidos!$F$2:$F$2224,"120-150"),"")</f>
        <v>233.162564102564</v>
      </c>
      <c r="L77" s="28" t="n">
        <f aca="false">IFERROR(AVERAGEIFS(Pedidos!$J$2:$J$2224,Pedidos!$E$2:$E$2224,$A77,Pedidos!$F$2:$F$2224,"150-170"),"")</f>
        <v>255.75</v>
      </c>
      <c r="M77" s="28" t="str">
        <f aca="false">IFERROR(AVERAGEIFS(Pedidos!$J$2:$J$2224,Pedidos!$E$2:$E$2224,$A77,Pedidos!$F$2:$F$2224,"170-200"),"")</f>
        <v/>
      </c>
      <c r="N77" s="28" t="n">
        <f aca="false">IFERROR(AVERAGEIFS(Pedidos!$J$2:$J$2224,Pedidos!$E$2:$E$2224,$A77,Pedidos!$F$2:$F$2224,"200-250"),"")</f>
        <v>338.2</v>
      </c>
      <c r="O77" s="28" t="str">
        <f aca="false">IFERROR(AVERAGEIFS(Pedidos!$J$2:$J$2224,Pedidos!$E$2:$E$2224,$A77,Pedidos!$F$2:$F$2224,"&gt;250"),"")</f>
        <v/>
      </c>
      <c r="P77" s="28" t="n">
        <f aca="false">IFERROR(AVERAGEIFS(Pedidos!$J$2:$J$2224,Pedidos!$E$2:$E$2224,$A77),"")</f>
        <v>106.839184466019</v>
      </c>
    </row>
    <row r="78" customFormat="false" ht="15" hidden="false" customHeight="false" outlineLevel="0" collapsed="false">
      <c r="A78" s="14" t="s">
        <v>79</v>
      </c>
      <c r="B78" s="28" t="n">
        <f aca="false">IFERROR(AVERAGEIFS(Pedidos!$J$2:$J$2224,Pedidos!$E$2:$E$2224,$A78,Pedidos!$F$2:$F$2224,"0-20"),"")</f>
        <v>76.36</v>
      </c>
      <c r="C78" s="28" t="n">
        <f aca="false">IFERROR(AVERAGEIFS(Pedidos!$J$2:$J$2224,Pedidos!$E$2:$E$2224,$A78,Pedidos!$F$2:$F$2224,"20-35"),"")</f>
        <v>100.331724137931</v>
      </c>
      <c r="D78" s="28" t="n">
        <f aca="false">IFERROR(AVERAGEIFS(Pedidos!$J$2:$J$2224,Pedidos!$E$2:$E$2224,$A78,Pedidos!$F$2:$F$2224,"35-40"),"")</f>
        <v>113.629444444444</v>
      </c>
      <c r="E78" s="28" t="n">
        <f aca="false">IFERROR(AVERAGEIFS(Pedidos!$J$2:$J$2224,Pedidos!$E$2:$E$2224,$A78,Pedidos!$F$2:$F$2224,"40-50"),"")</f>
        <v>117.217272727273</v>
      </c>
      <c r="F78" s="28" t="n">
        <f aca="false">IFERROR(AVERAGEIFS(Pedidos!$J$2:$J$2224,Pedidos!$E$2:$E$2224,$A78,Pedidos!$F$2:$F$2224,"50-60"),"")</f>
        <v>128.862</v>
      </c>
      <c r="G78" s="28" t="n">
        <f aca="false">IFERROR(AVERAGEIFS(Pedidos!$J$2:$J$2224,Pedidos!$E$2:$E$2224,$A78,Pedidos!$F$2:$F$2224,"60-70"),"")</f>
        <v>140.39</v>
      </c>
      <c r="H78" s="28" t="n">
        <f aca="false">IFERROR(AVERAGEIFS(Pedidos!$J$2:$J$2224,Pedidos!$E$2:$E$2224,$A78,Pedidos!$F$2:$F$2224,"70-80"),"")</f>
        <v>153.633333333333</v>
      </c>
      <c r="I78" s="28" t="n">
        <f aca="false">IFERROR(AVERAGEIFS(Pedidos!$J$2:$J$2224,Pedidos!$E$2:$E$2224,$A78,Pedidos!$F$2:$F$2224,"80-100"),"")</f>
        <v>170.873333333333</v>
      </c>
      <c r="J78" s="28" t="n">
        <f aca="false">IFERROR(AVERAGEIFS(Pedidos!$J$2:$J$2224,Pedidos!$E$2:$E$2224,$A78,Pedidos!$F$2:$F$2224,"100-120"),"")</f>
        <v>194.86</v>
      </c>
      <c r="K78" s="28" t="n">
        <f aca="false">IFERROR(AVERAGEIFS(Pedidos!$J$2:$J$2224,Pedidos!$E$2:$E$2224,$A78,Pedidos!$F$2:$F$2224,"120-150"),"")</f>
        <v>240.3525</v>
      </c>
      <c r="L78" s="28" t="n">
        <f aca="false">IFERROR(AVERAGEIFS(Pedidos!$J$2:$J$2224,Pedidos!$E$2:$E$2224,$A78,Pedidos!$F$2:$F$2224,"150-170"),"")</f>
        <v>267.69</v>
      </c>
      <c r="M78" s="28" t="str">
        <f aca="false">IFERROR(AVERAGEIFS(Pedidos!$J$2:$J$2224,Pedidos!$E$2:$E$2224,$A78,Pedidos!$F$2:$F$2224,"170-200"),"")</f>
        <v/>
      </c>
      <c r="N78" s="28" t="str">
        <f aca="false">IFERROR(AVERAGEIFS(Pedidos!$J$2:$J$2224,Pedidos!$E$2:$E$2224,$A78,Pedidos!$F$2:$F$2224,"200-250"),"")</f>
        <v/>
      </c>
      <c r="O78" s="28" t="str">
        <f aca="false">IFERROR(AVERAGEIFS(Pedidos!$J$2:$J$2224,Pedidos!$E$2:$E$2224,$A78,Pedidos!$F$2:$F$2224,"&gt;250"),"")</f>
        <v/>
      </c>
      <c r="P78" s="28" t="n">
        <f aca="false">IFERROR(AVERAGEIFS(Pedidos!$J$2:$J$2224,Pedidos!$E$2:$E$2224,$A78),"")</f>
        <v>124.598296296296</v>
      </c>
    </row>
    <row r="79" customFormat="false" ht="15" hidden="false" customHeight="false" outlineLevel="0" collapsed="false">
      <c r="A79" s="14" t="s">
        <v>80</v>
      </c>
      <c r="B79" s="28" t="n">
        <f aca="false">IFERROR(AVERAGEIFS(Pedidos!$J$2:$J$2224,Pedidos!$E$2:$E$2224,$A79,Pedidos!$F$2:$F$2224,"0-20"),"")</f>
        <v>75.4083333333333</v>
      </c>
      <c r="C79" s="28" t="n">
        <f aca="false">IFERROR(AVERAGEIFS(Pedidos!$J$2:$J$2224,Pedidos!$E$2:$E$2224,$A79,Pedidos!$F$2:$F$2224,"20-35"),"")</f>
        <v>101.4125</v>
      </c>
      <c r="D79" s="28" t="n">
        <f aca="false">IFERROR(AVERAGEIFS(Pedidos!$J$2:$J$2224,Pedidos!$E$2:$E$2224,$A79,Pedidos!$F$2:$F$2224,"35-40"),"")</f>
        <v>113.221818181818</v>
      </c>
      <c r="E79" s="28" t="n">
        <f aca="false">IFERROR(AVERAGEIFS(Pedidos!$J$2:$J$2224,Pedidos!$E$2:$E$2224,$A79,Pedidos!$F$2:$F$2224,"40-50"),"")</f>
        <v>117.030625</v>
      </c>
      <c r="F79" s="28" t="n">
        <f aca="false">IFERROR(AVERAGEIFS(Pedidos!$J$2:$J$2224,Pedidos!$E$2:$E$2224,$A79,Pedidos!$F$2:$F$2224,"50-60"),"")</f>
        <v>128.681470588235</v>
      </c>
      <c r="G79" s="28" t="n">
        <f aca="false">IFERROR(AVERAGEIFS(Pedidos!$J$2:$J$2224,Pedidos!$E$2:$E$2224,$A79,Pedidos!$F$2:$F$2224,"60-70"),"")</f>
        <v>139.939166666667</v>
      </c>
      <c r="H79" s="28" t="n">
        <f aca="false">IFERROR(AVERAGEIFS(Pedidos!$J$2:$J$2224,Pedidos!$E$2:$E$2224,$A79,Pedidos!$F$2:$F$2224,"70-80"),"")</f>
        <v>151.74</v>
      </c>
      <c r="I79" s="28" t="n">
        <f aca="false">IFERROR(AVERAGEIFS(Pedidos!$J$2:$J$2224,Pedidos!$E$2:$E$2224,$A79,Pedidos!$F$2:$F$2224,"80-100"),"")</f>
        <v>173.63</v>
      </c>
      <c r="J79" s="28" t="n">
        <f aca="false">IFERROR(AVERAGEIFS(Pedidos!$J$2:$J$2224,Pedidos!$E$2:$E$2224,$A79,Pedidos!$F$2:$F$2224,"100-120"),"")</f>
        <v>195.42</v>
      </c>
      <c r="K79" s="28" t="n">
        <f aca="false">IFERROR(AVERAGEIFS(Pedidos!$J$2:$J$2224,Pedidos!$E$2:$E$2224,$A79,Pedidos!$F$2:$F$2224,"120-150"),"")</f>
        <v>244.336</v>
      </c>
      <c r="L79" s="28" t="str">
        <f aca="false">IFERROR(AVERAGEIFS(Pedidos!$J$2:$J$2224,Pedidos!$E$2:$E$2224,$A79,Pedidos!$F$2:$F$2224,"150-170"),"")</f>
        <v/>
      </c>
      <c r="M79" s="28" t="str">
        <f aca="false">IFERROR(AVERAGEIFS(Pedidos!$J$2:$J$2224,Pedidos!$E$2:$E$2224,$A79,Pedidos!$F$2:$F$2224,"170-200"),"")</f>
        <v/>
      </c>
      <c r="N79" s="28" t="str">
        <f aca="false">IFERROR(AVERAGEIFS(Pedidos!$J$2:$J$2224,Pedidos!$E$2:$E$2224,$A79,Pedidos!$F$2:$F$2224,"200-250"),"")</f>
        <v/>
      </c>
      <c r="O79" s="28" t="str">
        <f aca="false">IFERROR(AVERAGEIFS(Pedidos!$J$2:$J$2224,Pedidos!$E$2:$E$2224,$A79,Pedidos!$F$2:$F$2224,"&gt;250"),"")</f>
        <v/>
      </c>
      <c r="P79" s="28" t="n">
        <f aca="false">IFERROR(AVERAGEIFS(Pedidos!$J$2:$J$2224,Pedidos!$E$2:$E$2224,$A79),"")</f>
        <v>128.076886792453</v>
      </c>
    </row>
    <row r="80" customFormat="false" ht="15" hidden="false" customHeight="false" outlineLevel="0" collapsed="false">
      <c r="A80" s="14" t="s">
        <v>81</v>
      </c>
      <c r="B80" s="28" t="n">
        <f aca="false">IFERROR(AVERAGEIFS(Pedidos!$J$2:$J$2224,Pedidos!$E$2:$E$2224,$A80,Pedidos!$F$2:$F$2224,"0-20"),"")</f>
        <v>75.61</v>
      </c>
      <c r="C80" s="28" t="n">
        <f aca="false">IFERROR(AVERAGEIFS(Pedidos!$J$2:$J$2224,Pedidos!$E$2:$E$2224,$A80,Pedidos!$F$2:$F$2224,"20-35"),"")</f>
        <v>101.574705882353</v>
      </c>
      <c r="D80" s="28" t="n">
        <f aca="false">IFERROR(AVERAGEIFS(Pedidos!$J$2:$J$2224,Pedidos!$E$2:$E$2224,$A80,Pedidos!$F$2:$F$2224,"35-40"),"")</f>
        <v>112.95</v>
      </c>
      <c r="E80" s="28" t="n">
        <f aca="false">IFERROR(AVERAGEIFS(Pedidos!$J$2:$J$2224,Pedidos!$E$2:$E$2224,$A80,Pedidos!$F$2:$F$2224,"40-50"),"")</f>
        <v>117.0425</v>
      </c>
      <c r="F80" s="28" t="n">
        <f aca="false">IFERROR(AVERAGEIFS(Pedidos!$J$2:$J$2224,Pedidos!$E$2:$E$2224,$A80,Pedidos!$F$2:$F$2224,"50-60"),"")</f>
        <v>128.337368421053</v>
      </c>
      <c r="G80" s="28" t="n">
        <f aca="false">IFERROR(AVERAGEIFS(Pedidos!$J$2:$J$2224,Pedidos!$E$2:$E$2224,$A80,Pedidos!$F$2:$F$2224,"60-70"),"")</f>
        <v>140.06</v>
      </c>
      <c r="H80" s="28" t="n">
        <f aca="false">IFERROR(AVERAGEIFS(Pedidos!$J$2:$J$2224,Pedidos!$E$2:$E$2224,$A80,Pedidos!$F$2:$F$2224,"70-80"),"")</f>
        <v>151.665</v>
      </c>
      <c r="I80" s="28" t="n">
        <f aca="false">IFERROR(AVERAGEIFS(Pedidos!$J$2:$J$2224,Pedidos!$E$2:$E$2224,$A80,Pedidos!$F$2:$F$2224,"80-100"),"")</f>
        <v>172.935</v>
      </c>
      <c r="J80" s="28" t="n">
        <f aca="false">IFERROR(AVERAGEIFS(Pedidos!$J$2:$J$2224,Pedidos!$E$2:$E$2224,$A80,Pedidos!$F$2:$F$2224,"100-120"),"")</f>
        <v>195.752</v>
      </c>
      <c r="K80" s="28" t="n">
        <f aca="false">IFERROR(AVERAGEIFS(Pedidos!$J$2:$J$2224,Pedidos!$E$2:$E$2224,$A80,Pedidos!$F$2:$F$2224,"120-150"),"")</f>
        <v>244.6</v>
      </c>
      <c r="L80" s="28" t="str">
        <f aca="false">IFERROR(AVERAGEIFS(Pedidos!$J$2:$J$2224,Pedidos!$E$2:$E$2224,$A80,Pedidos!$F$2:$F$2224,"150-170"),"")</f>
        <v/>
      </c>
      <c r="M80" s="28" t="str">
        <f aca="false">IFERROR(AVERAGEIFS(Pedidos!$J$2:$J$2224,Pedidos!$E$2:$E$2224,$A80,Pedidos!$F$2:$F$2224,"170-200"),"")</f>
        <v/>
      </c>
      <c r="N80" s="28" t="str">
        <f aca="false">IFERROR(AVERAGEIFS(Pedidos!$J$2:$J$2224,Pedidos!$E$2:$E$2224,$A80,Pedidos!$F$2:$F$2224,"200-250"),"")</f>
        <v/>
      </c>
      <c r="O80" s="28" t="str">
        <f aca="false">IFERROR(AVERAGEIFS(Pedidos!$J$2:$J$2224,Pedidos!$E$2:$E$2224,$A80,Pedidos!$F$2:$F$2224,"&gt;250"),"")</f>
        <v/>
      </c>
      <c r="P80" s="28" t="n">
        <f aca="false">IFERROR(AVERAGEIFS(Pedidos!$J$2:$J$2224,Pedidos!$E$2:$E$2224,$A80),"")</f>
        <v>130.553052631579</v>
      </c>
    </row>
    <row r="81" customFormat="false" ht="15" hidden="false" customHeight="false" outlineLevel="0" collapsed="false">
      <c r="A81" s="14" t="s">
        <v>82</v>
      </c>
      <c r="B81" s="28" t="n">
        <f aca="false">IFERROR(AVERAGEIFS(Pedidos!$J$2:$J$2224,Pedidos!$E$2:$E$2224,$A81,Pedidos!$F$2:$F$2224,"0-20"),"")</f>
        <v>75.18</v>
      </c>
      <c r="C81" s="28" t="n">
        <f aca="false">IFERROR(AVERAGEIFS(Pedidos!$J$2:$J$2224,Pedidos!$E$2:$E$2224,$A81,Pedidos!$F$2:$F$2224,"20-35"),"")</f>
        <v>101.210909090909</v>
      </c>
      <c r="D81" s="28" t="n">
        <f aca="false">IFERROR(AVERAGEIFS(Pedidos!$J$2:$J$2224,Pedidos!$E$2:$E$2224,$A81,Pedidos!$F$2:$F$2224,"35-40"),"")</f>
        <v>113.382727272727</v>
      </c>
      <c r="E81" s="28" t="n">
        <f aca="false">IFERROR(AVERAGEIFS(Pedidos!$J$2:$J$2224,Pedidos!$E$2:$E$2224,$A81,Pedidos!$F$2:$F$2224,"40-50"),"")</f>
        <v>116.842666666667</v>
      </c>
      <c r="F81" s="28" t="n">
        <f aca="false">IFERROR(AVERAGEIFS(Pedidos!$J$2:$J$2224,Pedidos!$E$2:$E$2224,$A81,Pedidos!$F$2:$F$2224,"50-60"),"")</f>
        <v>128.488421052632</v>
      </c>
      <c r="G81" s="28" t="n">
        <f aca="false">IFERROR(AVERAGEIFS(Pedidos!$J$2:$J$2224,Pedidos!$E$2:$E$2224,$A81,Pedidos!$F$2:$F$2224,"60-70"),"")</f>
        <v>139.931428571429</v>
      </c>
      <c r="H81" s="28" t="str">
        <f aca="false">IFERROR(AVERAGEIFS(Pedidos!$J$2:$J$2224,Pedidos!$E$2:$E$2224,$A81,Pedidos!$F$2:$F$2224,"70-80"),"")</f>
        <v/>
      </c>
      <c r="I81" s="28" t="n">
        <f aca="false">IFERROR(AVERAGEIFS(Pedidos!$J$2:$J$2224,Pedidos!$E$2:$E$2224,$A81,Pedidos!$F$2:$F$2224,"80-100"),"")</f>
        <v>174.26</v>
      </c>
      <c r="J81" s="28" t="n">
        <f aca="false">IFERROR(AVERAGEIFS(Pedidos!$J$2:$J$2224,Pedidos!$E$2:$E$2224,$A81,Pedidos!$F$2:$F$2224,"100-120"),"")</f>
        <v>196.35</v>
      </c>
      <c r="K81" s="28" t="n">
        <f aca="false">IFERROR(AVERAGEIFS(Pedidos!$J$2:$J$2224,Pedidos!$E$2:$E$2224,$A81,Pedidos!$F$2:$F$2224,"120-150"),"")</f>
        <v>244.08</v>
      </c>
      <c r="L81" s="28" t="str">
        <f aca="false">IFERROR(AVERAGEIFS(Pedidos!$J$2:$J$2224,Pedidos!$E$2:$E$2224,$A81,Pedidos!$F$2:$F$2224,"150-170"),"")</f>
        <v/>
      </c>
      <c r="M81" s="28" t="str">
        <f aca="false">IFERROR(AVERAGEIFS(Pedidos!$J$2:$J$2224,Pedidos!$E$2:$E$2224,$A81,Pedidos!$F$2:$F$2224,"170-200"),"")</f>
        <v/>
      </c>
      <c r="N81" s="28" t="str">
        <f aca="false">IFERROR(AVERAGEIFS(Pedidos!$J$2:$J$2224,Pedidos!$E$2:$E$2224,$A81,Pedidos!$F$2:$F$2224,"200-250"),"")</f>
        <v/>
      </c>
      <c r="O81" s="28" t="str">
        <f aca="false">IFERROR(AVERAGEIFS(Pedidos!$J$2:$J$2224,Pedidos!$E$2:$E$2224,$A81,Pedidos!$F$2:$F$2224,"&gt;250"),"")</f>
        <v/>
      </c>
      <c r="P81" s="28" t="n">
        <f aca="false">IFERROR(AVERAGEIFS(Pedidos!$J$2:$J$2224,Pedidos!$E$2:$E$2224,$A81),"")</f>
        <v>122.044411764706</v>
      </c>
    </row>
    <row r="82" customFormat="false" ht="15" hidden="false" customHeight="false" outlineLevel="0" collapsed="false">
      <c r="A82" s="14" t="s">
        <v>83</v>
      </c>
      <c r="B82" s="28" t="str">
        <f aca="false">IFERROR(AVERAGEIFS(Pedidos!$J$2:$J$2224,Pedidos!$E$2:$E$2224,$A82,Pedidos!$F$2:$F$2224,"0-20"),"")</f>
        <v/>
      </c>
      <c r="C82" s="28" t="n">
        <f aca="false">IFERROR(AVERAGEIFS(Pedidos!$J$2:$J$2224,Pedidos!$E$2:$E$2224,$A82,Pedidos!$F$2:$F$2224,"20-35"),"")</f>
        <v>109.259375</v>
      </c>
      <c r="D82" s="28" t="n">
        <f aca="false">IFERROR(AVERAGEIFS(Pedidos!$J$2:$J$2224,Pedidos!$E$2:$E$2224,$A82,Pedidos!$F$2:$F$2224,"35-40"),"")</f>
        <v>123.3425</v>
      </c>
      <c r="E82" s="28" t="n">
        <f aca="false">IFERROR(AVERAGEIFS(Pedidos!$J$2:$J$2224,Pedidos!$E$2:$E$2224,$A82,Pedidos!$F$2:$F$2224,"40-50"),"")</f>
        <v>130.71</v>
      </c>
      <c r="F82" s="28" t="n">
        <f aca="false">IFERROR(AVERAGEIFS(Pedidos!$J$2:$J$2224,Pedidos!$E$2:$E$2224,$A82,Pedidos!$F$2:$F$2224,"50-60"),"")</f>
        <v>142.786666666667</v>
      </c>
      <c r="G82" s="28" t="n">
        <f aca="false">IFERROR(AVERAGEIFS(Pedidos!$J$2:$J$2224,Pedidos!$E$2:$E$2224,$A82,Pedidos!$F$2:$F$2224,"60-70"),"")</f>
        <v>156.075</v>
      </c>
      <c r="H82" s="28" t="str">
        <f aca="false">IFERROR(AVERAGEIFS(Pedidos!$J$2:$J$2224,Pedidos!$E$2:$E$2224,$A82,Pedidos!$F$2:$F$2224,"70-80"),"")</f>
        <v/>
      </c>
      <c r="I82" s="28" t="n">
        <f aca="false">IFERROR(AVERAGEIFS(Pedidos!$J$2:$J$2224,Pedidos!$E$2:$E$2224,$A82,Pedidos!$F$2:$F$2224,"80-100"),"")</f>
        <v>192.89</v>
      </c>
      <c r="J82" s="28" t="n">
        <f aca="false">IFERROR(AVERAGEIFS(Pedidos!$J$2:$J$2224,Pedidos!$E$2:$E$2224,$A82,Pedidos!$F$2:$F$2224,"100-120"),"")</f>
        <v>216.43</v>
      </c>
      <c r="K82" s="28" t="str">
        <f aca="false">IFERROR(AVERAGEIFS(Pedidos!$J$2:$J$2224,Pedidos!$E$2:$E$2224,$A82,Pedidos!$F$2:$F$2224,"120-150"),"")</f>
        <v/>
      </c>
      <c r="L82" s="28" t="str">
        <f aca="false">IFERROR(AVERAGEIFS(Pedidos!$J$2:$J$2224,Pedidos!$E$2:$E$2224,$A82,Pedidos!$F$2:$F$2224,"150-170"),"")</f>
        <v/>
      </c>
      <c r="M82" s="28" t="str">
        <f aca="false">IFERROR(AVERAGEIFS(Pedidos!$J$2:$J$2224,Pedidos!$E$2:$E$2224,$A82,Pedidos!$F$2:$F$2224,"170-200"),"")</f>
        <v/>
      </c>
      <c r="N82" s="28" t="str">
        <f aca="false">IFERROR(AVERAGEIFS(Pedidos!$J$2:$J$2224,Pedidos!$E$2:$E$2224,$A82,Pedidos!$F$2:$F$2224,"200-250"),"")</f>
        <v/>
      </c>
      <c r="O82" s="28" t="str">
        <f aca="false">IFERROR(AVERAGEIFS(Pedidos!$J$2:$J$2224,Pedidos!$E$2:$E$2224,$A82,Pedidos!$F$2:$F$2224,"&gt;250"),"")</f>
        <v/>
      </c>
      <c r="P82" s="28" t="n">
        <f aca="false">IFERROR(AVERAGEIFS(Pedidos!$J$2:$J$2224,Pedidos!$E$2:$E$2224,$A82),"")</f>
        <v>136.860377358491</v>
      </c>
    </row>
    <row r="83" customFormat="false" ht="15" hidden="false" customHeight="false" outlineLevel="0" collapsed="false">
      <c r="A83" s="14" t="s">
        <v>84</v>
      </c>
      <c r="B83" s="28" t="n">
        <f aca="false">IFERROR(AVERAGEIFS(Pedidos!$J$2:$J$2224,Pedidos!$E$2:$E$2224,$A83,Pedidos!$F$2:$F$2224,"0-20"),"")</f>
        <v>77.005</v>
      </c>
      <c r="C83" s="28" t="n">
        <f aca="false">IFERROR(AVERAGEIFS(Pedidos!$J$2:$J$2224,Pedidos!$E$2:$E$2224,$A83,Pedidos!$F$2:$F$2224,"20-35"),"")</f>
        <v>95.69</v>
      </c>
      <c r="D83" s="28" t="n">
        <f aca="false">IFERROR(AVERAGEIFS(Pedidos!$J$2:$J$2224,Pedidos!$E$2:$E$2224,$A83,Pedidos!$F$2:$F$2224,"35-40"),"")</f>
        <v>113.611666666667</v>
      </c>
      <c r="E83" s="28" t="n">
        <f aca="false">IFERROR(AVERAGEIFS(Pedidos!$J$2:$J$2224,Pedidos!$E$2:$E$2224,$A83,Pedidos!$F$2:$F$2224,"40-50"),"")</f>
        <v>117.975454545455</v>
      </c>
      <c r="F83" s="28" t="n">
        <f aca="false">IFERROR(AVERAGEIFS(Pedidos!$J$2:$J$2224,Pedidos!$E$2:$E$2224,$A83,Pedidos!$F$2:$F$2224,"50-60"),"")</f>
        <v>128.168</v>
      </c>
      <c r="G83" s="28" t="n">
        <f aca="false">IFERROR(AVERAGEIFS(Pedidos!$J$2:$J$2224,Pedidos!$E$2:$E$2224,$A83,Pedidos!$F$2:$F$2224,"60-70"),"")</f>
        <v>140.167142857143</v>
      </c>
      <c r="H83" s="28" t="n">
        <f aca="false">IFERROR(AVERAGEIFS(Pedidos!$J$2:$J$2224,Pedidos!$E$2:$E$2224,$A83,Pedidos!$F$2:$F$2224,"70-80"),"")</f>
        <v>151.783333333333</v>
      </c>
      <c r="I83" s="28" t="n">
        <f aca="false">IFERROR(AVERAGEIFS(Pedidos!$J$2:$J$2224,Pedidos!$E$2:$E$2224,$A83,Pedidos!$F$2:$F$2224,"80-100"),"")</f>
        <v>172.03</v>
      </c>
      <c r="J83" s="28" t="n">
        <f aca="false">IFERROR(AVERAGEIFS(Pedidos!$J$2:$J$2224,Pedidos!$E$2:$E$2224,$A83,Pedidos!$F$2:$F$2224,"100-120"),"")</f>
        <v>195.125</v>
      </c>
      <c r="K83" s="28" t="n">
        <f aca="false">IFERROR(AVERAGEIFS(Pedidos!$J$2:$J$2224,Pedidos!$E$2:$E$2224,$A83,Pedidos!$F$2:$F$2224,"120-150"),"")</f>
        <v>249.39</v>
      </c>
      <c r="L83" s="28" t="str">
        <f aca="false">IFERROR(AVERAGEIFS(Pedidos!$J$2:$J$2224,Pedidos!$E$2:$E$2224,$A83,Pedidos!$F$2:$F$2224,"150-170"),"")</f>
        <v/>
      </c>
      <c r="M83" s="28" t="str">
        <f aca="false">IFERROR(AVERAGEIFS(Pedidos!$J$2:$J$2224,Pedidos!$E$2:$E$2224,$A83,Pedidos!$F$2:$F$2224,"170-200"),"")</f>
        <v/>
      </c>
      <c r="N83" s="28" t="str">
        <f aca="false">IFERROR(AVERAGEIFS(Pedidos!$J$2:$J$2224,Pedidos!$E$2:$E$2224,$A83,Pedidos!$F$2:$F$2224,"200-250"),"")</f>
        <v/>
      </c>
      <c r="O83" s="28" t="str">
        <f aca="false">IFERROR(AVERAGEIFS(Pedidos!$J$2:$J$2224,Pedidos!$E$2:$E$2224,$A83,Pedidos!$F$2:$F$2224,"&gt;250"),"")</f>
        <v/>
      </c>
      <c r="P83" s="28" t="n">
        <f aca="false">IFERROR(AVERAGEIFS(Pedidos!$J$2:$J$2224,Pedidos!$E$2:$E$2224,$A83),"")</f>
        <v>128.089591836735</v>
      </c>
    </row>
    <row r="84" customFormat="false" ht="15" hidden="false" customHeight="false" outlineLevel="0" collapsed="false">
      <c r="A84" s="14" t="s">
        <v>85</v>
      </c>
      <c r="B84" s="28" t="n">
        <f aca="false">IFERROR(AVERAGEIFS(Pedidos!$J$2:$J$2224,Pedidos!$E$2:$E$2224,$A84,Pedidos!$F$2:$F$2224,"0-20"),"")</f>
        <v>79.72</v>
      </c>
      <c r="C84" s="28" t="n">
        <f aca="false">IFERROR(AVERAGEIFS(Pedidos!$J$2:$J$2224,Pedidos!$E$2:$E$2224,$A84,Pedidos!$F$2:$F$2224,"20-35"),"")</f>
        <v>108.6075</v>
      </c>
      <c r="D84" s="28" t="n">
        <f aca="false">IFERROR(AVERAGEIFS(Pedidos!$J$2:$J$2224,Pedidos!$E$2:$E$2224,$A84,Pedidos!$F$2:$F$2224,"35-40"),"")</f>
        <v>122.885</v>
      </c>
      <c r="E84" s="28" t="n">
        <f aca="false">IFERROR(AVERAGEIFS(Pedidos!$J$2:$J$2224,Pedidos!$E$2:$E$2224,$A84,Pedidos!$F$2:$F$2224,"40-50"),"")</f>
        <v>130.45125</v>
      </c>
      <c r="F84" s="28" t="n">
        <f aca="false">IFERROR(AVERAGEIFS(Pedidos!$J$2:$J$2224,Pedidos!$E$2:$E$2224,$A84,Pedidos!$F$2:$F$2224,"50-60"),"")</f>
        <v>143.37375</v>
      </c>
      <c r="G84" s="28" t="n">
        <f aca="false">IFERROR(AVERAGEIFS(Pedidos!$J$2:$J$2224,Pedidos!$E$2:$E$2224,$A84,Pedidos!$F$2:$F$2224,"60-70"),"")</f>
        <v>155.69</v>
      </c>
      <c r="H84" s="28" t="str">
        <f aca="false">IFERROR(AVERAGEIFS(Pedidos!$J$2:$J$2224,Pedidos!$E$2:$E$2224,$A84,Pedidos!$F$2:$F$2224,"70-80"),"")</f>
        <v/>
      </c>
      <c r="I84" s="28" t="n">
        <f aca="false">IFERROR(AVERAGEIFS(Pedidos!$J$2:$J$2224,Pedidos!$E$2:$E$2224,$A84,Pedidos!$F$2:$F$2224,"80-100"),"")</f>
        <v>190.286666666667</v>
      </c>
      <c r="J84" s="28" t="str">
        <f aca="false">IFERROR(AVERAGEIFS(Pedidos!$J$2:$J$2224,Pedidos!$E$2:$E$2224,$A84,Pedidos!$F$2:$F$2224,"100-120"),"")</f>
        <v/>
      </c>
      <c r="K84" s="28" t="n">
        <f aca="false">IFERROR(AVERAGEIFS(Pedidos!$J$2:$J$2224,Pedidos!$E$2:$E$2224,$A84,Pedidos!$F$2:$F$2224,"120-150"),"")</f>
        <v>256.846</v>
      </c>
      <c r="L84" s="28" t="str">
        <f aca="false">IFERROR(AVERAGEIFS(Pedidos!$J$2:$J$2224,Pedidos!$E$2:$E$2224,$A84,Pedidos!$F$2:$F$2224,"150-170"),"")</f>
        <v/>
      </c>
      <c r="M84" s="28" t="n">
        <f aca="false">IFERROR(AVERAGEIFS(Pedidos!$J$2:$J$2224,Pedidos!$E$2:$E$2224,$A84,Pedidos!$F$2:$F$2224,"170-200"),"")</f>
        <v>198.28</v>
      </c>
      <c r="N84" s="28" t="str">
        <f aca="false">IFERROR(AVERAGEIFS(Pedidos!$J$2:$J$2224,Pedidos!$E$2:$E$2224,$A84,Pedidos!$F$2:$F$2224,"200-250"),"")</f>
        <v/>
      </c>
      <c r="O84" s="28" t="str">
        <f aca="false">IFERROR(AVERAGEIFS(Pedidos!$J$2:$J$2224,Pedidos!$E$2:$E$2224,$A84,Pedidos!$F$2:$F$2224,"&gt;250"),"")</f>
        <v/>
      </c>
      <c r="P84" s="28" t="n">
        <f aca="false">IFERROR(AVERAGEIFS(Pedidos!$J$2:$J$2224,Pedidos!$E$2:$E$2224,$A84),"")</f>
        <v>150.531555555556</v>
      </c>
    </row>
    <row r="85" customFormat="false" ht="15" hidden="false" customHeight="false" outlineLevel="0" collapsed="false">
      <c r="A85" s="14" t="s">
        <v>86</v>
      </c>
      <c r="B85" s="28" t="n">
        <f aca="false">IFERROR(AVERAGEIFS(Pedidos!$J$2:$J$2224,Pedidos!$E$2:$E$2224,$A85,Pedidos!$F$2:$F$2224,"0-20"),"")</f>
        <v>77.05</v>
      </c>
      <c r="C85" s="28" t="n">
        <f aca="false">IFERROR(AVERAGEIFS(Pedidos!$J$2:$J$2224,Pedidos!$E$2:$E$2224,$A85,Pedidos!$F$2:$F$2224,"20-35"),"")</f>
        <v>92.746</v>
      </c>
      <c r="D85" s="28" t="n">
        <f aca="false">IFERROR(AVERAGEIFS(Pedidos!$J$2:$J$2224,Pedidos!$E$2:$E$2224,$A85,Pedidos!$F$2:$F$2224,"35-40"),"")</f>
        <v>114.03</v>
      </c>
      <c r="E85" s="28" t="n">
        <f aca="false">IFERROR(AVERAGEIFS(Pedidos!$J$2:$J$2224,Pedidos!$E$2:$E$2224,$A85,Pedidos!$F$2:$F$2224,"40-50"),"")</f>
        <v>116.87</v>
      </c>
      <c r="F85" s="28" t="n">
        <f aca="false">IFERROR(AVERAGEIFS(Pedidos!$J$2:$J$2224,Pedidos!$E$2:$E$2224,$A85,Pedidos!$F$2:$F$2224,"50-60"),"")</f>
        <v>128.801428571429</v>
      </c>
      <c r="G85" s="28" t="n">
        <f aca="false">IFERROR(AVERAGEIFS(Pedidos!$J$2:$J$2224,Pedidos!$E$2:$E$2224,$A85,Pedidos!$F$2:$F$2224,"60-70"),"")</f>
        <v>139.3625</v>
      </c>
      <c r="H85" s="28" t="str">
        <f aca="false">IFERROR(AVERAGEIFS(Pedidos!$J$2:$J$2224,Pedidos!$E$2:$E$2224,$A85,Pedidos!$F$2:$F$2224,"70-80"),"")</f>
        <v/>
      </c>
      <c r="I85" s="28" t="n">
        <f aca="false">IFERROR(AVERAGEIFS(Pedidos!$J$2:$J$2224,Pedidos!$E$2:$E$2224,$A85,Pedidos!$F$2:$F$2224,"80-100"),"")</f>
        <v>171.45</v>
      </c>
      <c r="J85" s="28" t="n">
        <f aca="false">IFERROR(AVERAGEIFS(Pedidos!$J$2:$J$2224,Pedidos!$E$2:$E$2224,$A85,Pedidos!$F$2:$F$2224,"100-120"),"")</f>
        <v>198.16</v>
      </c>
      <c r="K85" s="28" t="n">
        <f aca="false">IFERROR(AVERAGEIFS(Pedidos!$J$2:$J$2224,Pedidos!$E$2:$E$2224,$A85,Pedidos!$F$2:$F$2224,"120-150"),"")</f>
        <v>238.65</v>
      </c>
      <c r="L85" s="28" t="str">
        <f aca="false">IFERROR(AVERAGEIFS(Pedidos!$J$2:$J$2224,Pedidos!$E$2:$E$2224,$A85,Pedidos!$F$2:$F$2224,"150-170"),"")</f>
        <v/>
      </c>
      <c r="M85" s="28" t="str">
        <f aca="false">IFERROR(AVERAGEIFS(Pedidos!$J$2:$J$2224,Pedidos!$E$2:$E$2224,$A85,Pedidos!$F$2:$F$2224,"170-200"),"")</f>
        <v/>
      </c>
      <c r="N85" s="28" t="str">
        <f aca="false">IFERROR(AVERAGEIFS(Pedidos!$J$2:$J$2224,Pedidos!$E$2:$E$2224,$A85,Pedidos!$F$2:$F$2224,"200-250"),"")</f>
        <v/>
      </c>
      <c r="O85" s="28" t="str">
        <f aca="false">IFERROR(AVERAGEIFS(Pedidos!$J$2:$J$2224,Pedidos!$E$2:$E$2224,$A85,Pedidos!$F$2:$F$2224,"&gt;250"),"")</f>
        <v/>
      </c>
      <c r="P85" s="28" t="n">
        <f aca="false">IFERROR(AVERAGEIFS(Pedidos!$J$2:$J$2224,Pedidos!$E$2:$E$2224,$A85),"")</f>
        <v>131.783513513514</v>
      </c>
    </row>
    <row r="86" customFormat="false" ht="15" hidden="false" customHeight="false" outlineLevel="0" collapsed="false">
      <c r="A86" s="14" t="s">
        <v>87</v>
      </c>
      <c r="B86" s="28" t="str">
        <f aca="false">IFERROR(AVERAGEIFS(Pedidos!$J$2:$J$2224,Pedidos!$E$2:$E$2224,$A86,Pedidos!$F$2:$F$2224,"0-20"),"")</f>
        <v/>
      </c>
      <c r="C86" s="28" t="n">
        <f aca="false">IFERROR(AVERAGEIFS(Pedidos!$J$2:$J$2224,Pedidos!$E$2:$E$2224,$A86,Pedidos!$F$2:$F$2224,"20-35"),"")</f>
        <v>109.00375</v>
      </c>
      <c r="D86" s="28" t="n">
        <f aca="false">IFERROR(AVERAGEIFS(Pedidos!$J$2:$J$2224,Pedidos!$E$2:$E$2224,$A86,Pedidos!$F$2:$F$2224,"35-40"),"")</f>
        <v>122.58125</v>
      </c>
      <c r="E86" s="28" t="n">
        <f aca="false">IFERROR(AVERAGEIFS(Pedidos!$J$2:$J$2224,Pedidos!$E$2:$E$2224,$A86,Pedidos!$F$2:$F$2224,"40-50"),"")</f>
        <v>131.388</v>
      </c>
      <c r="F86" s="28" t="n">
        <f aca="false">IFERROR(AVERAGEIFS(Pedidos!$J$2:$J$2224,Pedidos!$E$2:$E$2224,$A86,Pedidos!$F$2:$F$2224,"50-60"),"")</f>
        <v>142.411428571429</v>
      </c>
      <c r="G86" s="28" t="n">
        <f aca="false">IFERROR(AVERAGEIFS(Pedidos!$J$2:$J$2224,Pedidos!$E$2:$E$2224,$A86,Pedidos!$F$2:$F$2224,"60-70"),"")</f>
        <v>155.542</v>
      </c>
      <c r="H86" s="28" t="str">
        <f aca="false">IFERROR(AVERAGEIFS(Pedidos!$J$2:$J$2224,Pedidos!$E$2:$E$2224,$A86,Pedidos!$F$2:$F$2224,"70-80"),"")</f>
        <v/>
      </c>
      <c r="I86" s="28" t="n">
        <f aca="false">IFERROR(AVERAGEIFS(Pedidos!$J$2:$J$2224,Pedidos!$E$2:$E$2224,$A86,Pedidos!$F$2:$F$2224,"80-100"),"")</f>
        <v>195.31</v>
      </c>
      <c r="J86" s="28" t="n">
        <f aca="false">IFERROR(AVERAGEIFS(Pedidos!$J$2:$J$2224,Pedidos!$E$2:$E$2224,$A86,Pedidos!$F$2:$F$2224,"100-120"),"")</f>
        <v>215.85</v>
      </c>
      <c r="K86" s="28" t="n">
        <f aca="false">IFERROR(AVERAGEIFS(Pedidos!$J$2:$J$2224,Pedidos!$E$2:$E$2224,$A86,Pedidos!$F$2:$F$2224,"120-150"),"")</f>
        <v>261</v>
      </c>
      <c r="L86" s="28" t="str">
        <f aca="false">IFERROR(AVERAGEIFS(Pedidos!$J$2:$J$2224,Pedidos!$E$2:$E$2224,$A86,Pedidos!$F$2:$F$2224,"150-170"),"")</f>
        <v/>
      </c>
      <c r="M86" s="28" t="str">
        <f aca="false">IFERROR(AVERAGEIFS(Pedidos!$J$2:$J$2224,Pedidos!$E$2:$E$2224,$A86,Pedidos!$F$2:$F$2224,"170-200"),"")</f>
        <v/>
      </c>
      <c r="N86" s="28" t="str">
        <f aca="false">IFERROR(AVERAGEIFS(Pedidos!$J$2:$J$2224,Pedidos!$E$2:$E$2224,$A86,Pedidos!$F$2:$F$2224,"200-250"),"")</f>
        <v/>
      </c>
      <c r="O86" s="28" t="str">
        <f aca="false">IFERROR(AVERAGEIFS(Pedidos!$J$2:$J$2224,Pedidos!$E$2:$E$2224,$A86,Pedidos!$F$2:$F$2224,"&gt;250"),"")</f>
        <v/>
      </c>
      <c r="P86" s="28" t="n">
        <f aca="false">IFERROR(AVERAGEIFS(Pedidos!$J$2:$J$2224,Pedidos!$E$2:$E$2224,$A86),"")</f>
        <v>139.234594594595</v>
      </c>
    </row>
    <row r="87" customFormat="false" ht="15" hidden="false" customHeight="false" outlineLevel="0" collapsed="false">
      <c r="A87" s="14" t="s">
        <v>88</v>
      </c>
      <c r="B87" s="28" t="n">
        <f aca="false">IFERROR(AVERAGEIFS(Pedidos!$J$2:$J$2224,Pedidos!$E$2:$E$2224,$A87,Pedidos!$F$2:$F$2224,"0-20"),"")</f>
        <v>79.8833333333333</v>
      </c>
      <c r="C87" s="28" t="n">
        <f aca="false">IFERROR(AVERAGEIFS(Pedidos!$J$2:$J$2224,Pedidos!$E$2:$E$2224,$A87,Pedidos!$F$2:$F$2224,"20-35"),"")</f>
        <v>109.213333333333</v>
      </c>
      <c r="D87" s="28" t="n">
        <f aca="false">IFERROR(AVERAGEIFS(Pedidos!$J$2:$J$2224,Pedidos!$E$2:$E$2224,$A87,Pedidos!$F$2:$F$2224,"35-40"),"")</f>
        <v>123.674</v>
      </c>
      <c r="E87" s="28" t="n">
        <f aca="false">IFERROR(AVERAGEIFS(Pedidos!$J$2:$J$2224,Pedidos!$E$2:$E$2224,$A87,Pedidos!$F$2:$F$2224,"40-50"),"")</f>
        <v>131.12625</v>
      </c>
      <c r="F87" s="28" t="n">
        <f aca="false">IFERROR(AVERAGEIFS(Pedidos!$J$2:$J$2224,Pedidos!$E$2:$E$2224,$A87,Pedidos!$F$2:$F$2224,"50-60"),"")</f>
        <v>142.995555555556</v>
      </c>
      <c r="G87" s="28" t="n">
        <f aca="false">IFERROR(AVERAGEIFS(Pedidos!$J$2:$J$2224,Pedidos!$E$2:$E$2224,$A87,Pedidos!$F$2:$F$2224,"60-70"),"")</f>
        <v>156.615</v>
      </c>
      <c r="H87" s="28" t="n">
        <f aca="false">IFERROR(AVERAGEIFS(Pedidos!$J$2:$J$2224,Pedidos!$E$2:$E$2224,$A87,Pedidos!$F$2:$F$2224,"70-80"),"")</f>
        <v>168.01</v>
      </c>
      <c r="I87" s="28" t="n">
        <f aca="false">IFERROR(AVERAGEIFS(Pedidos!$J$2:$J$2224,Pedidos!$E$2:$E$2224,$A87,Pedidos!$F$2:$F$2224,"80-100"),"")</f>
        <v>193.15</v>
      </c>
      <c r="J87" s="28" t="str">
        <f aca="false">IFERROR(AVERAGEIFS(Pedidos!$J$2:$J$2224,Pedidos!$E$2:$E$2224,$A87,Pedidos!$F$2:$F$2224,"100-120"),"")</f>
        <v/>
      </c>
      <c r="K87" s="28" t="str">
        <f aca="false">IFERROR(AVERAGEIFS(Pedidos!$J$2:$J$2224,Pedidos!$E$2:$E$2224,$A87,Pedidos!$F$2:$F$2224,"120-150"),"")</f>
        <v/>
      </c>
      <c r="L87" s="28" t="str">
        <f aca="false">IFERROR(AVERAGEIFS(Pedidos!$J$2:$J$2224,Pedidos!$E$2:$E$2224,$A87,Pedidos!$F$2:$F$2224,"150-170"),"")</f>
        <v/>
      </c>
      <c r="M87" s="28" t="str">
        <f aca="false">IFERROR(AVERAGEIFS(Pedidos!$J$2:$J$2224,Pedidos!$E$2:$E$2224,$A87,Pedidos!$F$2:$F$2224,"170-200"),"")</f>
        <v/>
      </c>
      <c r="N87" s="28" t="str">
        <f aca="false">IFERROR(AVERAGEIFS(Pedidos!$J$2:$J$2224,Pedidos!$E$2:$E$2224,$A87,Pedidos!$F$2:$F$2224,"200-250"),"")</f>
        <v/>
      </c>
      <c r="O87" s="28" t="str">
        <f aca="false">IFERROR(AVERAGEIFS(Pedidos!$J$2:$J$2224,Pedidos!$E$2:$E$2224,$A87,Pedidos!$F$2:$F$2224,"&gt;250"),"")</f>
        <v/>
      </c>
      <c r="P87" s="28" t="n">
        <f aca="false">IFERROR(AVERAGEIFS(Pedidos!$J$2:$J$2224,Pedidos!$E$2:$E$2224,$A87),"")</f>
        <v>129.247428571429</v>
      </c>
    </row>
    <row r="88" customFormat="false" ht="15" hidden="false" customHeight="false" outlineLevel="0" collapsed="false">
      <c r="A88" s="14" t="s">
        <v>89</v>
      </c>
      <c r="B88" s="28" t="str">
        <f aca="false">IFERROR(AVERAGEIFS(Pedidos!$J$2:$J$2224,Pedidos!$E$2:$E$2224,$A88,Pedidos!$F$2:$F$2224,"0-20"),"")</f>
        <v/>
      </c>
      <c r="C88" s="28" t="n">
        <f aca="false">IFERROR(AVERAGEIFS(Pedidos!$J$2:$J$2224,Pedidos!$E$2:$E$2224,$A88,Pedidos!$F$2:$F$2224,"20-35"),"")</f>
        <v>109.648</v>
      </c>
      <c r="D88" s="28" t="n">
        <f aca="false">IFERROR(AVERAGEIFS(Pedidos!$J$2:$J$2224,Pedidos!$E$2:$E$2224,$A88,Pedidos!$F$2:$F$2224,"35-40"),"")</f>
        <v>122.601428571429</v>
      </c>
      <c r="E88" s="28" t="n">
        <f aca="false">IFERROR(AVERAGEIFS(Pedidos!$J$2:$J$2224,Pedidos!$E$2:$E$2224,$A88,Pedidos!$F$2:$F$2224,"40-50"),"")</f>
        <v>132.226666666667</v>
      </c>
      <c r="F88" s="28" t="n">
        <f aca="false">IFERROR(AVERAGEIFS(Pedidos!$J$2:$J$2224,Pedidos!$E$2:$E$2224,$A88,Pedidos!$F$2:$F$2224,"50-60"),"")</f>
        <v>143.951666666667</v>
      </c>
      <c r="G88" s="28" t="n">
        <f aca="false">IFERROR(AVERAGEIFS(Pedidos!$J$2:$J$2224,Pedidos!$E$2:$E$2224,$A88,Pedidos!$F$2:$F$2224,"60-70"),"")</f>
        <v>156.6</v>
      </c>
      <c r="H88" s="28" t="n">
        <f aca="false">IFERROR(AVERAGEIFS(Pedidos!$J$2:$J$2224,Pedidos!$E$2:$E$2224,$A88,Pedidos!$F$2:$F$2224,"70-80"),"")</f>
        <v>168.06</v>
      </c>
      <c r="I88" s="28" t="n">
        <f aca="false">IFERROR(AVERAGEIFS(Pedidos!$J$2:$J$2224,Pedidos!$E$2:$E$2224,$A88,Pedidos!$F$2:$F$2224,"80-100"),"")</f>
        <v>192.72</v>
      </c>
      <c r="J88" s="28" t="n">
        <f aca="false">IFERROR(AVERAGEIFS(Pedidos!$J$2:$J$2224,Pedidos!$E$2:$E$2224,$A88,Pedidos!$F$2:$F$2224,"100-120"),"")</f>
        <v>213.84</v>
      </c>
      <c r="K88" s="28" t="n">
        <f aca="false">IFERROR(AVERAGEIFS(Pedidos!$J$2:$J$2224,Pedidos!$E$2:$E$2224,$A88,Pedidos!$F$2:$F$2224,"120-150"),"")</f>
        <v>256.043333333333</v>
      </c>
      <c r="L88" s="28" t="str">
        <f aca="false">IFERROR(AVERAGEIFS(Pedidos!$J$2:$J$2224,Pedidos!$E$2:$E$2224,$A88,Pedidos!$F$2:$F$2224,"150-170"),"")</f>
        <v/>
      </c>
      <c r="M88" s="28" t="str">
        <f aca="false">IFERROR(AVERAGEIFS(Pedidos!$J$2:$J$2224,Pedidos!$E$2:$E$2224,$A88,Pedidos!$F$2:$F$2224,"170-200"),"")</f>
        <v/>
      </c>
      <c r="N88" s="28" t="str">
        <f aca="false">IFERROR(AVERAGEIFS(Pedidos!$J$2:$J$2224,Pedidos!$E$2:$E$2224,$A88,Pedidos!$F$2:$F$2224,"200-250"),"")</f>
        <v/>
      </c>
      <c r="O88" s="28" t="str">
        <f aca="false">IFERROR(AVERAGEIFS(Pedidos!$J$2:$J$2224,Pedidos!$E$2:$E$2224,$A88,Pedidos!$F$2:$F$2224,"&gt;250"),"")</f>
        <v/>
      </c>
      <c r="P88" s="28" t="n">
        <f aca="false">IFERROR(AVERAGEIFS(Pedidos!$J$2:$J$2224,Pedidos!$E$2:$E$2224,$A88),"")</f>
        <v>149.7684375</v>
      </c>
    </row>
    <row r="89" customFormat="false" ht="15" hidden="false" customHeight="false" outlineLevel="0" collapsed="false">
      <c r="A89" s="14" t="s">
        <v>90</v>
      </c>
      <c r="B89" s="28" t="str">
        <f aca="false">IFERROR(AVERAGEIFS(Pedidos!$J$2:$J$2224,Pedidos!$E$2:$E$2224,$A89,Pedidos!$F$2:$F$2224,"0-20"),"")</f>
        <v/>
      </c>
      <c r="C89" s="28" t="n">
        <f aca="false">IFERROR(AVERAGEIFS(Pedidos!$J$2:$J$2224,Pedidos!$E$2:$E$2224,$A89,Pedidos!$F$2:$F$2224,"20-35"),"")</f>
        <v>108.7</v>
      </c>
      <c r="D89" s="28" t="n">
        <f aca="false">IFERROR(AVERAGEIFS(Pedidos!$J$2:$J$2224,Pedidos!$E$2:$E$2224,$A89,Pedidos!$F$2:$F$2224,"35-40"),"")</f>
        <v>122.854285714286</v>
      </c>
      <c r="E89" s="28" t="n">
        <f aca="false">IFERROR(AVERAGEIFS(Pedidos!$J$2:$J$2224,Pedidos!$E$2:$E$2224,$A89,Pedidos!$F$2:$F$2224,"40-50"),"")</f>
        <v>131.823333333333</v>
      </c>
      <c r="F89" s="28" t="n">
        <f aca="false">IFERROR(AVERAGEIFS(Pedidos!$J$2:$J$2224,Pedidos!$E$2:$E$2224,$A89,Pedidos!$F$2:$F$2224,"50-60"),"")</f>
        <v>142.915</v>
      </c>
      <c r="G89" s="28" t="n">
        <f aca="false">IFERROR(AVERAGEIFS(Pedidos!$J$2:$J$2224,Pedidos!$E$2:$E$2224,$A89,Pedidos!$F$2:$F$2224,"60-70"),"")</f>
        <v>156.386666666667</v>
      </c>
      <c r="H89" s="28" t="n">
        <f aca="false">IFERROR(AVERAGEIFS(Pedidos!$J$2:$J$2224,Pedidos!$E$2:$E$2224,$A89,Pedidos!$F$2:$F$2224,"70-80"),"")</f>
        <v>168.66</v>
      </c>
      <c r="I89" s="28" t="str">
        <f aca="false">IFERROR(AVERAGEIFS(Pedidos!$J$2:$J$2224,Pedidos!$E$2:$E$2224,$A89,Pedidos!$F$2:$F$2224,"80-100"),"")</f>
        <v/>
      </c>
      <c r="J89" s="28" t="n">
        <f aca="false">IFERROR(AVERAGEIFS(Pedidos!$J$2:$J$2224,Pedidos!$E$2:$E$2224,$A89,Pedidos!$F$2:$F$2224,"100-120"),"")</f>
        <v>214.02</v>
      </c>
      <c r="K89" s="28" t="n">
        <f aca="false">IFERROR(AVERAGEIFS(Pedidos!$J$2:$J$2224,Pedidos!$E$2:$E$2224,$A89,Pedidos!$F$2:$F$2224,"120-150"),"")</f>
        <v>258.113333333333</v>
      </c>
      <c r="L89" s="28" t="str">
        <f aca="false">IFERROR(AVERAGEIFS(Pedidos!$J$2:$J$2224,Pedidos!$E$2:$E$2224,$A89,Pedidos!$F$2:$F$2224,"150-170"),"")</f>
        <v/>
      </c>
      <c r="M89" s="28" t="str">
        <f aca="false">IFERROR(AVERAGEIFS(Pedidos!$J$2:$J$2224,Pedidos!$E$2:$E$2224,$A89,Pedidos!$F$2:$F$2224,"170-200"),"")</f>
        <v/>
      </c>
      <c r="N89" s="28" t="str">
        <f aca="false">IFERROR(AVERAGEIFS(Pedidos!$J$2:$J$2224,Pedidos!$E$2:$E$2224,$A89,Pedidos!$F$2:$F$2224,"200-250"),"")</f>
        <v/>
      </c>
      <c r="O89" s="28" t="str">
        <f aca="false">IFERROR(AVERAGEIFS(Pedidos!$J$2:$J$2224,Pedidos!$E$2:$E$2224,$A89,Pedidos!$F$2:$F$2224,"&gt;250"),"")</f>
        <v/>
      </c>
      <c r="P89" s="28" t="n">
        <f aca="false">IFERROR(AVERAGEIFS(Pedidos!$J$2:$J$2224,Pedidos!$E$2:$E$2224,$A89),"")</f>
        <v>146.1609375</v>
      </c>
    </row>
    <row r="90" customFormat="false" ht="15" hidden="false" customHeight="false" outlineLevel="0" collapsed="false">
      <c r="A90" s="14" t="s">
        <v>91</v>
      </c>
      <c r="B90" s="28" t="n">
        <f aca="false">IFERROR(AVERAGEIFS(Pedidos!$J$2:$J$2224,Pedidos!$E$2:$E$2224,$A90,Pedidos!$F$2:$F$2224,"0-20"),"")</f>
        <v>79.72</v>
      </c>
      <c r="C90" s="28" t="n">
        <f aca="false">IFERROR(AVERAGEIFS(Pedidos!$J$2:$J$2224,Pedidos!$E$2:$E$2224,$A90,Pedidos!$F$2:$F$2224,"20-35"),"")</f>
        <v>108.616</v>
      </c>
      <c r="D90" s="28" t="n">
        <f aca="false">IFERROR(AVERAGEIFS(Pedidos!$J$2:$J$2224,Pedidos!$E$2:$E$2224,$A90,Pedidos!$F$2:$F$2224,"35-40"),"")</f>
        <v>122.538888888889</v>
      </c>
      <c r="E90" s="28" t="n">
        <f aca="false">IFERROR(AVERAGEIFS(Pedidos!$J$2:$J$2224,Pedidos!$E$2:$E$2224,$A90,Pedidos!$F$2:$F$2224,"40-50"),"")</f>
        <v>131.216666666667</v>
      </c>
      <c r="F90" s="28" t="n">
        <f aca="false">IFERROR(AVERAGEIFS(Pedidos!$J$2:$J$2224,Pedidos!$E$2:$E$2224,$A90,Pedidos!$F$2:$F$2224,"50-60"),"")</f>
        <v>145.35</v>
      </c>
      <c r="G90" s="28" t="n">
        <f aca="false">IFERROR(AVERAGEIFS(Pedidos!$J$2:$J$2224,Pedidos!$E$2:$E$2224,$A90,Pedidos!$F$2:$F$2224,"60-70"),"")</f>
        <v>155.9</v>
      </c>
      <c r="H90" s="28" t="str">
        <f aca="false">IFERROR(AVERAGEIFS(Pedidos!$J$2:$J$2224,Pedidos!$E$2:$E$2224,$A90,Pedidos!$F$2:$F$2224,"70-80"),"")</f>
        <v/>
      </c>
      <c r="I90" s="28" t="str">
        <f aca="false">IFERROR(AVERAGEIFS(Pedidos!$J$2:$J$2224,Pedidos!$E$2:$E$2224,$A90,Pedidos!$F$2:$F$2224,"80-100"),"")</f>
        <v/>
      </c>
      <c r="J90" s="28" t="str">
        <f aca="false">IFERROR(AVERAGEIFS(Pedidos!$J$2:$J$2224,Pedidos!$E$2:$E$2224,$A90,Pedidos!$F$2:$F$2224,"100-120"),"")</f>
        <v/>
      </c>
      <c r="K90" s="28" t="str">
        <f aca="false">IFERROR(AVERAGEIFS(Pedidos!$J$2:$J$2224,Pedidos!$E$2:$E$2224,$A90,Pedidos!$F$2:$F$2224,"120-150"),"")</f>
        <v/>
      </c>
      <c r="L90" s="28" t="str">
        <f aca="false">IFERROR(AVERAGEIFS(Pedidos!$J$2:$J$2224,Pedidos!$E$2:$E$2224,$A90,Pedidos!$F$2:$F$2224,"150-170"),"")</f>
        <v/>
      </c>
      <c r="M90" s="28" t="str">
        <f aca="false">IFERROR(AVERAGEIFS(Pedidos!$J$2:$J$2224,Pedidos!$E$2:$E$2224,$A90,Pedidos!$F$2:$F$2224,"170-200"),"")</f>
        <v/>
      </c>
      <c r="N90" s="28" t="str">
        <f aca="false">IFERROR(AVERAGEIFS(Pedidos!$J$2:$J$2224,Pedidos!$E$2:$E$2224,$A90,Pedidos!$F$2:$F$2224,"200-250"),"")</f>
        <v/>
      </c>
      <c r="O90" s="28" t="str">
        <f aca="false">IFERROR(AVERAGEIFS(Pedidos!$J$2:$J$2224,Pedidos!$E$2:$E$2224,$A90,Pedidos!$F$2:$F$2224,"&gt;250"),"")</f>
        <v/>
      </c>
      <c r="P90" s="28" t="n">
        <f aca="false">IFERROR(AVERAGEIFS(Pedidos!$J$2:$J$2224,Pedidos!$E$2:$E$2224,$A90),"")</f>
        <v>127.592857142857</v>
      </c>
    </row>
    <row r="91" customFormat="false" ht="15" hidden="false" customHeight="false" outlineLevel="0" collapsed="false">
      <c r="A91" s="14" t="s">
        <v>92</v>
      </c>
      <c r="B91" s="28" t="str">
        <f aca="false">IFERROR(AVERAGEIFS(Pedidos!$J$2:$J$2224,Pedidos!$E$2:$E$2224,$A91,Pedidos!$F$2:$F$2224,"0-20"),"")</f>
        <v/>
      </c>
      <c r="C91" s="28" t="n">
        <f aca="false">IFERROR(AVERAGEIFS(Pedidos!$J$2:$J$2224,Pedidos!$E$2:$E$2224,$A91,Pedidos!$F$2:$F$2224,"20-35"),"")</f>
        <v>108.656666666667</v>
      </c>
      <c r="D91" s="28" t="n">
        <f aca="false">IFERROR(AVERAGEIFS(Pedidos!$J$2:$J$2224,Pedidos!$E$2:$E$2224,$A91,Pedidos!$F$2:$F$2224,"35-40"),"")</f>
        <v>122.605</v>
      </c>
      <c r="E91" s="28" t="n">
        <f aca="false">IFERROR(AVERAGEIFS(Pedidos!$J$2:$J$2224,Pedidos!$E$2:$E$2224,$A91,Pedidos!$F$2:$F$2224,"40-50"),"")</f>
        <v>130.06</v>
      </c>
      <c r="F91" s="28" t="n">
        <f aca="false">IFERROR(AVERAGEIFS(Pedidos!$J$2:$J$2224,Pedidos!$E$2:$E$2224,$A91,Pedidos!$F$2:$F$2224,"50-60"),"")</f>
        <v>143.483333333333</v>
      </c>
      <c r="G91" s="28" t="n">
        <f aca="false">IFERROR(AVERAGEIFS(Pedidos!$J$2:$J$2224,Pedidos!$E$2:$E$2224,$A91,Pedidos!$F$2:$F$2224,"60-70"),"")</f>
        <v>155.523333333333</v>
      </c>
      <c r="H91" s="28" t="n">
        <f aca="false">IFERROR(AVERAGEIFS(Pedidos!$J$2:$J$2224,Pedidos!$E$2:$E$2224,$A91,Pedidos!$F$2:$F$2224,"70-80"),"")</f>
        <v>168.13</v>
      </c>
      <c r="I91" s="28" t="n">
        <f aca="false">IFERROR(AVERAGEIFS(Pedidos!$J$2:$J$2224,Pedidos!$E$2:$E$2224,$A91,Pedidos!$F$2:$F$2224,"80-100"),"")</f>
        <v>192.33</v>
      </c>
      <c r="J91" s="28" t="str">
        <f aca="false">IFERROR(AVERAGEIFS(Pedidos!$J$2:$J$2224,Pedidos!$E$2:$E$2224,$A91,Pedidos!$F$2:$F$2224,"100-120"),"")</f>
        <v/>
      </c>
      <c r="K91" s="28" t="str">
        <f aca="false">IFERROR(AVERAGEIFS(Pedidos!$J$2:$J$2224,Pedidos!$E$2:$E$2224,$A91,Pedidos!$F$2:$F$2224,"120-150"),"")</f>
        <v/>
      </c>
      <c r="L91" s="28" t="str">
        <f aca="false">IFERROR(AVERAGEIFS(Pedidos!$J$2:$J$2224,Pedidos!$E$2:$E$2224,$A91,Pedidos!$F$2:$F$2224,"150-170"),"")</f>
        <v/>
      </c>
      <c r="M91" s="28" t="str">
        <f aca="false">IFERROR(AVERAGEIFS(Pedidos!$J$2:$J$2224,Pedidos!$E$2:$E$2224,$A91,Pedidos!$F$2:$F$2224,"170-200"),"")</f>
        <v/>
      </c>
      <c r="N91" s="28" t="str">
        <f aca="false">IFERROR(AVERAGEIFS(Pedidos!$J$2:$J$2224,Pedidos!$E$2:$E$2224,$A91,Pedidos!$F$2:$F$2224,"200-250"),"")</f>
        <v/>
      </c>
      <c r="O91" s="28" t="str">
        <f aca="false">IFERROR(AVERAGEIFS(Pedidos!$J$2:$J$2224,Pedidos!$E$2:$E$2224,$A91,Pedidos!$F$2:$F$2224,"&gt;250"),"")</f>
        <v/>
      </c>
      <c r="P91" s="28" t="n">
        <f aca="false">IFERROR(AVERAGEIFS(Pedidos!$J$2:$J$2224,Pedidos!$E$2:$E$2224,$A91),"")</f>
        <v>134.354285714286</v>
      </c>
    </row>
    <row r="92" customFormat="false" ht="15" hidden="false" customHeight="false" outlineLevel="0" collapsed="false">
      <c r="A92" s="14" t="s">
        <v>93</v>
      </c>
      <c r="B92" s="28" t="n">
        <f aca="false">IFERROR(AVERAGEIFS(Pedidos!$J$2:$J$2224,Pedidos!$E$2:$E$2224,$A92,Pedidos!$F$2:$F$2224,"0-20"),"")</f>
        <v>79.82</v>
      </c>
      <c r="C92" s="28" t="n">
        <f aca="false">IFERROR(AVERAGEIFS(Pedidos!$J$2:$J$2224,Pedidos!$E$2:$E$2224,$A92,Pedidos!$F$2:$F$2224,"20-35"),"")</f>
        <v>109.585</v>
      </c>
      <c r="D92" s="28" t="n">
        <f aca="false">IFERROR(AVERAGEIFS(Pedidos!$J$2:$J$2224,Pedidos!$E$2:$E$2224,$A92,Pedidos!$F$2:$F$2224,"35-40"),"")</f>
        <v>123.076666666667</v>
      </c>
      <c r="E92" s="28" t="n">
        <f aca="false">IFERROR(AVERAGEIFS(Pedidos!$J$2:$J$2224,Pedidos!$E$2:$E$2224,$A92,Pedidos!$F$2:$F$2224,"40-50"),"")</f>
        <v>131.648571428571</v>
      </c>
      <c r="F92" s="28" t="n">
        <f aca="false">IFERROR(AVERAGEIFS(Pedidos!$J$2:$J$2224,Pedidos!$E$2:$E$2224,$A92,Pedidos!$F$2:$F$2224,"50-60"),"")</f>
        <v>141.9</v>
      </c>
      <c r="G92" s="28" t="n">
        <f aca="false">IFERROR(AVERAGEIFS(Pedidos!$J$2:$J$2224,Pedidos!$E$2:$E$2224,$A92,Pedidos!$F$2:$F$2224,"60-70"),"")</f>
        <v>156.756666666667</v>
      </c>
      <c r="H92" s="28" t="str">
        <f aca="false">IFERROR(AVERAGEIFS(Pedidos!$J$2:$J$2224,Pedidos!$E$2:$E$2224,$A92,Pedidos!$F$2:$F$2224,"70-80"),"")</f>
        <v/>
      </c>
      <c r="I92" s="28" t="str">
        <f aca="false">IFERROR(AVERAGEIFS(Pedidos!$J$2:$J$2224,Pedidos!$E$2:$E$2224,$A92,Pedidos!$F$2:$F$2224,"80-100"),"")</f>
        <v/>
      </c>
      <c r="J92" s="28" t="str">
        <f aca="false">IFERROR(AVERAGEIFS(Pedidos!$J$2:$J$2224,Pedidos!$E$2:$E$2224,$A92,Pedidos!$F$2:$F$2224,"100-120"),"")</f>
        <v/>
      </c>
      <c r="K92" s="28" t="n">
        <f aca="false">IFERROR(AVERAGEIFS(Pedidos!$J$2:$J$2224,Pedidos!$E$2:$E$2224,$A92,Pedidos!$F$2:$F$2224,"120-150"),"")</f>
        <v>256.48</v>
      </c>
      <c r="L92" s="28" t="str">
        <f aca="false">IFERROR(AVERAGEIFS(Pedidos!$J$2:$J$2224,Pedidos!$E$2:$E$2224,$A92,Pedidos!$F$2:$F$2224,"150-170"),"")</f>
        <v/>
      </c>
      <c r="M92" s="28" t="str">
        <f aca="false">IFERROR(AVERAGEIFS(Pedidos!$J$2:$J$2224,Pedidos!$E$2:$E$2224,$A92,Pedidos!$F$2:$F$2224,"170-200"),"")</f>
        <v/>
      </c>
      <c r="N92" s="28" t="str">
        <f aca="false">IFERROR(AVERAGEIFS(Pedidos!$J$2:$J$2224,Pedidos!$E$2:$E$2224,$A92,Pedidos!$F$2:$F$2224,"200-250"),"")</f>
        <v/>
      </c>
      <c r="O92" s="28" t="str">
        <f aca="false">IFERROR(AVERAGEIFS(Pedidos!$J$2:$J$2224,Pedidos!$E$2:$E$2224,$A92,Pedidos!$F$2:$F$2224,"&gt;250"),"")</f>
        <v/>
      </c>
      <c r="P92" s="28" t="n">
        <f aca="false">IFERROR(AVERAGEIFS(Pedidos!$J$2:$J$2224,Pedidos!$E$2:$E$2224,$A92),"")</f>
        <v>137.4812</v>
      </c>
    </row>
    <row r="93" customFormat="false" ht="15" hidden="false" customHeight="false" outlineLevel="0" collapsed="false">
      <c r="A93" s="14" t="s">
        <v>94</v>
      </c>
      <c r="B93" s="28" t="n">
        <f aca="false">IFERROR(AVERAGEIFS(Pedidos!$J$2:$J$2224,Pedidos!$E$2:$E$2224,$A93,Pedidos!$F$2:$F$2224,"0-20"),"")</f>
        <v>77.18</v>
      </c>
      <c r="C93" s="28" t="n">
        <f aca="false">IFERROR(AVERAGEIFS(Pedidos!$J$2:$J$2224,Pedidos!$E$2:$E$2224,$A93,Pedidos!$F$2:$F$2224,"20-35"),"")</f>
        <v>101.296666666667</v>
      </c>
      <c r="D93" s="28" t="n">
        <f aca="false">IFERROR(AVERAGEIFS(Pedidos!$J$2:$J$2224,Pedidos!$E$2:$E$2224,$A93,Pedidos!$F$2:$F$2224,"35-40"),"")</f>
        <v>114.738</v>
      </c>
      <c r="E93" s="28" t="n">
        <f aca="false">IFERROR(AVERAGEIFS(Pedidos!$J$2:$J$2224,Pedidos!$E$2:$E$2224,$A93,Pedidos!$F$2:$F$2224,"40-50"),"")</f>
        <v>117.572</v>
      </c>
      <c r="F93" s="28" t="n">
        <f aca="false">IFERROR(AVERAGEIFS(Pedidos!$J$2:$J$2224,Pedidos!$E$2:$E$2224,$A93,Pedidos!$F$2:$F$2224,"50-60"),"")</f>
        <v>130.29</v>
      </c>
      <c r="G93" s="28" t="n">
        <f aca="false">IFERROR(AVERAGEIFS(Pedidos!$J$2:$J$2224,Pedidos!$E$2:$E$2224,$A93,Pedidos!$F$2:$F$2224,"60-70"),"")</f>
        <v>142.22</v>
      </c>
      <c r="H93" s="28" t="str">
        <f aca="false">IFERROR(AVERAGEIFS(Pedidos!$J$2:$J$2224,Pedidos!$E$2:$E$2224,$A93,Pedidos!$F$2:$F$2224,"70-80"),"")</f>
        <v/>
      </c>
      <c r="I93" s="28" t="str">
        <f aca="false">IFERROR(AVERAGEIFS(Pedidos!$J$2:$J$2224,Pedidos!$E$2:$E$2224,$A93,Pedidos!$F$2:$F$2224,"80-100"),"")</f>
        <v/>
      </c>
      <c r="J93" s="28" t="n">
        <f aca="false">IFERROR(AVERAGEIFS(Pedidos!$J$2:$J$2224,Pedidos!$E$2:$E$2224,$A93,Pedidos!$F$2:$F$2224,"100-120"),"")</f>
        <v>194.105</v>
      </c>
      <c r="K93" s="28" t="str">
        <f aca="false">IFERROR(AVERAGEIFS(Pedidos!$J$2:$J$2224,Pedidos!$E$2:$E$2224,$A93,Pedidos!$F$2:$F$2224,"120-150"),"")</f>
        <v/>
      </c>
      <c r="L93" s="28" t="str">
        <f aca="false">IFERROR(AVERAGEIFS(Pedidos!$J$2:$J$2224,Pedidos!$E$2:$E$2224,$A93,Pedidos!$F$2:$F$2224,"150-170"),"")</f>
        <v/>
      </c>
      <c r="M93" s="28" t="str">
        <f aca="false">IFERROR(AVERAGEIFS(Pedidos!$J$2:$J$2224,Pedidos!$E$2:$E$2224,$A93,Pedidos!$F$2:$F$2224,"170-200"),"")</f>
        <v/>
      </c>
      <c r="N93" s="28" t="str">
        <f aca="false">IFERROR(AVERAGEIFS(Pedidos!$J$2:$J$2224,Pedidos!$E$2:$E$2224,$A93,Pedidos!$F$2:$F$2224,"200-250"),"")</f>
        <v/>
      </c>
      <c r="O93" s="28" t="str">
        <f aca="false">IFERROR(AVERAGEIFS(Pedidos!$J$2:$J$2224,Pedidos!$E$2:$E$2224,$A93,Pedidos!$F$2:$F$2224,"&gt;250"),"")</f>
        <v/>
      </c>
      <c r="P93" s="28" t="n">
        <f aca="false">IFERROR(AVERAGEIFS(Pedidos!$J$2:$J$2224,Pedidos!$E$2:$E$2224,$A93),"")</f>
        <v>124.67</v>
      </c>
    </row>
    <row r="94" customFormat="false" ht="15" hidden="false" customHeight="false" outlineLevel="0" collapsed="false">
      <c r="A94" s="14" t="s">
        <v>95</v>
      </c>
      <c r="B94" s="28" t="n">
        <f aca="false">IFERROR(AVERAGEIFS(Pedidos!$J$2:$J$2224,Pedidos!$E$2:$E$2224,$A94,Pedidos!$F$2:$F$2224,"0-20"),"")</f>
        <v>80.625</v>
      </c>
      <c r="C94" s="28" t="n">
        <f aca="false">IFERROR(AVERAGEIFS(Pedidos!$J$2:$J$2224,Pedidos!$E$2:$E$2224,$A94,Pedidos!$F$2:$F$2224,"20-35"),"")</f>
        <v>109.3025</v>
      </c>
      <c r="D94" s="28" t="n">
        <f aca="false">IFERROR(AVERAGEIFS(Pedidos!$J$2:$J$2224,Pedidos!$E$2:$E$2224,$A94,Pedidos!$F$2:$F$2224,"35-40"),"")</f>
        <v>122.855</v>
      </c>
      <c r="E94" s="28" t="n">
        <f aca="false">IFERROR(AVERAGEIFS(Pedidos!$J$2:$J$2224,Pedidos!$E$2:$E$2224,$A94,Pedidos!$F$2:$F$2224,"40-50"),"")</f>
        <v>130.665</v>
      </c>
      <c r="F94" s="28" t="n">
        <f aca="false">IFERROR(AVERAGEIFS(Pedidos!$J$2:$J$2224,Pedidos!$E$2:$E$2224,$A94,Pedidos!$F$2:$F$2224,"50-60"),"")</f>
        <v>142.31</v>
      </c>
      <c r="G94" s="28" t="n">
        <f aca="false">IFERROR(AVERAGEIFS(Pedidos!$J$2:$J$2224,Pedidos!$E$2:$E$2224,$A94,Pedidos!$F$2:$F$2224,"60-70"),"")</f>
        <v>155.74</v>
      </c>
      <c r="H94" s="28" t="str">
        <f aca="false">IFERROR(AVERAGEIFS(Pedidos!$J$2:$J$2224,Pedidos!$E$2:$E$2224,$A94,Pedidos!$F$2:$F$2224,"70-80"),"")</f>
        <v/>
      </c>
      <c r="I94" s="28" t="n">
        <f aca="false">IFERROR(AVERAGEIFS(Pedidos!$J$2:$J$2224,Pedidos!$E$2:$E$2224,$A94,Pedidos!$F$2:$F$2224,"80-100"),"")</f>
        <v>193.25</v>
      </c>
      <c r="J94" s="28" t="str">
        <f aca="false">IFERROR(AVERAGEIFS(Pedidos!$J$2:$J$2224,Pedidos!$E$2:$E$2224,$A94,Pedidos!$F$2:$F$2224,"100-120"),"")</f>
        <v/>
      </c>
      <c r="K94" s="28" t="str">
        <f aca="false">IFERROR(AVERAGEIFS(Pedidos!$J$2:$J$2224,Pedidos!$E$2:$E$2224,$A94,Pedidos!$F$2:$F$2224,"120-150"),"")</f>
        <v/>
      </c>
      <c r="L94" s="28" t="str">
        <f aca="false">IFERROR(AVERAGEIFS(Pedidos!$J$2:$J$2224,Pedidos!$E$2:$E$2224,$A94,Pedidos!$F$2:$F$2224,"150-170"),"")</f>
        <v/>
      </c>
      <c r="M94" s="28" t="str">
        <f aca="false">IFERROR(AVERAGEIFS(Pedidos!$J$2:$J$2224,Pedidos!$E$2:$E$2224,$A94,Pedidos!$F$2:$F$2224,"170-200"),"")</f>
        <v/>
      </c>
      <c r="N94" s="28" t="str">
        <f aca="false">IFERROR(AVERAGEIFS(Pedidos!$J$2:$J$2224,Pedidos!$E$2:$E$2224,$A94,Pedidos!$F$2:$F$2224,"200-250"),"")</f>
        <v/>
      </c>
      <c r="O94" s="28" t="str">
        <f aca="false">IFERROR(AVERAGEIFS(Pedidos!$J$2:$J$2224,Pedidos!$E$2:$E$2224,$A94,Pedidos!$F$2:$F$2224,"&gt;250"),"")</f>
        <v/>
      </c>
      <c r="P94" s="28" t="n">
        <f aca="false">IFERROR(AVERAGEIFS(Pedidos!$J$2:$J$2224,Pedidos!$E$2:$E$2224,$A94),"")</f>
        <v>124.39</v>
      </c>
    </row>
    <row r="95" customFormat="false" ht="15" hidden="false" customHeight="false" outlineLevel="0" collapsed="false">
      <c r="A95" s="14" t="s">
        <v>96</v>
      </c>
      <c r="B95" s="28" t="str">
        <f aca="false">IFERROR(AVERAGEIFS(Pedidos!$J$2:$J$2224,Pedidos!$E$2:$E$2224,$A95,Pedidos!$F$2:$F$2224,"0-20"),"")</f>
        <v/>
      </c>
      <c r="C95" s="28" t="n">
        <f aca="false">IFERROR(AVERAGEIFS(Pedidos!$J$2:$J$2224,Pedidos!$E$2:$E$2224,$A95,Pedidos!$F$2:$F$2224,"20-35"),"")</f>
        <v>109.8525</v>
      </c>
      <c r="D95" s="28" t="n">
        <f aca="false">IFERROR(AVERAGEIFS(Pedidos!$J$2:$J$2224,Pedidos!$E$2:$E$2224,$A95,Pedidos!$F$2:$F$2224,"35-40"),"")</f>
        <v>123.02</v>
      </c>
      <c r="E95" s="28" t="n">
        <f aca="false">IFERROR(AVERAGEIFS(Pedidos!$J$2:$J$2224,Pedidos!$E$2:$E$2224,$A95,Pedidos!$F$2:$F$2224,"40-50"),"")</f>
        <v>130.9625</v>
      </c>
      <c r="F95" s="28" t="n">
        <f aca="false">IFERROR(AVERAGEIFS(Pedidos!$J$2:$J$2224,Pedidos!$E$2:$E$2224,$A95,Pedidos!$F$2:$F$2224,"50-60"),"")</f>
        <v>142.663333333333</v>
      </c>
      <c r="G95" s="28" t="str">
        <f aca="false">IFERROR(AVERAGEIFS(Pedidos!$J$2:$J$2224,Pedidos!$E$2:$E$2224,$A95,Pedidos!$F$2:$F$2224,"60-70"),"")</f>
        <v/>
      </c>
      <c r="H95" s="28" t="str">
        <f aca="false">IFERROR(AVERAGEIFS(Pedidos!$J$2:$J$2224,Pedidos!$E$2:$E$2224,$A95,Pedidos!$F$2:$F$2224,"70-80"),"")</f>
        <v/>
      </c>
      <c r="I95" s="28" t="n">
        <f aca="false">IFERROR(AVERAGEIFS(Pedidos!$J$2:$J$2224,Pedidos!$E$2:$E$2224,$A95,Pedidos!$F$2:$F$2224,"80-100"),"")</f>
        <v>193.68</v>
      </c>
      <c r="J95" s="28" t="n">
        <f aca="false">IFERROR(AVERAGEIFS(Pedidos!$J$2:$J$2224,Pedidos!$E$2:$E$2224,$A95,Pedidos!$F$2:$F$2224,"100-120"),"")</f>
        <v>216.6</v>
      </c>
      <c r="K95" s="28" t="n">
        <f aca="false">IFERROR(AVERAGEIFS(Pedidos!$J$2:$J$2224,Pedidos!$E$2:$E$2224,$A95,Pedidos!$F$2:$F$2224,"120-150"),"")</f>
        <v>257.665</v>
      </c>
      <c r="L95" s="28" t="str">
        <f aca="false">IFERROR(AVERAGEIFS(Pedidos!$J$2:$J$2224,Pedidos!$E$2:$E$2224,$A95,Pedidos!$F$2:$F$2224,"150-170"),"")</f>
        <v/>
      </c>
      <c r="M95" s="28" t="str">
        <f aca="false">IFERROR(AVERAGEIFS(Pedidos!$J$2:$J$2224,Pedidos!$E$2:$E$2224,$A95,Pedidos!$F$2:$F$2224,"170-200"),"")</f>
        <v/>
      </c>
      <c r="N95" s="28" t="str">
        <f aca="false">IFERROR(AVERAGEIFS(Pedidos!$J$2:$J$2224,Pedidos!$E$2:$E$2224,$A95,Pedidos!$F$2:$F$2224,"200-250"),"")</f>
        <v/>
      </c>
      <c r="O95" s="28" t="str">
        <f aca="false">IFERROR(AVERAGEIFS(Pedidos!$J$2:$J$2224,Pedidos!$E$2:$E$2224,$A95,Pedidos!$F$2:$F$2224,"&gt;250"),"")</f>
        <v/>
      </c>
      <c r="P95" s="28" t="n">
        <f aca="false">IFERROR(AVERAGEIFS(Pedidos!$J$2:$J$2224,Pedidos!$E$2:$E$2224,$A95),"")</f>
        <v>149.217777777778</v>
      </c>
    </row>
    <row r="96" customFormat="false" ht="15" hidden="false" customHeight="false" outlineLevel="0" collapsed="false">
      <c r="A96" s="14" t="s">
        <v>97</v>
      </c>
      <c r="B96" s="28" t="str">
        <f aca="false">IFERROR(AVERAGEIFS(Pedidos!$J$2:$J$2224,Pedidos!$E$2:$E$2224,$A96,Pedidos!$F$2:$F$2224,"0-20"),"")</f>
        <v/>
      </c>
      <c r="C96" s="28" t="n">
        <f aca="false">IFERROR(AVERAGEIFS(Pedidos!$J$2:$J$2224,Pedidos!$E$2:$E$2224,$A96,Pedidos!$F$2:$F$2224,"20-35"),"")</f>
        <v>108.776666666667</v>
      </c>
      <c r="D96" s="28" t="n">
        <f aca="false">IFERROR(AVERAGEIFS(Pedidos!$J$2:$J$2224,Pedidos!$E$2:$E$2224,$A96,Pedidos!$F$2:$F$2224,"35-40"),"")</f>
        <v>122.955</v>
      </c>
      <c r="E96" s="28" t="n">
        <f aca="false">IFERROR(AVERAGEIFS(Pedidos!$J$2:$J$2224,Pedidos!$E$2:$E$2224,$A96,Pedidos!$F$2:$F$2224,"40-50"),"")</f>
        <v>130.456666666667</v>
      </c>
      <c r="F96" s="28" t="n">
        <f aca="false">IFERROR(AVERAGEIFS(Pedidos!$J$2:$J$2224,Pedidos!$E$2:$E$2224,$A96,Pedidos!$F$2:$F$2224,"50-60"),"")</f>
        <v>145.763333333333</v>
      </c>
      <c r="G96" s="28" t="n">
        <f aca="false">IFERROR(AVERAGEIFS(Pedidos!$J$2:$J$2224,Pedidos!$E$2:$E$2224,$A96,Pedidos!$F$2:$F$2224,"60-70"),"")</f>
        <v>155.403333333333</v>
      </c>
      <c r="H96" s="28" t="str">
        <f aca="false">IFERROR(AVERAGEIFS(Pedidos!$J$2:$J$2224,Pedidos!$E$2:$E$2224,$A96,Pedidos!$F$2:$F$2224,"70-80"),"")</f>
        <v/>
      </c>
      <c r="I96" s="28" t="n">
        <f aca="false">IFERROR(AVERAGEIFS(Pedidos!$J$2:$J$2224,Pedidos!$E$2:$E$2224,$A96,Pedidos!$F$2:$F$2224,"80-100"),"")</f>
        <v>191.66</v>
      </c>
      <c r="J96" s="28" t="str">
        <f aca="false">IFERROR(AVERAGEIFS(Pedidos!$J$2:$J$2224,Pedidos!$E$2:$E$2224,$A96,Pedidos!$F$2:$F$2224,"100-120"),"")</f>
        <v/>
      </c>
      <c r="K96" s="28" t="str">
        <f aca="false">IFERROR(AVERAGEIFS(Pedidos!$J$2:$J$2224,Pedidos!$E$2:$E$2224,$A96,Pedidos!$F$2:$F$2224,"120-150"),"")</f>
        <v/>
      </c>
      <c r="L96" s="28" t="str">
        <f aca="false">IFERROR(AVERAGEIFS(Pedidos!$J$2:$J$2224,Pedidos!$E$2:$E$2224,$A96,Pedidos!$F$2:$F$2224,"150-170"),"")</f>
        <v/>
      </c>
      <c r="M96" s="28" t="str">
        <f aca="false">IFERROR(AVERAGEIFS(Pedidos!$J$2:$J$2224,Pedidos!$E$2:$E$2224,$A96,Pedidos!$F$2:$F$2224,"170-200"),"")</f>
        <v/>
      </c>
      <c r="N96" s="28" t="str">
        <f aca="false">IFERROR(AVERAGEIFS(Pedidos!$J$2:$J$2224,Pedidos!$E$2:$E$2224,$A96,Pedidos!$F$2:$F$2224,"200-250"),"")</f>
        <v/>
      </c>
      <c r="O96" s="28" t="str">
        <f aca="false">IFERROR(AVERAGEIFS(Pedidos!$J$2:$J$2224,Pedidos!$E$2:$E$2224,$A96,Pedidos!$F$2:$F$2224,"&gt;250"),"")</f>
        <v/>
      </c>
      <c r="P96" s="28" t="n">
        <f aca="false">IFERROR(AVERAGEIFS(Pedidos!$J$2:$J$2224,Pedidos!$E$2:$E$2224,$A96),"")</f>
        <v>132.505555555556</v>
      </c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customFormat="false" ht="15" hidden="false" customHeight="false" outlineLevel="0" collapsed="false">
      <c r="A99" s="3" t="s">
        <v>130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customFormat="false" ht="15" hidden="false" customHeight="false" outlineLevel="0" collapsed="false">
      <c r="A100" s="4" t="s">
        <v>63</v>
      </c>
      <c r="B100" s="4" t="s">
        <v>105</v>
      </c>
      <c r="C100" s="4" t="s">
        <v>106</v>
      </c>
      <c r="D100" s="4" t="s">
        <v>107</v>
      </c>
      <c r="E100" s="4" t="s">
        <v>108</v>
      </c>
      <c r="F100" s="4" t="s">
        <v>109</v>
      </c>
      <c r="G100" s="4" t="s">
        <v>110</v>
      </c>
      <c r="H100" s="4" t="s">
        <v>111</v>
      </c>
      <c r="I100" s="4" t="s">
        <v>112</v>
      </c>
      <c r="J100" s="4" t="s">
        <v>113</v>
      </c>
      <c r="K100" s="4" t="s">
        <v>114</v>
      </c>
      <c r="L100" s="4" t="s">
        <v>115</v>
      </c>
      <c r="M100" s="4" t="s">
        <v>116</v>
      </c>
      <c r="N100" s="4" t="s">
        <v>117</v>
      </c>
      <c r="O100" s="4" t="s">
        <v>118</v>
      </c>
      <c r="P100" s="4" t="s">
        <v>126</v>
      </c>
    </row>
    <row r="101" customFormat="false" ht="15" hidden="false" customHeight="false" outlineLevel="0" collapsed="false">
      <c r="A101" s="14" t="s">
        <v>78</v>
      </c>
      <c r="B101" s="28" t="n">
        <f aca="false">IFERROR(AVERAGEIFS(Pedidos!$S$2:$S$2224,Pedidos!$E$2:$E$2224,$A101,Pedidos!$F$2:$F$2224,"0-20"),"")</f>
        <v>70.9239453125</v>
      </c>
      <c r="C101" s="28" t="n">
        <f aca="false">IFERROR(AVERAGEIFS(Pedidos!$S$2:$S$2224,Pedidos!$E$2:$E$2224,$A101,Pedidos!$F$2:$F$2224,"20-35"),"")</f>
        <v>117.403450570342</v>
      </c>
      <c r="D101" s="28" t="n">
        <f aca="false">IFERROR(AVERAGEIFS(Pedidos!$S$2:$S$2224,Pedidos!$E$2:$E$2224,$A101,Pedidos!$F$2:$F$2224,"35-40"),"")</f>
        <v>136.608865030675</v>
      </c>
      <c r="E101" s="28" t="n">
        <f aca="false">IFERROR(AVERAGEIFS(Pedidos!$S$2:$S$2224,Pedidos!$E$2:$E$2224,$A101,Pedidos!$F$2:$F$2224,"40-50"),"")</f>
        <v>141.783377361275</v>
      </c>
      <c r="F101" s="28" t="n">
        <f aca="false">IFERROR(AVERAGEIFS(Pedidos!$S$2:$S$2224,Pedidos!$E$2:$E$2224,$A101,Pedidos!$F$2:$F$2224,"50-60"),"")</f>
        <v>167.535232923154</v>
      </c>
      <c r="G101" s="28" t="n">
        <f aca="false">IFERROR(AVERAGEIFS(Pedidos!$S$2:$S$2224,Pedidos!$E$2:$E$2224,$A101,Pedidos!$F$2:$F$2224,"60-70"),"")</f>
        <v>196.260719358766</v>
      </c>
      <c r="H101" s="28" t="n">
        <f aca="false">IFERROR(AVERAGEIFS(Pedidos!$S$2:$S$2224,Pedidos!$E$2:$E$2224,$A101,Pedidos!$F$2:$F$2224,"70-80"),"")</f>
        <v>207.029049586777</v>
      </c>
      <c r="I101" s="28" t="n">
        <f aca="false">IFERROR(AVERAGEIFS(Pedidos!$S$2:$S$2224,Pedidos!$E$2:$E$2224,$A101,Pedidos!$F$2:$F$2224,"80-100"),"")</f>
        <v>251.894413875598</v>
      </c>
      <c r="J101" s="28" t="n">
        <f aca="false">IFERROR(AVERAGEIFS(Pedidos!$S$2:$S$2224,Pedidos!$E$2:$E$2224,$A101,Pedidos!$F$2:$F$2224,"100-120"),"")</f>
        <v>309.111168831169</v>
      </c>
      <c r="K101" s="28" t="n">
        <f aca="false">IFERROR(AVERAGEIFS(Pedidos!$S$2:$S$2224,Pedidos!$E$2:$E$2224,$A101,Pedidos!$F$2:$F$2224,"120-150"),"")</f>
        <v>363.47252039627</v>
      </c>
      <c r="L101" s="28" t="n">
        <f aca="false">IFERROR(AVERAGEIFS(Pedidos!$S$2:$S$2224,Pedidos!$E$2:$E$2224,$A101,Pedidos!$F$2:$F$2224,"150-170"),"")</f>
        <v>417.598125</v>
      </c>
      <c r="M101" s="28" t="str">
        <f aca="false">IFERROR(AVERAGEIFS(Pedidos!$S$2:$S$2224,Pedidos!$E$2:$E$2224,$A101,Pedidos!$F$2:$F$2224,"170-200"),"")</f>
        <v/>
      </c>
      <c r="N101" s="28" t="n">
        <f aca="false">IFERROR(AVERAGEIFS(Pedidos!$S$2:$S$2224,Pedidos!$E$2:$E$2224,$A101,Pedidos!$F$2:$F$2224,"200-250"),"")</f>
        <v>593.327045454545</v>
      </c>
      <c r="O101" s="28" t="str">
        <f aca="false">IFERROR(AVERAGEIFS(Pedidos!$S$2:$S$2224,Pedidos!$E$2:$E$2224,$A101,Pedidos!$F$2:$F$2224,"&gt;250"),"")</f>
        <v/>
      </c>
      <c r="P101" s="28" t="n">
        <f aca="false">IFERROR(AVERAGEIFS(Pedidos!$S$2:$S$2224,Pedidos!$E$2:$E$2224,$A101),"")</f>
        <v>156.293012025596</v>
      </c>
    </row>
    <row r="102" customFormat="false" ht="15" hidden="false" customHeight="false" outlineLevel="0" collapsed="false">
      <c r="A102" s="14" t="s">
        <v>79</v>
      </c>
      <c r="B102" s="28" t="n">
        <f aca="false">IFERROR(AVERAGEIFS(Pedidos!$S$2:$S$2224,Pedidos!$E$2:$E$2224,$A102,Pedidos!$F$2:$F$2224,"0-20"),"")</f>
        <v>83.6313920454546</v>
      </c>
      <c r="C102" s="28" t="n">
        <f aca="false">IFERROR(AVERAGEIFS(Pedidos!$S$2:$S$2224,Pedidos!$E$2:$E$2224,$A102,Pedidos!$F$2:$F$2224,"20-35"),"")</f>
        <v>138.834804075235</v>
      </c>
      <c r="D102" s="28" t="n">
        <f aca="false">IFERROR(AVERAGEIFS(Pedidos!$S$2:$S$2224,Pedidos!$E$2:$E$2224,$A102,Pedidos!$F$2:$F$2224,"35-40"),"")</f>
        <v>160.431830808081</v>
      </c>
      <c r="E102" s="28" t="n">
        <f aca="false">IFERROR(AVERAGEIFS(Pedidos!$S$2:$S$2224,Pedidos!$E$2:$E$2224,$A102,Pedidos!$F$2:$F$2224,"40-50"),"")</f>
        <v>166.226998966942</v>
      </c>
      <c r="F102" s="28" t="n">
        <f aca="false">IFERROR(AVERAGEIFS(Pedidos!$S$2:$S$2224,Pedidos!$E$2:$E$2224,$A102,Pedidos!$F$2:$F$2224,"50-60"),"")</f>
        <v>186.48395</v>
      </c>
      <c r="G102" s="28" t="n">
        <f aca="false">IFERROR(AVERAGEIFS(Pedidos!$S$2:$S$2224,Pedidos!$E$2:$E$2224,$A102,Pedidos!$F$2:$F$2224,"60-70"),"")</f>
        <v>217.33730861244</v>
      </c>
      <c r="H102" s="28" t="n">
        <f aca="false">IFERROR(AVERAGEIFS(Pedidos!$S$2:$S$2224,Pedidos!$E$2:$E$2224,$A102,Pedidos!$F$2:$F$2224,"70-80"),"")</f>
        <v>215.355568181818</v>
      </c>
      <c r="I102" s="28" t="n">
        <f aca="false">IFERROR(AVERAGEIFS(Pedidos!$S$2:$S$2224,Pedidos!$E$2:$E$2224,$A102,Pedidos!$F$2:$F$2224,"80-100"),"")</f>
        <v>259.45</v>
      </c>
      <c r="J102" s="28" t="n">
        <f aca="false">IFERROR(AVERAGEIFS(Pedidos!$S$2:$S$2224,Pedidos!$E$2:$E$2224,$A102,Pedidos!$F$2:$F$2224,"100-120"),"")</f>
        <v>321.383863636364</v>
      </c>
      <c r="K102" s="28" t="n">
        <f aca="false">IFERROR(AVERAGEIFS(Pedidos!$S$2:$S$2224,Pedidos!$E$2:$E$2224,$A102,Pedidos!$F$2:$F$2224,"120-150"),"")</f>
        <v>372.779346590909</v>
      </c>
      <c r="L102" s="28" t="n">
        <f aca="false">IFERROR(AVERAGEIFS(Pedidos!$S$2:$S$2224,Pedidos!$E$2:$E$2224,$A102,Pedidos!$F$2:$F$2224,"150-170"),"")</f>
        <v>435.306818181818</v>
      </c>
      <c r="M102" s="28" t="str">
        <f aca="false">IFERROR(AVERAGEIFS(Pedidos!$S$2:$S$2224,Pedidos!$E$2:$E$2224,$A102,Pedidos!$F$2:$F$2224,"170-200"),"")</f>
        <v/>
      </c>
      <c r="N102" s="28" t="str">
        <f aca="false">IFERROR(AVERAGEIFS(Pedidos!$S$2:$S$2224,Pedidos!$E$2:$E$2224,$A102,Pedidos!$F$2:$F$2224,"200-250"),"")</f>
        <v/>
      </c>
      <c r="O102" s="28" t="str">
        <f aca="false">IFERROR(AVERAGEIFS(Pedidos!$S$2:$S$2224,Pedidos!$E$2:$E$2224,$A102,Pedidos!$F$2:$F$2224,"&gt;250"),"")</f>
        <v/>
      </c>
      <c r="P102" s="28" t="n">
        <f aca="false">IFERROR(AVERAGEIFS(Pedidos!$S$2:$S$2224,Pedidos!$E$2:$E$2224,$A102),"")</f>
        <v>180.344648148148</v>
      </c>
    </row>
    <row r="103" customFormat="false" ht="15" hidden="false" customHeight="false" outlineLevel="0" collapsed="false">
      <c r="A103" s="14" t="s">
        <v>80</v>
      </c>
      <c r="B103" s="28" t="n">
        <f aca="false">IFERROR(AVERAGEIFS(Pedidos!$S$2:$S$2224,Pedidos!$E$2:$E$2224,$A103,Pedidos!$F$2:$F$2224,"0-20"),"")</f>
        <v>70.7005681818182</v>
      </c>
      <c r="C103" s="28" t="n">
        <f aca="false">IFERROR(AVERAGEIFS(Pedidos!$S$2:$S$2224,Pedidos!$E$2:$E$2224,$A103,Pedidos!$F$2:$F$2224,"20-35"),"")</f>
        <v>117.013174715909</v>
      </c>
      <c r="D103" s="28" t="n">
        <f aca="false">IFERROR(AVERAGEIFS(Pedidos!$S$2:$S$2224,Pedidos!$E$2:$E$2224,$A103,Pedidos!$F$2:$F$2224,"35-40"),"")</f>
        <v>137.24958677686</v>
      </c>
      <c r="E103" s="28" t="n">
        <f aca="false">IFERROR(AVERAGEIFS(Pedidos!$S$2:$S$2224,Pedidos!$E$2:$E$2224,$A103,Pedidos!$F$2:$F$2224,"40-50"),"")</f>
        <v>141.545603693182</v>
      </c>
      <c r="F103" s="28" t="n">
        <f aca="false">IFERROR(AVERAGEIFS(Pedidos!$S$2:$S$2224,Pedidos!$E$2:$E$2224,$A103,Pedidos!$F$2:$F$2224,"50-60"),"")</f>
        <v>167.657232620321</v>
      </c>
      <c r="G103" s="28" t="n">
        <f aca="false">IFERROR(AVERAGEIFS(Pedidos!$S$2:$S$2224,Pedidos!$E$2:$E$2224,$A103,Pedidos!$F$2:$F$2224,"60-70"),"")</f>
        <v>195.690246212121</v>
      </c>
      <c r="H103" s="28" t="n">
        <f aca="false">IFERROR(AVERAGEIFS(Pedidos!$S$2:$S$2224,Pedidos!$E$2:$E$2224,$A103,Pedidos!$F$2:$F$2224,"70-80"),"")</f>
        <v>203.35125</v>
      </c>
      <c r="I103" s="28" t="n">
        <f aca="false">IFERROR(AVERAGEIFS(Pedidos!$S$2:$S$2224,Pedidos!$E$2:$E$2224,$A103,Pedidos!$F$2:$F$2224,"80-100"),"")</f>
        <v>255.034090909091</v>
      </c>
      <c r="J103" s="28" t="n">
        <f aca="false">IFERROR(AVERAGEIFS(Pedidos!$S$2:$S$2224,Pedidos!$E$2:$E$2224,$A103,Pedidos!$F$2:$F$2224,"100-120"),"")</f>
        <v>306.865397727273</v>
      </c>
      <c r="K103" s="28" t="n">
        <f aca="false">IFERROR(AVERAGEIFS(Pedidos!$S$2:$S$2224,Pedidos!$E$2:$E$2224,$A103,Pedidos!$F$2:$F$2224,"120-150"),"")</f>
        <v>366.0525</v>
      </c>
      <c r="L103" s="28" t="str">
        <f aca="false">IFERROR(AVERAGEIFS(Pedidos!$S$2:$S$2224,Pedidos!$E$2:$E$2224,$A103,Pedidos!$F$2:$F$2224,"150-170"),"")</f>
        <v/>
      </c>
      <c r="M103" s="28" t="str">
        <f aca="false">IFERROR(AVERAGEIFS(Pedidos!$S$2:$S$2224,Pedidos!$E$2:$E$2224,$A103,Pedidos!$F$2:$F$2224,"170-200"),"")</f>
        <v/>
      </c>
      <c r="N103" s="28" t="str">
        <f aca="false">IFERROR(AVERAGEIFS(Pedidos!$S$2:$S$2224,Pedidos!$E$2:$E$2224,$A103,Pedidos!$F$2:$F$2224,"200-250"),"")</f>
        <v/>
      </c>
      <c r="O103" s="28" t="str">
        <f aca="false">IFERROR(AVERAGEIFS(Pedidos!$S$2:$S$2224,Pedidos!$E$2:$E$2224,$A103,Pedidos!$F$2:$F$2224,"&gt;250"),"")</f>
        <v/>
      </c>
      <c r="P103" s="28" t="n">
        <f aca="false">IFERROR(AVERAGEIFS(Pedidos!$S$2:$S$2224,Pedidos!$E$2:$E$2224,$A103),"")</f>
        <v>166.373845411664</v>
      </c>
    </row>
    <row r="104" customFormat="false" ht="15" hidden="false" customHeight="false" outlineLevel="0" collapsed="false">
      <c r="A104" s="14" t="s">
        <v>81</v>
      </c>
      <c r="B104" s="28" t="n">
        <f aca="false">IFERROR(AVERAGEIFS(Pedidos!$S$2:$S$2224,Pedidos!$E$2:$E$2224,$A104,Pedidos!$F$2:$F$2224,"0-20"),"")</f>
        <v>72.4886363636364</v>
      </c>
      <c r="C104" s="28" t="n">
        <f aca="false">IFERROR(AVERAGEIFS(Pedidos!$S$2:$S$2224,Pedidos!$E$2:$E$2224,$A104,Pedidos!$F$2:$F$2224,"20-35"),"")</f>
        <v>119.679572192513</v>
      </c>
      <c r="D104" s="28" t="n">
        <f aca="false">IFERROR(AVERAGEIFS(Pedidos!$S$2:$S$2224,Pedidos!$E$2:$E$2224,$A104,Pedidos!$F$2:$F$2224,"35-40"),"")</f>
        <v>136.205568181818</v>
      </c>
      <c r="E104" s="28" t="n">
        <f aca="false">IFERROR(AVERAGEIFS(Pedidos!$S$2:$S$2224,Pedidos!$E$2:$E$2224,$A104,Pedidos!$F$2:$F$2224,"40-50"),"")</f>
        <v>142.868484848485</v>
      </c>
      <c r="F104" s="28" t="n">
        <f aca="false">IFERROR(AVERAGEIFS(Pedidos!$S$2:$S$2224,Pedidos!$E$2:$E$2224,$A104,Pedidos!$F$2:$F$2224,"50-60"),"")</f>
        <v>167.355735645933</v>
      </c>
      <c r="G104" s="28" t="n">
        <f aca="false">IFERROR(AVERAGEIFS(Pedidos!$S$2:$S$2224,Pedidos!$E$2:$E$2224,$A104,Pedidos!$F$2:$F$2224,"60-70"),"")</f>
        <v>196.614137700535</v>
      </c>
      <c r="H104" s="28" t="n">
        <f aca="false">IFERROR(AVERAGEIFS(Pedidos!$S$2:$S$2224,Pedidos!$E$2:$E$2224,$A104,Pedidos!$F$2:$F$2224,"70-80"),"")</f>
        <v>203.302329545455</v>
      </c>
      <c r="I104" s="28" t="n">
        <f aca="false">IFERROR(AVERAGEIFS(Pedidos!$S$2:$S$2224,Pedidos!$E$2:$E$2224,$A104,Pedidos!$F$2:$F$2224,"80-100"),"")</f>
        <v>248.169715909091</v>
      </c>
      <c r="J104" s="28" t="n">
        <f aca="false">IFERROR(AVERAGEIFS(Pedidos!$S$2:$S$2224,Pedidos!$E$2:$E$2224,$A104,Pedidos!$F$2:$F$2224,"100-120"),"")</f>
        <v>310.376477272727</v>
      </c>
      <c r="K104" s="28" t="n">
        <f aca="false">IFERROR(AVERAGEIFS(Pedidos!$S$2:$S$2224,Pedidos!$E$2:$E$2224,$A104,Pedidos!$F$2:$F$2224,"120-150"),"")</f>
        <v>363.835426136364</v>
      </c>
      <c r="L104" s="28" t="str">
        <f aca="false">IFERROR(AVERAGEIFS(Pedidos!$S$2:$S$2224,Pedidos!$E$2:$E$2224,$A104,Pedidos!$F$2:$F$2224,"150-170"),"")</f>
        <v/>
      </c>
      <c r="M104" s="28" t="str">
        <f aca="false">IFERROR(AVERAGEIFS(Pedidos!$S$2:$S$2224,Pedidos!$E$2:$E$2224,$A104,Pedidos!$F$2:$F$2224,"170-200"),"")</f>
        <v/>
      </c>
      <c r="N104" s="28" t="str">
        <f aca="false">IFERROR(AVERAGEIFS(Pedidos!$S$2:$S$2224,Pedidos!$E$2:$E$2224,$A104,Pedidos!$F$2:$F$2224,"200-250"),"")</f>
        <v/>
      </c>
      <c r="O104" s="28" t="str">
        <f aca="false">IFERROR(AVERAGEIFS(Pedidos!$S$2:$S$2224,Pedidos!$E$2:$E$2224,$A104,Pedidos!$F$2:$F$2224,"&gt;250"),"")</f>
        <v/>
      </c>
      <c r="P104" s="28" t="n">
        <f aca="false">IFERROR(AVERAGEIFS(Pedidos!$S$2:$S$2224,Pedidos!$E$2:$E$2224,$A104),"")</f>
        <v>172.309503588517</v>
      </c>
    </row>
    <row r="105" customFormat="false" ht="15" hidden="false" customHeight="false" outlineLevel="0" collapsed="false">
      <c r="A105" s="14" t="s">
        <v>82</v>
      </c>
      <c r="B105" s="28" t="n">
        <f aca="false">IFERROR(AVERAGEIFS(Pedidos!$S$2:$S$2224,Pedidos!$E$2:$E$2224,$A105,Pedidos!$F$2:$F$2224,"0-20"),"")</f>
        <v>83.5164772727273</v>
      </c>
      <c r="C105" s="28" t="n">
        <f aca="false">IFERROR(AVERAGEIFS(Pedidos!$S$2:$S$2224,Pedidos!$E$2:$E$2224,$A105,Pedidos!$F$2:$F$2224,"20-35"),"")</f>
        <v>139.123347107438</v>
      </c>
      <c r="D105" s="28" t="n">
        <f aca="false">IFERROR(AVERAGEIFS(Pedidos!$S$2:$S$2224,Pedidos!$E$2:$E$2224,$A105,Pedidos!$F$2:$F$2224,"35-40"),"")</f>
        <v>160.938553719008</v>
      </c>
      <c r="E105" s="28" t="n">
        <f aca="false">IFERROR(AVERAGEIFS(Pedidos!$S$2:$S$2224,Pedidos!$E$2:$E$2224,$A105,Pedidos!$F$2:$F$2224,"40-50"),"")</f>
        <v>165.301583333333</v>
      </c>
      <c r="F105" s="28" t="n">
        <f aca="false">IFERROR(AVERAGEIFS(Pedidos!$S$2:$S$2224,Pedidos!$E$2:$E$2224,$A105,Pedidos!$F$2:$F$2224,"50-60"),"")</f>
        <v>185.024832535885</v>
      </c>
      <c r="G105" s="28" t="n">
        <f aca="false">IFERROR(AVERAGEIFS(Pedidos!$S$2:$S$2224,Pedidos!$E$2:$E$2224,$A105,Pedidos!$F$2:$F$2224,"60-70"),"")</f>
        <v>217.621574675325</v>
      </c>
      <c r="H105" s="28" t="str">
        <f aca="false">IFERROR(AVERAGEIFS(Pedidos!$S$2:$S$2224,Pedidos!$E$2:$E$2224,$A105,Pedidos!$F$2:$F$2224,"70-80"),"")</f>
        <v/>
      </c>
      <c r="I105" s="28" t="n">
        <f aca="false">IFERROR(AVERAGEIFS(Pedidos!$S$2:$S$2224,Pedidos!$E$2:$E$2224,$A105,Pedidos!$F$2:$F$2224,"80-100"),"")</f>
        <v>269.668181818182</v>
      </c>
      <c r="J105" s="28" t="n">
        <f aca="false">IFERROR(AVERAGEIFS(Pedidos!$S$2:$S$2224,Pedidos!$E$2:$E$2224,$A105,Pedidos!$F$2:$F$2224,"100-120"),"")</f>
        <v>321.897613636364</v>
      </c>
      <c r="K105" s="28" t="n">
        <f aca="false">IFERROR(AVERAGEIFS(Pedidos!$S$2:$S$2224,Pedidos!$E$2:$E$2224,$A105,Pedidos!$F$2:$F$2224,"120-150"),"")</f>
        <v>372.107159090909</v>
      </c>
      <c r="L105" s="28" t="str">
        <f aca="false">IFERROR(AVERAGEIFS(Pedidos!$S$2:$S$2224,Pedidos!$E$2:$E$2224,$A105,Pedidos!$F$2:$F$2224,"150-170"),"")</f>
        <v/>
      </c>
      <c r="M105" s="28" t="str">
        <f aca="false">IFERROR(AVERAGEIFS(Pedidos!$S$2:$S$2224,Pedidos!$E$2:$E$2224,$A105,Pedidos!$F$2:$F$2224,"170-200"),"")</f>
        <v/>
      </c>
      <c r="N105" s="28" t="str">
        <f aca="false">IFERROR(AVERAGEIFS(Pedidos!$S$2:$S$2224,Pedidos!$E$2:$E$2224,$A105,Pedidos!$F$2:$F$2224,"200-250"),"")</f>
        <v/>
      </c>
      <c r="O105" s="28" t="str">
        <f aca="false">IFERROR(AVERAGEIFS(Pedidos!$S$2:$S$2224,Pedidos!$E$2:$E$2224,$A105,Pedidos!$F$2:$F$2224,"&gt;250"),"")</f>
        <v/>
      </c>
      <c r="P105" s="28" t="n">
        <f aca="false">IFERROR(AVERAGEIFS(Pedidos!$S$2:$S$2224,Pedidos!$E$2:$E$2224,$A105),"")</f>
        <v>175.731373663102</v>
      </c>
    </row>
    <row r="106" customFormat="false" ht="15" hidden="false" customHeight="false" outlineLevel="0" collapsed="false">
      <c r="A106" s="14" t="s">
        <v>83</v>
      </c>
      <c r="B106" s="28" t="str">
        <f aca="false">IFERROR(AVERAGEIFS(Pedidos!$S$2:$S$2224,Pedidos!$E$2:$E$2224,$A106,Pedidos!$F$2:$F$2224,"0-20"),"")</f>
        <v/>
      </c>
      <c r="C106" s="28" t="n">
        <f aca="false">IFERROR(AVERAGEIFS(Pedidos!$S$2:$S$2224,Pedidos!$E$2:$E$2224,$A106,Pedidos!$F$2:$F$2224,"20-35"),"")</f>
        <v>182.102279829545</v>
      </c>
      <c r="D106" s="28" t="n">
        <f aca="false">IFERROR(AVERAGEIFS(Pedidos!$S$2:$S$2224,Pedidos!$E$2:$E$2224,$A106,Pedidos!$F$2:$F$2224,"35-40"),"")</f>
        <v>192.804914772727</v>
      </c>
      <c r="E106" s="28" t="n">
        <f aca="false">IFERROR(AVERAGEIFS(Pedidos!$S$2:$S$2224,Pedidos!$E$2:$E$2224,$A106,Pedidos!$F$2:$F$2224,"40-50"),"")</f>
        <v>207.3659375</v>
      </c>
      <c r="F106" s="28" t="n">
        <f aca="false">IFERROR(AVERAGEIFS(Pedidos!$S$2:$S$2224,Pedidos!$E$2:$E$2224,$A106,Pedidos!$F$2:$F$2224,"50-60"),"")</f>
        <v>224.443585858586</v>
      </c>
      <c r="G106" s="28" t="n">
        <f aca="false">IFERROR(AVERAGEIFS(Pedidos!$S$2:$S$2224,Pedidos!$E$2:$E$2224,$A106,Pedidos!$F$2:$F$2224,"60-70"),"")</f>
        <v>242.139034090909</v>
      </c>
      <c r="H106" s="28" t="str">
        <f aca="false">IFERROR(AVERAGEIFS(Pedidos!$S$2:$S$2224,Pedidos!$E$2:$E$2224,$A106,Pedidos!$F$2:$F$2224,"70-80"),"")</f>
        <v/>
      </c>
      <c r="I106" s="28" t="n">
        <f aca="false">IFERROR(AVERAGEIFS(Pedidos!$S$2:$S$2224,Pedidos!$E$2:$E$2224,$A106,Pedidos!$F$2:$F$2224,"80-100"),"")</f>
        <v>289.072102272727</v>
      </c>
      <c r="J106" s="28" t="n">
        <f aca="false">IFERROR(AVERAGEIFS(Pedidos!$S$2:$S$2224,Pedidos!$E$2:$E$2224,$A106,Pedidos!$F$2:$F$2224,"100-120"),"")</f>
        <v>347.984517045455</v>
      </c>
      <c r="K106" s="28" t="str">
        <f aca="false">IFERROR(AVERAGEIFS(Pedidos!$S$2:$S$2224,Pedidos!$E$2:$E$2224,$A106,Pedidos!$F$2:$F$2224,"120-150"),"")</f>
        <v/>
      </c>
      <c r="L106" s="28" t="str">
        <f aca="false">IFERROR(AVERAGEIFS(Pedidos!$S$2:$S$2224,Pedidos!$E$2:$E$2224,$A106,Pedidos!$F$2:$F$2224,"150-170"),"")</f>
        <v/>
      </c>
      <c r="M106" s="28" t="str">
        <f aca="false">IFERROR(AVERAGEIFS(Pedidos!$S$2:$S$2224,Pedidos!$E$2:$E$2224,$A106,Pedidos!$F$2:$F$2224,"170-200"),"")</f>
        <v/>
      </c>
      <c r="N106" s="28" t="str">
        <f aca="false">IFERROR(AVERAGEIFS(Pedidos!$S$2:$S$2224,Pedidos!$E$2:$E$2224,$A106,Pedidos!$F$2:$F$2224,"200-250"),"")</f>
        <v/>
      </c>
      <c r="O106" s="28" t="str">
        <f aca="false">IFERROR(AVERAGEIFS(Pedidos!$S$2:$S$2224,Pedidos!$E$2:$E$2224,$A106,Pedidos!$F$2:$F$2224,"&gt;250"),"")</f>
        <v/>
      </c>
      <c r="P106" s="28" t="n">
        <f aca="false">IFERROR(AVERAGEIFS(Pedidos!$S$2:$S$2224,Pedidos!$E$2:$E$2224,$A106),"")</f>
        <v>218.073812178388</v>
      </c>
    </row>
    <row r="107" customFormat="false" ht="15" hidden="false" customHeight="false" outlineLevel="0" collapsed="false">
      <c r="A107" s="14" t="s">
        <v>84</v>
      </c>
      <c r="B107" s="28" t="n">
        <f aca="false">IFERROR(AVERAGEIFS(Pedidos!$S$2:$S$2224,Pedidos!$E$2:$E$2224,$A107,Pedidos!$F$2:$F$2224,"0-20"),"")</f>
        <v>72.3957386363636</v>
      </c>
      <c r="C107" s="28" t="n">
        <f aca="false">IFERROR(AVERAGEIFS(Pedidos!$S$2:$S$2224,Pedidos!$E$2:$E$2224,$A107,Pedidos!$F$2:$F$2224,"20-35"),"")</f>
        <v>117.330681818182</v>
      </c>
      <c r="D107" s="28" t="n">
        <f aca="false">IFERROR(AVERAGEIFS(Pedidos!$S$2:$S$2224,Pedidos!$E$2:$E$2224,$A107,Pedidos!$F$2:$F$2224,"35-40"),"")</f>
        <v>136.302291666667</v>
      </c>
      <c r="E107" s="28" t="n">
        <f aca="false">IFERROR(AVERAGEIFS(Pedidos!$S$2:$S$2224,Pedidos!$E$2:$E$2224,$A107,Pedidos!$F$2:$F$2224,"40-50"),"")</f>
        <v>142.903646694215</v>
      </c>
      <c r="F107" s="28" t="n">
        <f aca="false">IFERROR(AVERAGEIFS(Pedidos!$S$2:$S$2224,Pedidos!$E$2:$E$2224,$A107,Pedidos!$F$2:$F$2224,"50-60"),"")</f>
        <v>167.468181818182</v>
      </c>
      <c r="G107" s="28" t="n">
        <f aca="false">IFERROR(AVERAGEIFS(Pedidos!$S$2:$S$2224,Pedidos!$E$2:$E$2224,$A107,Pedidos!$F$2:$F$2224,"60-70"),"")</f>
        <v>195.104675324675</v>
      </c>
      <c r="H107" s="28" t="n">
        <f aca="false">IFERROR(AVERAGEIFS(Pedidos!$S$2:$S$2224,Pedidos!$E$2:$E$2224,$A107,Pedidos!$F$2:$F$2224,"70-80"),"")</f>
        <v>203.874393939394</v>
      </c>
      <c r="I107" s="28" t="n">
        <f aca="false">IFERROR(AVERAGEIFS(Pedidos!$S$2:$S$2224,Pedidos!$E$2:$E$2224,$A107,Pedidos!$F$2:$F$2224,"80-100"),"")</f>
        <v>251.301193181818</v>
      </c>
      <c r="J107" s="28" t="n">
        <f aca="false">IFERROR(AVERAGEIFS(Pedidos!$S$2:$S$2224,Pedidos!$E$2:$E$2224,$A107,Pedidos!$F$2:$F$2224,"100-120"),"")</f>
        <v>310.542556818182</v>
      </c>
      <c r="K107" s="28" t="n">
        <f aca="false">IFERROR(AVERAGEIFS(Pedidos!$S$2:$S$2224,Pedidos!$E$2:$E$2224,$A107,Pedidos!$F$2:$F$2224,"120-150"),"")</f>
        <v>375.386363636364</v>
      </c>
      <c r="L107" s="28" t="str">
        <f aca="false">IFERROR(AVERAGEIFS(Pedidos!$S$2:$S$2224,Pedidos!$E$2:$E$2224,$A107,Pedidos!$F$2:$F$2224,"150-170"),"")</f>
        <v/>
      </c>
      <c r="M107" s="28" t="str">
        <f aca="false">IFERROR(AVERAGEIFS(Pedidos!$S$2:$S$2224,Pedidos!$E$2:$E$2224,$A107,Pedidos!$F$2:$F$2224,"170-200"),"")</f>
        <v/>
      </c>
      <c r="N107" s="28" t="str">
        <f aca="false">IFERROR(AVERAGEIFS(Pedidos!$S$2:$S$2224,Pedidos!$E$2:$E$2224,$A107,Pedidos!$F$2:$F$2224,"200-250"),"")</f>
        <v/>
      </c>
      <c r="O107" s="28" t="str">
        <f aca="false">IFERROR(AVERAGEIFS(Pedidos!$S$2:$S$2224,Pedidos!$E$2:$E$2224,$A107,Pedidos!$F$2:$F$2224,"&gt;250"),"")</f>
        <v/>
      </c>
      <c r="P107" s="28" t="n">
        <f aca="false">IFERROR(AVERAGEIFS(Pedidos!$S$2:$S$2224,Pedidos!$E$2:$E$2224,$A107),"")</f>
        <v>166.988580705009</v>
      </c>
    </row>
    <row r="108" customFormat="false" ht="15" hidden="false" customHeight="false" outlineLevel="0" collapsed="false">
      <c r="A108" s="14" t="s">
        <v>85</v>
      </c>
      <c r="B108" s="28" t="n">
        <f aca="false">IFERROR(AVERAGEIFS(Pedidos!$S$2:$S$2224,Pedidos!$E$2:$E$2224,$A108,Pedidos!$F$2:$F$2224,"0-20"),"")</f>
        <v>156.647727272727</v>
      </c>
      <c r="C108" s="28" t="n">
        <f aca="false">IFERROR(AVERAGEIFS(Pedidos!$S$2:$S$2224,Pedidos!$E$2:$E$2224,$A108,Pedidos!$F$2:$F$2224,"20-35"),"")</f>
        <v>182.30875</v>
      </c>
      <c r="D108" s="28" t="n">
        <f aca="false">IFERROR(AVERAGEIFS(Pedidos!$S$2:$S$2224,Pedidos!$E$2:$E$2224,$A108,Pedidos!$F$2:$F$2224,"35-40"),"")</f>
        <v>191.973238636364</v>
      </c>
      <c r="E108" s="28" t="n">
        <f aca="false">IFERROR(AVERAGEIFS(Pedidos!$S$2:$S$2224,Pedidos!$E$2:$E$2224,$A108,Pedidos!$F$2:$F$2224,"40-50"),"")</f>
        <v>206.787428977273</v>
      </c>
      <c r="F108" s="28" t="n">
        <f aca="false">IFERROR(AVERAGEIFS(Pedidos!$S$2:$S$2224,Pedidos!$E$2:$E$2224,$A108,Pedidos!$F$2:$F$2224,"50-60"),"")</f>
        <v>224.929744318182</v>
      </c>
      <c r="G108" s="28" t="n">
        <f aca="false">IFERROR(AVERAGEIFS(Pedidos!$S$2:$S$2224,Pedidos!$E$2:$E$2224,$A108,Pedidos!$F$2:$F$2224,"60-70"),"")</f>
        <v>241.741396103896</v>
      </c>
      <c r="H108" s="28" t="str">
        <f aca="false">IFERROR(AVERAGEIFS(Pedidos!$S$2:$S$2224,Pedidos!$E$2:$E$2224,$A108,Pedidos!$F$2:$F$2224,"70-80"),"")</f>
        <v/>
      </c>
      <c r="I108" s="28" t="n">
        <f aca="false">IFERROR(AVERAGEIFS(Pedidos!$S$2:$S$2224,Pedidos!$E$2:$E$2224,$A108,Pedidos!$F$2:$F$2224,"80-100"),"")</f>
        <v>283.790909090909</v>
      </c>
      <c r="J108" s="28" t="str">
        <f aca="false">IFERROR(AVERAGEIFS(Pedidos!$S$2:$S$2224,Pedidos!$E$2:$E$2224,$A108,Pedidos!$F$2:$F$2224,"100-120"),"")</f>
        <v/>
      </c>
      <c r="K108" s="28" t="n">
        <f aca="false">IFERROR(AVERAGEIFS(Pedidos!$S$2:$S$2224,Pedidos!$E$2:$E$2224,$A108,Pedidos!$F$2:$F$2224,"120-150"),"")</f>
        <v>390.713227272727</v>
      </c>
      <c r="L108" s="28" t="str">
        <f aca="false">IFERROR(AVERAGEIFS(Pedidos!$S$2:$S$2224,Pedidos!$E$2:$E$2224,$A108,Pedidos!$F$2:$F$2224,"150-170"),"")</f>
        <v/>
      </c>
      <c r="M108" s="28" t="n">
        <f aca="false">IFERROR(AVERAGEIFS(Pedidos!$S$2:$S$2224,Pedidos!$E$2:$E$2224,$A108,Pedidos!$F$2:$F$2224,"170-200"),"")</f>
        <v>529.025</v>
      </c>
      <c r="N108" s="28" t="str">
        <f aca="false">IFERROR(AVERAGEIFS(Pedidos!$S$2:$S$2224,Pedidos!$E$2:$E$2224,$A108,Pedidos!$F$2:$F$2224,"200-250"),"")</f>
        <v/>
      </c>
      <c r="O108" s="28" t="str">
        <f aca="false">IFERROR(AVERAGEIFS(Pedidos!$S$2:$S$2224,Pedidos!$E$2:$E$2224,$A108,Pedidos!$F$2:$F$2224,"&gt;250"),"")</f>
        <v/>
      </c>
      <c r="P108" s="28" t="n">
        <f aca="false">IFERROR(AVERAGEIFS(Pedidos!$S$2:$S$2224,Pedidos!$E$2:$E$2224,$A108),"")</f>
        <v>241.397815656566</v>
      </c>
    </row>
    <row r="109" customFormat="false" ht="15" hidden="false" customHeight="false" outlineLevel="0" collapsed="false">
      <c r="A109" s="14" t="s">
        <v>86</v>
      </c>
      <c r="B109" s="28" t="n">
        <f aca="false">IFERROR(AVERAGEIFS(Pedidos!$S$2:$S$2224,Pedidos!$E$2:$E$2224,$A109,Pedidos!$F$2:$F$2224,"0-20"),"")</f>
        <v>72.4238636363636</v>
      </c>
      <c r="C109" s="28" t="n">
        <f aca="false">IFERROR(AVERAGEIFS(Pedidos!$S$2:$S$2224,Pedidos!$E$2:$E$2224,$A109,Pedidos!$F$2:$F$2224,"20-35"),"")</f>
        <v>115.769340909091</v>
      </c>
      <c r="D109" s="28" t="n">
        <f aca="false">IFERROR(AVERAGEIFS(Pedidos!$S$2:$S$2224,Pedidos!$E$2:$E$2224,$A109,Pedidos!$F$2:$F$2224,"35-40"),"")</f>
        <v>136.828977272727</v>
      </c>
      <c r="E109" s="28" t="n">
        <f aca="false">IFERROR(AVERAGEIFS(Pedidos!$S$2:$S$2224,Pedidos!$E$2:$E$2224,$A109,Pedidos!$F$2:$F$2224,"40-50"),"")</f>
        <v>142.266974431818</v>
      </c>
      <c r="F109" s="28" t="n">
        <f aca="false">IFERROR(AVERAGEIFS(Pedidos!$S$2:$S$2224,Pedidos!$E$2:$E$2224,$A109,Pedidos!$F$2:$F$2224,"50-60"),"")</f>
        <v>168.486396103896</v>
      </c>
      <c r="G109" s="28" t="n">
        <f aca="false">IFERROR(AVERAGEIFS(Pedidos!$S$2:$S$2224,Pedidos!$E$2:$E$2224,$A109,Pedidos!$F$2:$F$2224,"60-70"),"")</f>
        <v>195.121278409091</v>
      </c>
      <c r="H109" s="28" t="str">
        <f aca="false">IFERROR(AVERAGEIFS(Pedidos!$S$2:$S$2224,Pedidos!$E$2:$E$2224,$A109,Pedidos!$F$2:$F$2224,"70-80"),"")</f>
        <v/>
      </c>
      <c r="I109" s="28" t="n">
        <f aca="false">IFERROR(AVERAGEIFS(Pedidos!$S$2:$S$2224,Pedidos!$E$2:$E$2224,$A109,Pedidos!$F$2:$F$2224,"80-100"),"")</f>
        <v>252.151022727273</v>
      </c>
      <c r="J109" s="28" t="n">
        <f aca="false">IFERROR(AVERAGEIFS(Pedidos!$S$2:$S$2224,Pedidos!$E$2:$E$2224,$A109,Pedidos!$F$2:$F$2224,"100-120"),"")</f>
        <v>312.161931818182</v>
      </c>
      <c r="K109" s="28" t="n">
        <f aca="false">IFERROR(AVERAGEIFS(Pedidos!$S$2:$S$2224,Pedidos!$E$2:$E$2224,$A109,Pedidos!$F$2:$F$2224,"120-150"),"")</f>
        <v>363.295454545455</v>
      </c>
      <c r="L109" s="28" t="str">
        <f aca="false">IFERROR(AVERAGEIFS(Pedidos!$S$2:$S$2224,Pedidos!$E$2:$E$2224,$A109,Pedidos!$F$2:$F$2224,"150-170"),"")</f>
        <v/>
      </c>
      <c r="M109" s="28" t="str">
        <f aca="false">IFERROR(AVERAGEIFS(Pedidos!$S$2:$S$2224,Pedidos!$E$2:$E$2224,$A109,Pedidos!$F$2:$F$2224,"170-200"),"")</f>
        <v/>
      </c>
      <c r="N109" s="28" t="str">
        <f aca="false">IFERROR(AVERAGEIFS(Pedidos!$S$2:$S$2224,Pedidos!$E$2:$E$2224,$A109,Pedidos!$F$2:$F$2224,"200-250"),"")</f>
        <v/>
      </c>
      <c r="O109" s="28" t="str">
        <f aca="false">IFERROR(AVERAGEIFS(Pedidos!$S$2:$S$2224,Pedidos!$E$2:$E$2224,$A109,Pedidos!$F$2:$F$2224,"&gt;250"),"")</f>
        <v/>
      </c>
      <c r="P109" s="28" t="n">
        <f aca="false">IFERROR(AVERAGEIFS(Pedidos!$S$2:$S$2224,Pedidos!$E$2:$E$2224,$A109),"")</f>
        <v>175.043796068796</v>
      </c>
    </row>
    <row r="110" customFormat="false" ht="15" hidden="false" customHeight="false" outlineLevel="0" collapsed="false">
      <c r="A110" s="14" t="s">
        <v>87</v>
      </c>
      <c r="B110" s="28" t="str">
        <f aca="false">IFERROR(AVERAGEIFS(Pedidos!$S$2:$S$2224,Pedidos!$E$2:$E$2224,$A110,Pedidos!$F$2:$F$2224,"0-20"),"")</f>
        <v/>
      </c>
      <c r="C110" s="28" t="n">
        <f aca="false">IFERROR(AVERAGEIFS(Pedidos!$S$2:$S$2224,Pedidos!$E$2:$E$2224,$A110,Pedidos!$F$2:$F$2224,"20-35"),"")</f>
        <v>148.417940340909</v>
      </c>
      <c r="D110" s="28" t="n">
        <f aca="false">IFERROR(AVERAGEIFS(Pedidos!$S$2:$S$2224,Pedidos!$E$2:$E$2224,$A110,Pedidos!$F$2:$F$2224,"35-40"),"")</f>
        <v>170.860696022727</v>
      </c>
      <c r="E110" s="28" t="n">
        <f aca="false">IFERROR(AVERAGEIFS(Pedidos!$S$2:$S$2224,Pedidos!$E$2:$E$2224,$A110,Pedidos!$F$2:$F$2224,"40-50"),"")</f>
        <v>175.752431818182</v>
      </c>
      <c r="F110" s="28" t="n">
        <f aca="false">IFERROR(AVERAGEIFS(Pedidos!$S$2:$S$2224,Pedidos!$E$2:$E$2224,$A110,Pedidos!$F$2:$F$2224,"50-60"),"")</f>
        <v>201.646477272727</v>
      </c>
      <c r="G110" s="28" t="n">
        <f aca="false">IFERROR(AVERAGEIFS(Pedidos!$S$2:$S$2224,Pedidos!$E$2:$E$2224,$A110,Pedidos!$F$2:$F$2224,"60-70"),"")</f>
        <v>235.690272727273</v>
      </c>
      <c r="H110" s="28" t="str">
        <f aca="false">IFERROR(AVERAGEIFS(Pedidos!$S$2:$S$2224,Pedidos!$E$2:$E$2224,$A110,Pedidos!$F$2:$F$2224,"70-80"),"")</f>
        <v/>
      </c>
      <c r="I110" s="28" t="n">
        <f aca="false">IFERROR(AVERAGEIFS(Pedidos!$S$2:$S$2224,Pedidos!$E$2:$E$2224,$A110,Pedidos!$F$2:$F$2224,"80-100"),"")</f>
        <v>292.079545454546</v>
      </c>
      <c r="J110" s="28" t="n">
        <f aca="false">IFERROR(AVERAGEIFS(Pedidos!$S$2:$S$2224,Pedidos!$E$2:$E$2224,$A110,Pedidos!$F$2:$F$2224,"100-120"),"")</f>
        <v>348.533295454545</v>
      </c>
      <c r="K110" s="28" t="n">
        <f aca="false">IFERROR(AVERAGEIFS(Pedidos!$S$2:$S$2224,Pedidos!$E$2:$E$2224,$A110,Pedidos!$F$2:$F$2224,"120-150"),"")</f>
        <v>390.254431818182</v>
      </c>
      <c r="L110" s="28" t="str">
        <f aca="false">IFERROR(AVERAGEIFS(Pedidos!$S$2:$S$2224,Pedidos!$E$2:$E$2224,$A110,Pedidos!$F$2:$F$2224,"150-170"),"")</f>
        <v/>
      </c>
      <c r="M110" s="28" t="str">
        <f aca="false">IFERROR(AVERAGEIFS(Pedidos!$S$2:$S$2224,Pedidos!$E$2:$E$2224,$A110,Pedidos!$F$2:$F$2224,"170-200"),"")</f>
        <v/>
      </c>
      <c r="N110" s="28" t="str">
        <f aca="false">IFERROR(AVERAGEIFS(Pedidos!$S$2:$S$2224,Pedidos!$E$2:$E$2224,$A110,Pedidos!$F$2:$F$2224,"200-250"),"")</f>
        <v/>
      </c>
      <c r="O110" s="28" t="str">
        <f aca="false">IFERROR(AVERAGEIFS(Pedidos!$S$2:$S$2224,Pedidos!$E$2:$E$2224,$A110,Pedidos!$F$2:$F$2224,"&gt;250"),"")</f>
        <v/>
      </c>
      <c r="P110" s="28" t="n">
        <f aca="false">IFERROR(AVERAGEIFS(Pedidos!$S$2:$S$2224,Pedidos!$E$2:$E$2224,$A110),"")</f>
        <v>198.538237100737</v>
      </c>
    </row>
    <row r="111" customFormat="false" ht="15" hidden="false" customHeight="false" outlineLevel="0" collapsed="false">
      <c r="A111" s="14" t="s">
        <v>88</v>
      </c>
      <c r="B111" s="28" t="n">
        <f aca="false">IFERROR(AVERAGEIFS(Pedidos!$S$2:$S$2224,Pedidos!$E$2:$E$2224,$A111,Pedidos!$F$2:$F$2224,"0-20"),"")</f>
        <v>104.813787878788</v>
      </c>
      <c r="C111" s="28" t="n">
        <f aca="false">IFERROR(AVERAGEIFS(Pedidos!$S$2:$S$2224,Pedidos!$E$2:$E$2224,$A111,Pedidos!$F$2:$F$2224,"20-35"),"")</f>
        <v>148.963276515152</v>
      </c>
      <c r="D111" s="28" t="n">
        <f aca="false">IFERROR(AVERAGEIFS(Pedidos!$S$2:$S$2224,Pedidos!$E$2:$E$2224,$A111,Pedidos!$F$2:$F$2224,"35-40"),"")</f>
        <v>172.303</v>
      </c>
      <c r="E111" s="28" t="n">
        <f aca="false">IFERROR(AVERAGEIFS(Pedidos!$S$2:$S$2224,Pedidos!$E$2:$E$2224,$A111,Pedidos!$F$2:$F$2224,"40-50"),"")</f>
        <v>176.504630681818</v>
      </c>
      <c r="F111" s="28" t="n">
        <f aca="false">IFERROR(AVERAGEIFS(Pedidos!$S$2:$S$2224,Pedidos!$E$2:$E$2224,$A111,Pedidos!$F$2:$F$2224,"50-60"),"")</f>
        <v>201.675416666667</v>
      </c>
      <c r="G111" s="28" t="n">
        <f aca="false">IFERROR(AVERAGEIFS(Pedidos!$S$2:$S$2224,Pedidos!$E$2:$E$2224,$A111,Pedidos!$F$2:$F$2224,"60-70"),"")</f>
        <v>235.127840909091</v>
      </c>
      <c r="H111" s="28" t="n">
        <f aca="false">IFERROR(AVERAGEIFS(Pedidos!$S$2:$S$2224,Pedidos!$E$2:$E$2224,$A111,Pedidos!$F$2:$F$2224,"70-80"),"")</f>
        <v>230.011363636364</v>
      </c>
      <c r="I111" s="28" t="n">
        <f aca="false">IFERROR(AVERAGEIFS(Pedidos!$S$2:$S$2224,Pedidos!$E$2:$E$2224,$A111,Pedidos!$F$2:$F$2224,"80-100"),"")</f>
        <v>281.272727272727</v>
      </c>
      <c r="J111" s="28" t="str">
        <f aca="false">IFERROR(AVERAGEIFS(Pedidos!$S$2:$S$2224,Pedidos!$E$2:$E$2224,$A111,Pedidos!$F$2:$F$2224,"100-120"),"")</f>
        <v/>
      </c>
      <c r="K111" s="28" t="str">
        <f aca="false">IFERROR(AVERAGEIFS(Pedidos!$S$2:$S$2224,Pedidos!$E$2:$E$2224,$A111,Pedidos!$F$2:$F$2224,"120-150"),"")</f>
        <v/>
      </c>
      <c r="L111" s="28" t="str">
        <f aca="false">IFERROR(AVERAGEIFS(Pedidos!$S$2:$S$2224,Pedidos!$E$2:$E$2224,$A111,Pedidos!$F$2:$F$2224,"150-170"),"")</f>
        <v/>
      </c>
      <c r="M111" s="28" t="str">
        <f aca="false">IFERROR(AVERAGEIFS(Pedidos!$S$2:$S$2224,Pedidos!$E$2:$E$2224,$A111,Pedidos!$F$2:$F$2224,"170-200"),"")</f>
        <v/>
      </c>
      <c r="N111" s="28" t="str">
        <f aca="false">IFERROR(AVERAGEIFS(Pedidos!$S$2:$S$2224,Pedidos!$E$2:$E$2224,$A111,Pedidos!$F$2:$F$2224,"200-250"),"")</f>
        <v/>
      </c>
      <c r="O111" s="28" t="str">
        <f aca="false">IFERROR(AVERAGEIFS(Pedidos!$S$2:$S$2224,Pedidos!$E$2:$E$2224,$A111,Pedidos!$F$2:$F$2224,"&gt;250"),"")</f>
        <v/>
      </c>
      <c r="P111" s="28" t="n">
        <f aca="false">IFERROR(AVERAGEIFS(Pedidos!$S$2:$S$2224,Pedidos!$E$2:$E$2224,$A111),"")</f>
        <v>179.382616883117</v>
      </c>
    </row>
    <row r="112" customFormat="false" ht="15" hidden="false" customHeight="false" outlineLevel="0" collapsed="false">
      <c r="A112" s="14" t="s">
        <v>89</v>
      </c>
      <c r="B112" s="28" t="str">
        <f aca="false">IFERROR(AVERAGEIFS(Pedidos!$S$2:$S$2224,Pedidos!$E$2:$E$2224,$A112,Pedidos!$F$2:$F$2224,"0-20"),"")</f>
        <v/>
      </c>
      <c r="C112" s="28" t="n">
        <f aca="false">IFERROR(AVERAGEIFS(Pedidos!$S$2:$S$2224,Pedidos!$E$2:$E$2224,$A112,Pedidos!$F$2:$F$2224,"20-35"),"")</f>
        <v>150.488590909091</v>
      </c>
      <c r="D112" s="28" t="n">
        <f aca="false">IFERROR(AVERAGEIFS(Pedidos!$S$2:$S$2224,Pedidos!$E$2:$E$2224,$A112,Pedidos!$F$2:$F$2224,"35-40"),"")</f>
        <v>171.308863636364</v>
      </c>
      <c r="E112" s="28" t="n">
        <f aca="false">IFERROR(AVERAGEIFS(Pedidos!$S$2:$S$2224,Pedidos!$E$2:$E$2224,$A112,Pedidos!$F$2:$F$2224,"40-50"),"")</f>
        <v>177.568181818182</v>
      </c>
      <c r="F112" s="28" t="n">
        <f aca="false">IFERROR(AVERAGEIFS(Pedidos!$S$2:$S$2224,Pedidos!$E$2:$E$2224,$A112,Pedidos!$F$2:$F$2224,"50-60"),"")</f>
        <v>203.666647727273</v>
      </c>
      <c r="G112" s="28" t="n">
        <f aca="false">IFERROR(AVERAGEIFS(Pedidos!$S$2:$S$2224,Pedidos!$E$2:$E$2224,$A112,Pedidos!$F$2:$F$2224,"60-70"),"")</f>
        <v>236.65675</v>
      </c>
      <c r="H112" s="28" t="n">
        <f aca="false">IFERROR(AVERAGEIFS(Pedidos!$S$2:$S$2224,Pedidos!$E$2:$E$2224,$A112,Pedidos!$F$2:$F$2224,"70-80"),"")</f>
        <v>239.328522727273</v>
      </c>
      <c r="I112" s="28" t="n">
        <f aca="false">IFERROR(AVERAGEIFS(Pedidos!$S$2:$S$2224,Pedidos!$E$2:$E$2224,$A112,Pedidos!$F$2:$F$2224,"80-100"),"")</f>
        <v>285.602272727273</v>
      </c>
      <c r="J112" s="28" t="n">
        <f aca="false">IFERROR(AVERAGEIFS(Pedidos!$S$2:$S$2224,Pedidos!$E$2:$E$2224,$A112,Pedidos!$F$2:$F$2224,"100-120"),"")</f>
        <v>346.456818181818</v>
      </c>
      <c r="K112" s="28" t="n">
        <f aca="false">IFERROR(AVERAGEIFS(Pedidos!$S$2:$S$2224,Pedidos!$E$2:$E$2224,$A112,Pedidos!$F$2:$F$2224,"120-150"),"")</f>
        <v>390.372954545455</v>
      </c>
      <c r="L112" s="28" t="str">
        <f aca="false">IFERROR(AVERAGEIFS(Pedidos!$S$2:$S$2224,Pedidos!$E$2:$E$2224,$A112,Pedidos!$F$2:$F$2224,"150-170"),"")</f>
        <v/>
      </c>
      <c r="M112" s="28" t="str">
        <f aca="false">IFERROR(AVERAGEIFS(Pedidos!$S$2:$S$2224,Pedidos!$E$2:$E$2224,$A112,Pedidos!$F$2:$F$2224,"170-200"),"")</f>
        <v/>
      </c>
      <c r="N112" s="28" t="str">
        <f aca="false">IFERROR(AVERAGEIFS(Pedidos!$S$2:$S$2224,Pedidos!$E$2:$E$2224,$A112,Pedidos!$F$2:$F$2224,"200-250"),"")</f>
        <v/>
      </c>
      <c r="O112" s="28" t="str">
        <f aca="false">IFERROR(AVERAGEIFS(Pedidos!$S$2:$S$2224,Pedidos!$E$2:$E$2224,$A112,Pedidos!$F$2:$F$2224,"&gt;250"),"")</f>
        <v/>
      </c>
      <c r="P112" s="28" t="n">
        <f aca="false">IFERROR(AVERAGEIFS(Pedidos!$S$2:$S$2224,Pedidos!$E$2:$E$2224,$A112),"")</f>
        <v>216.628114346591</v>
      </c>
    </row>
    <row r="113" customFormat="false" ht="15" hidden="false" customHeight="false" outlineLevel="0" collapsed="false">
      <c r="A113" s="14" t="s">
        <v>90</v>
      </c>
      <c r="B113" s="28" t="str">
        <f aca="false">IFERROR(AVERAGEIFS(Pedidos!$S$2:$S$2224,Pedidos!$E$2:$E$2224,$A113,Pedidos!$F$2:$F$2224,"0-20"),"")</f>
        <v/>
      </c>
      <c r="C113" s="28" t="n">
        <f aca="false">IFERROR(AVERAGEIFS(Pedidos!$S$2:$S$2224,Pedidos!$E$2:$E$2224,$A113,Pedidos!$F$2:$F$2224,"20-35"),"")</f>
        <v>137.945871212121</v>
      </c>
      <c r="D113" s="28" t="n">
        <f aca="false">IFERROR(AVERAGEIFS(Pedidos!$S$2:$S$2224,Pedidos!$E$2:$E$2224,$A113,Pedidos!$F$2:$F$2224,"35-40"),"")</f>
        <v>160.294577922078</v>
      </c>
      <c r="E113" s="28" t="n">
        <f aca="false">IFERROR(AVERAGEIFS(Pedidos!$S$2:$S$2224,Pedidos!$E$2:$E$2224,$A113,Pedidos!$F$2:$F$2224,"40-50"),"")</f>
        <v>166.045340909091</v>
      </c>
      <c r="F113" s="28" t="n">
        <f aca="false">IFERROR(AVERAGEIFS(Pedidos!$S$2:$S$2224,Pedidos!$E$2:$E$2224,$A113,Pedidos!$F$2:$F$2224,"50-60"),"")</f>
        <v>185.840426136364</v>
      </c>
      <c r="G113" s="28" t="n">
        <f aca="false">IFERROR(AVERAGEIFS(Pedidos!$S$2:$S$2224,Pedidos!$E$2:$E$2224,$A113,Pedidos!$F$2:$F$2224,"60-70"),"")</f>
        <v>216.267083333333</v>
      </c>
      <c r="H113" s="28" t="n">
        <f aca="false">IFERROR(AVERAGEIFS(Pedidos!$S$2:$S$2224,Pedidos!$E$2:$E$2224,$A113,Pedidos!$F$2:$F$2224,"70-80"),"")</f>
        <v>214.170454545455</v>
      </c>
      <c r="I113" s="28" t="str">
        <f aca="false">IFERROR(AVERAGEIFS(Pedidos!$S$2:$S$2224,Pedidos!$E$2:$E$2224,$A113,Pedidos!$F$2:$F$2224,"80-100"),"")</f>
        <v/>
      </c>
      <c r="J113" s="28" t="n">
        <f aca="false">IFERROR(AVERAGEIFS(Pedidos!$S$2:$S$2224,Pedidos!$E$2:$E$2224,$A113,Pedidos!$F$2:$F$2224,"100-120"),"")</f>
        <v>320.772727272727</v>
      </c>
      <c r="K113" s="28" t="n">
        <f aca="false">IFERROR(AVERAGEIFS(Pedidos!$S$2:$S$2224,Pedidos!$E$2:$E$2224,$A113,Pedidos!$F$2:$F$2224,"120-150"),"")</f>
        <v>378.009204545455</v>
      </c>
      <c r="L113" s="28" t="str">
        <f aca="false">IFERROR(AVERAGEIFS(Pedidos!$S$2:$S$2224,Pedidos!$E$2:$E$2224,$A113,Pedidos!$F$2:$F$2224,"150-170"),"")</f>
        <v/>
      </c>
      <c r="M113" s="28" t="str">
        <f aca="false">IFERROR(AVERAGEIFS(Pedidos!$S$2:$S$2224,Pedidos!$E$2:$E$2224,$A113,Pedidos!$F$2:$F$2224,"170-200"),"")</f>
        <v/>
      </c>
      <c r="N113" s="28" t="str">
        <f aca="false">IFERROR(AVERAGEIFS(Pedidos!$S$2:$S$2224,Pedidos!$E$2:$E$2224,$A113,Pedidos!$F$2:$F$2224,"200-250"),"")</f>
        <v/>
      </c>
      <c r="O113" s="28" t="str">
        <f aca="false">IFERROR(AVERAGEIFS(Pedidos!$S$2:$S$2224,Pedidos!$E$2:$E$2224,$A113,Pedidos!$F$2:$F$2224,"&gt;250"),"")</f>
        <v/>
      </c>
      <c r="P113" s="28" t="n">
        <f aca="false">IFERROR(AVERAGEIFS(Pedidos!$S$2:$S$2224,Pedidos!$E$2:$E$2224,$A113),"")</f>
        <v>195.3865234375</v>
      </c>
    </row>
    <row r="114" customFormat="false" ht="15" hidden="false" customHeight="false" outlineLevel="0" collapsed="false">
      <c r="A114" s="14" t="s">
        <v>91</v>
      </c>
      <c r="B114" s="28" t="n">
        <f aca="false">IFERROR(AVERAGEIFS(Pedidos!$S$2:$S$2224,Pedidos!$E$2:$E$2224,$A114,Pedidos!$F$2:$F$2224,"0-20"),"")</f>
        <v>130.125</v>
      </c>
      <c r="C114" s="28" t="n">
        <f aca="false">IFERROR(AVERAGEIFS(Pedidos!$S$2:$S$2224,Pedidos!$E$2:$E$2224,$A114,Pedidos!$F$2:$F$2224,"20-35"),"")</f>
        <v>155.522727272727</v>
      </c>
      <c r="D114" s="28" t="n">
        <f aca="false">IFERROR(AVERAGEIFS(Pedidos!$S$2:$S$2224,Pedidos!$E$2:$E$2224,$A114,Pedidos!$F$2:$F$2224,"35-40"),"")</f>
        <v>171.02071969697</v>
      </c>
      <c r="E114" s="28" t="n">
        <f aca="false">IFERROR(AVERAGEIFS(Pedidos!$S$2:$S$2224,Pedidos!$E$2:$E$2224,$A114,Pedidos!$F$2:$F$2224,"40-50"),"")</f>
        <v>182.261193181818</v>
      </c>
      <c r="F114" s="28" t="n">
        <f aca="false">IFERROR(AVERAGEIFS(Pedidos!$S$2:$S$2224,Pedidos!$E$2:$E$2224,$A114,Pedidos!$F$2:$F$2224,"50-60"),"")</f>
        <v>205.144015151515</v>
      </c>
      <c r="G114" s="28" t="n">
        <f aca="false">IFERROR(AVERAGEIFS(Pedidos!$S$2:$S$2224,Pedidos!$E$2:$E$2224,$A114,Pedidos!$F$2:$F$2224,"60-70"),"")</f>
        <v>235.557301136364</v>
      </c>
      <c r="H114" s="28" t="str">
        <f aca="false">IFERROR(AVERAGEIFS(Pedidos!$S$2:$S$2224,Pedidos!$E$2:$E$2224,$A114,Pedidos!$F$2:$F$2224,"70-80"),"")</f>
        <v/>
      </c>
      <c r="I114" s="28" t="str">
        <f aca="false">IFERROR(AVERAGEIFS(Pedidos!$S$2:$S$2224,Pedidos!$E$2:$E$2224,$A114,Pedidos!$F$2:$F$2224,"80-100"),"")</f>
        <v/>
      </c>
      <c r="J114" s="28" t="str">
        <f aca="false">IFERROR(AVERAGEIFS(Pedidos!$S$2:$S$2224,Pedidos!$E$2:$E$2224,$A114,Pedidos!$F$2:$F$2224,"100-120"),"")</f>
        <v/>
      </c>
      <c r="K114" s="28" t="str">
        <f aca="false">IFERROR(AVERAGEIFS(Pedidos!$S$2:$S$2224,Pedidos!$E$2:$E$2224,$A114,Pedidos!$F$2:$F$2224,"120-150"),"")</f>
        <v/>
      </c>
      <c r="L114" s="28" t="str">
        <f aca="false">IFERROR(AVERAGEIFS(Pedidos!$S$2:$S$2224,Pedidos!$E$2:$E$2224,$A114,Pedidos!$F$2:$F$2224,"150-170"),"")</f>
        <v/>
      </c>
      <c r="M114" s="28" t="str">
        <f aca="false">IFERROR(AVERAGEIFS(Pedidos!$S$2:$S$2224,Pedidos!$E$2:$E$2224,$A114,Pedidos!$F$2:$F$2224,"170-200"),"")</f>
        <v/>
      </c>
      <c r="N114" s="28" t="str">
        <f aca="false">IFERROR(AVERAGEIFS(Pedidos!$S$2:$S$2224,Pedidos!$E$2:$E$2224,$A114,Pedidos!$F$2:$F$2224,"200-250"),"")</f>
        <v/>
      </c>
      <c r="O114" s="28" t="str">
        <f aca="false">IFERROR(AVERAGEIFS(Pedidos!$S$2:$S$2224,Pedidos!$E$2:$E$2224,$A114,Pedidos!$F$2:$F$2224,"&gt;250"),"")</f>
        <v/>
      </c>
      <c r="P114" s="28" t="n">
        <f aca="false">IFERROR(AVERAGEIFS(Pedidos!$S$2:$S$2224,Pedidos!$E$2:$E$2224,$A114),"")</f>
        <v>182.076911525974</v>
      </c>
    </row>
    <row r="115" customFormat="false" ht="15" hidden="false" customHeight="false" outlineLevel="0" collapsed="false">
      <c r="A115" s="14" t="s">
        <v>92</v>
      </c>
      <c r="B115" s="28" t="str">
        <f aca="false">IFERROR(AVERAGEIFS(Pedidos!$S$2:$S$2224,Pedidos!$E$2:$E$2224,$A115,Pedidos!$F$2:$F$2224,"0-20"),"")</f>
        <v/>
      </c>
      <c r="C115" s="28" t="n">
        <f aca="false">IFERROR(AVERAGEIFS(Pedidos!$S$2:$S$2224,Pedidos!$E$2:$E$2224,$A115,Pedidos!$F$2:$F$2224,"20-35"),"")</f>
        <v>154.491477272727</v>
      </c>
      <c r="D115" s="28" t="n">
        <f aca="false">IFERROR(AVERAGEIFS(Pedidos!$S$2:$S$2224,Pedidos!$E$2:$E$2224,$A115,Pedidos!$F$2:$F$2224,"35-40"),"")</f>
        <v>171.378125</v>
      </c>
      <c r="E115" s="28" t="n">
        <f aca="false">IFERROR(AVERAGEIFS(Pedidos!$S$2:$S$2224,Pedidos!$E$2:$E$2224,$A115,Pedidos!$F$2:$F$2224,"40-50"),"")</f>
        <v>181.052136363636</v>
      </c>
      <c r="F115" s="28" t="n">
        <f aca="false">IFERROR(AVERAGEIFS(Pedidos!$S$2:$S$2224,Pedidos!$E$2:$E$2224,$A115,Pedidos!$F$2:$F$2224,"50-60"),"")</f>
        <v>202.106818181818</v>
      </c>
      <c r="G115" s="28" t="n">
        <f aca="false">IFERROR(AVERAGEIFS(Pedidos!$S$2:$S$2224,Pedidos!$E$2:$E$2224,$A115,Pedidos!$F$2:$F$2224,"60-70"),"")</f>
        <v>235.879393939394</v>
      </c>
      <c r="H115" s="28" t="n">
        <f aca="false">IFERROR(AVERAGEIFS(Pedidos!$S$2:$S$2224,Pedidos!$E$2:$E$2224,$A115,Pedidos!$F$2:$F$2224,"70-80"),"")</f>
        <v>239.385795454545</v>
      </c>
      <c r="I115" s="28" t="n">
        <f aca="false">IFERROR(AVERAGEIFS(Pedidos!$S$2:$S$2224,Pedidos!$E$2:$E$2224,$A115,Pedidos!$F$2:$F$2224,"80-100"),"")</f>
        <v>280.693181818182</v>
      </c>
      <c r="J115" s="28" t="str">
        <f aca="false">IFERROR(AVERAGEIFS(Pedidos!$S$2:$S$2224,Pedidos!$E$2:$E$2224,$A115,Pedidos!$F$2:$F$2224,"100-120"),"")</f>
        <v/>
      </c>
      <c r="K115" s="28" t="str">
        <f aca="false">IFERROR(AVERAGEIFS(Pedidos!$S$2:$S$2224,Pedidos!$E$2:$E$2224,$A115,Pedidos!$F$2:$F$2224,"120-150"),"")</f>
        <v/>
      </c>
      <c r="L115" s="28" t="str">
        <f aca="false">IFERROR(AVERAGEIFS(Pedidos!$S$2:$S$2224,Pedidos!$E$2:$E$2224,$A115,Pedidos!$F$2:$F$2224,"150-170"),"")</f>
        <v/>
      </c>
      <c r="M115" s="28" t="str">
        <f aca="false">IFERROR(AVERAGEIFS(Pedidos!$S$2:$S$2224,Pedidos!$E$2:$E$2224,$A115,Pedidos!$F$2:$F$2224,"170-200"),"")</f>
        <v/>
      </c>
      <c r="N115" s="28" t="str">
        <f aca="false">IFERROR(AVERAGEIFS(Pedidos!$S$2:$S$2224,Pedidos!$E$2:$E$2224,$A115,Pedidos!$F$2:$F$2224,"200-250"),"")</f>
        <v/>
      </c>
      <c r="O115" s="28" t="str">
        <f aca="false">IFERROR(AVERAGEIFS(Pedidos!$S$2:$S$2224,Pedidos!$E$2:$E$2224,$A115,Pedidos!$F$2:$F$2224,"&gt;250"),"")</f>
        <v/>
      </c>
      <c r="P115" s="28" t="n">
        <f aca="false">IFERROR(AVERAGEIFS(Pedidos!$S$2:$S$2224,Pedidos!$E$2:$E$2224,$A115),"")</f>
        <v>192.934074675325</v>
      </c>
    </row>
    <row r="116" customFormat="false" ht="15" hidden="false" customHeight="false" outlineLevel="0" collapsed="false">
      <c r="A116" s="14" t="s">
        <v>93</v>
      </c>
      <c r="B116" s="28" t="n">
        <f aca="false">IFERROR(AVERAGEIFS(Pedidos!$S$2:$S$2224,Pedidos!$E$2:$E$2224,$A116,Pedidos!$F$2:$F$2224,"0-20"),"")</f>
        <v>82.2613636363636</v>
      </c>
      <c r="C116" s="28" t="n">
        <f aca="false">IFERROR(AVERAGEIFS(Pedidos!$S$2:$S$2224,Pedidos!$E$2:$E$2224,$A116,Pedidos!$F$2:$F$2224,"20-35"),"")</f>
        <v>139.795227272727</v>
      </c>
      <c r="D116" s="28" t="n">
        <f aca="false">IFERROR(AVERAGEIFS(Pedidos!$S$2:$S$2224,Pedidos!$E$2:$E$2224,$A116,Pedidos!$F$2:$F$2224,"35-40"),"")</f>
        <v>160.223295454545</v>
      </c>
      <c r="E116" s="28" t="n">
        <f aca="false">IFERROR(AVERAGEIFS(Pedidos!$S$2:$S$2224,Pedidos!$E$2:$E$2224,$A116,Pedidos!$F$2:$F$2224,"40-50"),"")</f>
        <v>166.773701298701</v>
      </c>
      <c r="F116" s="28" t="n">
        <f aca="false">IFERROR(AVERAGEIFS(Pedidos!$S$2:$S$2224,Pedidos!$E$2:$E$2224,$A116,Pedidos!$F$2:$F$2224,"50-60"),"")</f>
        <v>184.742386363636</v>
      </c>
      <c r="G116" s="28" t="n">
        <f aca="false">IFERROR(AVERAGEIFS(Pedidos!$S$2:$S$2224,Pedidos!$E$2:$E$2224,$A116,Pedidos!$F$2:$F$2224,"60-70"),"")</f>
        <v>216.88321969697</v>
      </c>
      <c r="H116" s="28" t="str">
        <f aca="false">IFERROR(AVERAGEIFS(Pedidos!$S$2:$S$2224,Pedidos!$E$2:$E$2224,$A116,Pedidos!$F$2:$F$2224,"70-80"),"")</f>
        <v/>
      </c>
      <c r="I116" s="28" t="str">
        <f aca="false">IFERROR(AVERAGEIFS(Pedidos!$S$2:$S$2224,Pedidos!$E$2:$E$2224,$A116,Pedidos!$F$2:$F$2224,"80-100"),"")</f>
        <v/>
      </c>
      <c r="J116" s="28" t="str">
        <f aca="false">IFERROR(AVERAGEIFS(Pedidos!$S$2:$S$2224,Pedidos!$E$2:$E$2224,$A116,Pedidos!$F$2:$F$2224,"100-120"),"")</f>
        <v/>
      </c>
      <c r="K116" s="28" t="n">
        <f aca="false">IFERROR(AVERAGEIFS(Pedidos!$S$2:$S$2224,Pedidos!$E$2:$E$2224,$A116,Pedidos!$F$2:$F$2224,"120-150"),"")</f>
        <v>375.625</v>
      </c>
      <c r="L116" s="28" t="str">
        <f aca="false">IFERROR(AVERAGEIFS(Pedidos!$S$2:$S$2224,Pedidos!$E$2:$E$2224,$A116,Pedidos!$F$2:$F$2224,"150-170"),"")</f>
        <v/>
      </c>
      <c r="M116" s="28" t="str">
        <f aca="false">IFERROR(AVERAGEIFS(Pedidos!$S$2:$S$2224,Pedidos!$E$2:$E$2224,$A116,Pedidos!$F$2:$F$2224,"170-200"),"")</f>
        <v/>
      </c>
      <c r="N116" s="28" t="str">
        <f aca="false">IFERROR(AVERAGEIFS(Pedidos!$S$2:$S$2224,Pedidos!$E$2:$E$2224,$A116,Pedidos!$F$2:$F$2224,"200-250"),"")</f>
        <v/>
      </c>
      <c r="O116" s="28" t="str">
        <f aca="false">IFERROR(AVERAGEIFS(Pedidos!$S$2:$S$2224,Pedidos!$E$2:$E$2224,$A116,Pedidos!$F$2:$F$2224,"&gt;250"),"")</f>
        <v/>
      </c>
      <c r="P116" s="28" t="n">
        <f aca="false">IFERROR(AVERAGEIFS(Pedidos!$S$2:$S$2224,Pedidos!$E$2:$E$2224,$A116),"")</f>
        <v>181.009813636364</v>
      </c>
    </row>
    <row r="117" customFormat="false" ht="15" hidden="false" customHeight="false" outlineLevel="0" collapsed="false">
      <c r="A117" s="14" t="s">
        <v>94</v>
      </c>
      <c r="B117" s="28" t="n">
        <f aca="false">IFERROR(AVERAGEIFS(Pedidos!$S$2:$S$2224,Pedidos!$E$2:$E$2224,$A117,Pedidos!$F$2:$F$2224,"0-20"),"")</f>
        <v>72.5227272727273</v>
      </c>
      <c r="C117" s="28" t="n">
        <f aca="false">IFERROR(AVERAGEIFS(Pedidos!$S$2:$S$2224,Pedidos!$E$2:$E$2224,$A117,Pedidos!$F$2:$F$2224,"20-35"),"")</f>
        <v>119.442840909091</v>
      </c>
      <c r="D117" s="28" t="n">
        <f aca="false">IFERROR(AVERAGEIFS(Pedidos!$S$2:$S$2224,Pedidos!$E$2:$E$2224,$A117,Pedidos!$F$2:$F$2224,"35-40"),"")</f>
        <v>138.333977272727</v>
      </c>
      <c r="E117" s="28" t="n">
        <f aca="false">IFERROR(AVERAGEIFS(Pedidos!$S$2:$S$2224,Pedidos!$E$2:$E$2224,$A117,Pedidos!$F$2:$F$2224,"40-50"),"")</f>
        <v>142.642340909091</v>
      </c>
      <c r="F117" s="28" t="n">
        <f aca="false">IFERROR(AVERAGEIFS(Pedidos!$S$2:$S$2224,Pedidos!$E$2:$E$2224,$A117,Pedidos!$F$2:$F$2224,"50-60"),"")</f>
        <v>168.946079545455</v>
      </c>
      <c r="G117" s="28" t="n">
        <f aca="false">IFERROR(AVERAGEIFS(Pedidos!$S$2:$S$2224,Pedidos!$E$2:$E$2224,$A117,Pedidos!$F$2:$F$2224,"60-70"),"")</f>
        <v>197.523977272727</v>
      </c>
      <c r="H117" s="28" t="str">
        <f aca="false">IFERROR(AVERAGEIFS(Pedidos!$S$2:$S$2224,Pedidos!$E$2:$E$2224,$A117,Pedidos!$F$2:$F$2224,"70-80"),"")</f>
        <v/>
      </c>
      <c r="I117" s="28" t="str">
        <f aca="false">IFERROR(AVERAGEIFS(Pedidos!$S$2:$S$2224,Pedidos!$E$2:$E$2224,$A117,Pedidos!$F$2:$F$2224,"80-100"),"")</f>
        <v/>
      </c>
      <c r="J117" s="28" t="n">
        <f aca="false">IFERROR(AVERAGEIFS(Pedidos!$S$2:$S$2224,Pedidos!$E$2:$E$2224,$A117,Pedidos!$F$2:$F$2224,"100-120"),"")</f>
        <v>306.313636363636</v>
      </c>
      <c r="K117" s="28" t="str">
        <f aca="false">IFERROR(AVERAGEIFS(Pedidos!$S$2:$S$2224,Pedidos!$E$2:$E$2224,$A117,Pedidos!$F$2:$F$2224,"120-150"),"")</f>
        <v/>
      </c>
      <c r="L117" s="28" t="str">
        <f aca="false">IFERROR(AVERAGEIFS(Pedidos!$S$2:$S$2224,Pedidos!$E$2:$E$2224,$A117,Pedidos!$F$2:$F$2224,"150-170"),"")</f>
        <v/>
      </c>
      <c r="M117" s="28" t="str">
        <f aca="false">IFERROR(AVERAGEIFS(Pedidos!$S$2:$S$2224,Pedidos!$E$2:$E$2224,$A117,Pedidos!$F$2:$F$2224,"170-200"),"")</f>
        <v/>
      </c>
      <c r="N117" s="28" t="str">
        <f aca="false">IFERROR(AVERAGEIFS(Pedidos!$S$2:$S$2224,Pedidos!$E$2:$E$2224,$A117,Pedidos!$F$2:$F$2224,"200-250"),"")</f>
        <v/>
      </c>
      <c r="O117" s="28" t="str">
        <f aca="false">IFERROR(AVERAGEIFS(Pedidos!$S$2:$S$2224,Pedidos!$E$2:$E$2224,$A117,Pedidos!$F$2:$F$2224,"&gt;250"),"")</f>
        <v/>
      </c>
      <c r="P117" s="28" t="n">
        <f aca="false">IFERROR(AVERAGEIFS(Pedidos!$S$2:$S$2224,Pedidos!$E$2:$E$2224,$A117),"")</f>
        <v>160.896390692641</v>
      </c>
    </row>
    <row r="118" customFormat="false" ht="15" hidden="false" customHeight="false" outlineLevel="0" collapsed="false">
      <c r="A118" s="14" t="s">
        <v>95</v>
      </c>
      <c r="B118" s="28" t="n">
        <f aca="false">IFERROR(AVERAGEIFS(Pedidos!$S$2:$S$2224,Pedidos!$E$2:$E$2224,$A118,Pedidos!$F$2:$F$2224,"0-20"),"")</f>
        <v>120.410795454545</v>
      </c>
      <c r="C118" s="28" t="n">
        <f aca="false">IFERROR(AVERAGEIFS(Pedidos!$S$2:$S$2224,Pedidos!$E$2:$E$2224,$A118,Pedidos!$F$2:$F$2224,"20-35"),"")</f>
        <v>141.66078125</v>
      </c>
      <c r="D118" s="28" t="n">
        <f aca="false">IFERROR(AVERAGEIFS(Pedidos!$S$2:$S$2224,Pedidos!$E$2:$E$2224,$A118,Pedidos!$F$2:$F$2224,"35-40"),"")</f>
        <v>153.765454545455</v>
      </c>
      <c r="E118" s="28" t="n">
        <f aca="false">IFERROR(AVERAGEIFS(Pedidos!$S$2:$S$2224,Pedidos!$E$2:$E$2224,$A118,Pedidos!$F$2:$F$2224,"40-50"),"")</f>
        <v>168.492954545455</v>
      </c>
      <c r="F118" s="28" t="n">
        <f aca="false">IFERROR(AVERAGEIFS(Pedidos!$S$2:$S$2224,Pedidos!$E$2:$E$2224,$A118,Pedidos!$F$2:$F$2224,"50-60"),"")</f>
        <v>183.551875</v>
      </c>
      <c r="G118" s="28" t="n">
        <f aca="false">IFERROR(AVERAGEIFS(Pedidos!$S$2:$S$2224,Pedidos!$E$2:$E$2224,$A118,Pedidos!$F$2:$F$2224,"60-70"),"")</f>
        <v>202.294962121212</v>
      </c>
      <c r="H118" s="28" t="str">
        <f aca="false">IFERROR(AVERAGEIFS(Pedidos!$S$2:$S$2224,Pedidos!$E$2:$E$2224,$A118,Pedidos!$F$2:$F$2224,"70-80"),"")</f>
        <v/>
      </c>
      <c r="I118" s="28" t="n">
        <f aca="false">IFERROR(AVERAGEIFS(Pedidos!$S$2:$S$2224,Pedidos!$E$2:$E$2224,$A118,Pedidos!$F$2:$F$2224,"80-100"),"")</f>
        <v>253.854545454545</v>
      </c>
      <c r="J118" s="28" t="str">
        <f aca="false">IFERROR(AVERAGEIFS(Pedidos!$S$2:$S$2224,Pedidos!$E$2:$E$2224,$A118,Pedidos!$F$2:$F$2224,"100-120"),"")</f>
        <v/>
      </c>
      <c r="K118" s="28" t="str">
        <f aca="false">IFERROR(AVERAGEIFS(Pedidos!$S$2:$S$2224,Pedidos!$E$2:$E$2224,$A118,Pedidos!$F$2:$F$2224,"120-150"),"")</f>
        <v/>
      </c>
      <c r="L118" s="28" t="str">
        <f aca="false">IFERROR(AVERAGEIFS(Pedidos!$S$2:$S$2224,Pedidos!$E$2:$E$2224,$A118,Pedidos!$F$2:$F$2224,"150-170"),"")</f>
        <v/>
      </c>
      <c r="M118" s="28" t="str">
        <f aca="false">IFERROR(AVERAGEIFS(Pedidos!$S$2:$S$2224,Pedidos!$E$2:$E$2224,$A118,Pedidos!$F$2:$F$2224,"170-200"),"")</f>
        <v/>
      </c>
      <c r="N118" s="28" t="str">
        <f aca="false">IFERROR(AVERAGEIFS(Pedidos!$S$2:$S$2224,Pedidos!$E$2:$E$2224,$A118,Pedidos!$F$2:$F$2224,"200-250"),"")</f>
        <v/>
      </c>
      <c r="O118" s="28" t="str">
        <f aca="false">IFERROR(AVERAGEIFS(Pedidos!$S$2:$S$2224,Pedidos!$E$2:$E$2224,$A118,Pedidos!$F$2:$F$2224,"&gt;250"),"")</f>
        <v/>
      </c>
      <c r="P118" s="28" t="n">
        <f aca="false">IFERROR(AVERAGEIFS(Pedidos!$S$2:$S$2224,Pedidos!$E$2:$E$2224,$A118),"")</f>
        <v>162.323392045455</v>
      </c>
    </row>
    <row r="119" customFormat="false" ht="15" hidden="false" customHeight="false" outlineLevel="0" collapsed="false">
      <c r="A119" s="14" t="s">
        <v>96</v>
      </c>
      <c r="B119" s="28" t="str">
        <f aca="false">IFERROR(AVERAGEIFS(Pedidos!$S$2:$S$2224,Pedidos!$E$2:$E$2224,$A119,Pedidos!$F$2:$F$2224,"0-20"),"")</f>
        <v/>
      </c>
      <c r="C119" s="28" t="n">
        <f aca="false">IFERROR(AVERAGEIFS(Pedidos!$S$2:$S$2224,Pedidos!$E$2:$E$2224,$A119,Pedidos!$F$2:$F$2224,"20-35"),"")</f>
        <v>163.016022727273</v>
      </c>
      <c r="D119" s="28" t="n">
        <f aca="false">IFERROR(AVERAGEIFS(Pedidos!$S$2:$S$2224,Pedidos!$E$2:$E$2224,$A119,Pedidos!$F$2:$F$2224,"35-40"),"")</f>
        <v>172.477272727273</v>
      </c>
      <c r="E119" s="28" t="n">
        <f aca="false">IFERROR(AVERAGEIFS(Pedidos!$S$2:$S$2224,Pedidos!$E$2:$E$2224,$A119,Pedidos!$F$2:$F$2224,"40-50"),"")</f>
        <v>188.058494318182</v>
      </c>
      <c r="F119" s="28" t="n">
        <f aca="false">IFERROR(AVERAGEIFS(Pedidos!$S$2:$S$2224,Pedidos!$E$2:$E$2224,$A119,Pedidos!$F$2:$F$2224,"50-60"),"")</f>
        <v>203.960378787879</v>
      </c>
      <c r="G119" s="28" t="str">
        <f aca="false">IFERROR(AVERAGEIFS(Pedidos!$S$2:$S$2224,Pedidos!$E$2:$E$2224,$A119,Pedidos!$F$2:$F$2224,"60-70"),"")</f>
        <v/>
      </c>
      <c r="H119" s="28" t="str">
        <f aca="false">IFERROR(AVERAGEIFS(Pedidos!$S$2:$S$2224,Pedidos!$E$2:$E$2224,$A119,Pedidos!$F$2:$F$2224,"70-80"),"")</f>
        <v/>
      </c>
      <c r="I119" s="28" t="n">
        <f aca="false">IFERROR(AVERAGEIFS(Pedidos!$S$2:$S$2224,Pedidos!$E$2:$E$2224,$A119,Pedidos!$F$2:$F$2224,"80-100"),"")</f>
        <v>281.647727272727</v>
      </c>
      <c r="J119" s="28" t="n">
        <f aca="false">IFERROR(AVERAGEIFS(Pedidos!$S$2:$S$2224,Pedidos!$E$2:$E$2224,$A119,Pedidos!$F$2:$F$2224,"100-120"),"")</f>
        <v>353.0875</v>
      </c>
      <c r="K119" s="28" t="n">
        <f aca="false">IFERROR(AVERAGEIFS(Pedidos!$S$2:$S$2224,Pedidos!$E$2:$E$2224,$A119,Pedidos!$F$2:$F$2224,"120-150"),"")</f>
        <v>395.193863636364</v>
      </c>
      <c r="L119" s="28" t="str">
        <f aca="false">IFERROR(AVERAGEIFS(Pedidos!$S$2:$S$2224,Pedidos!$E$2:$E$2224,$A119,Pedidos!$F$2:$F$2224,"150-170"),"")</f>
        <v/>
      </c>
      <c r="M119" s="28" t="str">
        <f aca="false">IFERROR(AVERAGEIFS(Pedidos!$S$2:$S$2224,Pedidos!$E$2:$E$2224,$A119,Pedidos!$F$2:$F$2224,"170-200"),"")</f>
        <v/>
      </c>
      <c r="N119" s="28" t="str">
        <f aca="false">IFERROR(AVERAGEIFS(Pedidos!$S$2:$S$2224,Pedidos!$E$2:$E$2224,$A119,Pedidos!$F$2:$F$2224,"200-250"),"")</f>
        <v/>
      </c>
      <c r="O119" s="28" t="str">
        <f aca="false">IFERROR(AVERAGEIFS(Pedidos!$S$2:$S$2224,Pedidos!$E$2:$E$2224,$A119,Pedidos!$F$2:$F$2224,"&gt;250"),"")</f>
        <v/>
      </c>
      <c r="P119" s="28" t="n">
        <f aca="false">IFERROR(AVERAGEIFS(Pedidos!$S$2:$S$2224,Pedidos!$E$2:$E$2224,$A119),"")</f>
        <v>219.92966540404</v>
      </c>
    </row>
    <row r="120" customFormat="false" ht="15" hidden="false" customHeight="false" outlineLevel="0" collapsed="false">
      <c r="A120" s="14" t="s">
        <v>97</v>
      </c>
      <c r="B120" s="28" t="str">
        <f aca="false">IFERROR(AVERAGEIFS(Pedidos!$S$2:$S$2224,Pedidos!$E$2:$E$2224,$A120,Pedidos!$F$2:$F$2224,"0-20"),"")</f>
        <v/>
      </c>
      <c r="C120" s="28" t="n">
        <f aca="false">IFERROR(AVERAGEIFS(Pedidos!$S$2:$S$2224,Pedidos!$E$2:$E$2224,$A120,Pedidos!$F$2:$F$2224,"20-35"),"")</f>
        <v>156.162386363636</v>
      </c>
      <c r="D120" s="28" t="n">
        <f aca="false">IFERROR(AVERAGEIFS(Pedidos!$S$2:$S$2224,Pedidos!$E$2:$E$2224,$A120,Pedidos!$F$2:$F$2224,"35-40"),"")</f>
        <v>171.829545454545</v>
      </c>
      <c r="E120" s="28" t="n">
        <f aca="false">IFERROR(AVERAGEIFS(Pedidos!$S$2:$S$2224,Pedidos!$E$2:$E$2224,$A120,Pedidos!$F$2:$F$2224,"40-50"),"")</f>
        <v>181.624924242424</v>
      </c>
      <c r="F120" s="28" t="n">
        <f aca="false">IFERROR(AVERAGEIFS(Pedidos!$S$2:$S$2224,Pedidos!$E$2:$E$2224,$A120,Pedidos!$F$2:$F$2224,"50-60"),"")</f>
        <v>205.043712121212</v>
      </c>
      <c r="G120" s="28" t="n">
        <f aca="false">IFERROR(AVERAGEIFS(Pedidos!$S$2:$S$2224,Pedidos!$E$2:$E$2224,$A120,Pedidos!$F$2:$F$2224,"60-70"),"")</f>
        <v>236.228295454545</v>
      </c>
      <c r="H120" s="28" t="str">
        <f aca="false">IFERROR(AVERAGEIFS(Pedidos!$S$2:$S$2224,Pedidos!$E$2:$E$2224,$A120,Pedidos!$F$2:$F$2224,"70-80"),"")</f>
        <v/>
      </c>
      <c r="I120" s="28" t="n">
        <f aca="false">IFERROR(AVERAGEIFS(Pedidos!$S$2:$S$2224,Pedidos!$E$2:$E$2224,$A120,Pedidos!$F$2:$F$2224,"80-100"),"")</f>
        <v>280.215113636364</v>
      </c>
      <c r="J120" s="28" t="str">
        <f aca="false">IFERROR(AVERAGEIFS(Pedidos!$S$2:$S$2224,Pedidos!$E$2:$E$2224,$A120,Pedidos!$F$2:$F$2224,"100-120"),"")</f>
        <v/>
      </c>
      <c r="K120" s="28" t="str">
        <f aca="false">IFERROR(AVERAGEIFS(Pedidos!$S$2:$S$2224,Pedidos!$E$2:$E$2224,$A120,Pedidos!$F$2:$F$2224,"120-150"),"")</f>
        <v/>
      </c>
      <c r="L120" s="28" t="str">
        <f aca="false">IFERROR(AVERAGEIFS(Pedidos!$S$2:$S$2224,Pedidos!$E$2:$E$2224,$A120,Pedidos!$F$2:$F$2224,"150-170"),"")</f>
        <v/>
      </c>
      <c r="M120" s="28" t="str">
        <f aca="false">IFERROR(AVERAGEIFS(Pedidos!$S$2:$S$2224,Pedidos!$E$2:$E$2224,$A120,Pedidos!$F$2:$F$2224,"170-200"),"")</f>
        <v/>
      </c>
      <c r="N120" s="28" t="str">
        <f aca="false">IFERROR(AVERAGEIFS(Pedidos!$S$2:$S$2224,Pedidos!$E$2:$E$2224,$A120,Pedidos!$F$2:$F$2224,"200-250"),"")</f>
        <v/>
      </c>
      <c r="O120" s="28" t="str">
        <f aca="false">IFERROR(AVERAGEIFS(Pedidos!$S$2:$S$2224,Pedidos!$E$2:$E$2224,$A120,Pedidos!$F$2:$F$2224,"&gt;250"),"")</f>
        <v/>
      </c>
      <c r="P120" s="28" t="n">
        <f aca="false">IFERROR(AVERAGEIFS(Pedidos!$S$2:$S$2224,Pedidos!$E$2:$E$2224,$A120),"")</f>
        <v>190.529962121212</v>
      </c>
    </row>
  </sheetData>
  <conditionalFormatting sqref="B29:O48">
    <cfRule type="colorScale" priority="2">
      <colorScale>
        <cfvo type="num" val="0.15"/>
        <cfvo type="num" val="0.4"/>
        <cfvo type="num" val="0.7"/>
        <color rgb="FF63BE7B"/>
        <color rgb="FFFFEB84"/>
        <color rgb="FFF8696B"/>
      </colorScale>
    </cfRule>
  </conditionalFormatting>
  <conditionalFormatting sqref="B53:O72">
    <cfRule type="colorScale" priority="3">
      <colorScale>
        <cfvo type="num" val="-0.25"/>
        <cfvo type="num" val="0"/>
        <cfvo type="num" val="0.25"/>
        <color rgb="FF63BE7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24" min="10" style="0" width="12"/>
  </cols>
  <sheetData>
    <row r="1" customFormat="false" ht="45" hidden="false" customHeight="true" outlineLevel="0" collapsed="false">
      <c r="A1" s="4" t="s">
        <v>131</v>
      </c>
      <c r="B1" s="4" t="s">
        <v>132</v>
      </c>
      <c r="C1" s="4" t="s">
        <v>133</v>
      </c>
      <c r="D1" s="4" t="s">
        <v>134</v>
      </c>
      <c r="E1" s="4" t="s">
        <v>63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  <c r="L1" s="4" t="s">
        <v>141</v>
      </c>
      <c r="M1" s="4" t="s">
        <v>142</v>
      </c>
      <c r="N1" s="4" t="s">
        <v>143</v>
      </c>
      <c r="O1" s="4" t="s">
        <v>144</v>
      </c>
      <c r="P1" s="4" t="s">
        <v>145</v>
      </c>
      <c r="Q1" s="4" t="s">
        <v>146</v>
      </c>
      <c r="R1" s="4" t="s">
        <v>147</v>
      </c>
      <c r="S1" s="4" t="s">
        <v>148</v>
      </c>
      <c r="T1" s="4" t="s">
        <v>149</v>
      </c>
      <c r="U1" s="4" t="s">
        <v>150</v>
      </c>
      <c r="V1" s="4" t="s">
        <v>151</v>
      </c>
      <c r="W1" s="4" t="s">
        <v>76</v>
      </c>
      <c r="X1" s="4" t="s">
        <v>152</v>
      </c>
    </row>
    <row r="2" customFormat="false" ht="15" hidden="false" customHeight="false" outlineLevel="0" collapsed="false">
      <c r="A2" s="2" t="n">
        <v>352923342</v>
      </c>
      <c r="B2" s="29" t="n">
        <v>46204.4207638889</v>
      </c>
      <c r="C2" s="2" t="s">
        <v>153</v>
      </c>
      <c r="D2" s="2" t="s">
        <v>154</v>
      </c>
      <c r="E2" s="2" t="s">
        <v>91</v>
      </c>
      <c r="F2" s="2" t="s">
        <v>106</v>
      </c>
      <c r="G2" s="30" t="n">
        <v>33</v>
      </c>
      <c r="H2" s="11" t="n">
        <v>389.99</v>
      </c>
      <c r="I2" s="11" t="s">
        <v>155</v>
      </c>
      <c r="J2" s="11" t="n">
        <v>109.05</v>
      </c>
      <c r="K2" s="11" t="n">
        <v>114.95</v>
      </c>
      <c r="L2" s="11" t="n">
        <v>0.39</v>
      </c>
      <c r="M2" s="11" t="n">
        <v>0.78</v>
      </c>
      <c r="N2" s="11" t="n">
        <v>1</v>
      </c>
      <c r="O2" s="11" t="n">
        <v>4.5</v>
      </c>
      <c r="P2" s="11" t="n">
        <v>1.98</v>
      </c>
      <c r="Q2" s="11" t="n">
        <v>14.85</v>
      </c>
      <c r="R2" s="11" t="n">
        <f aca="false">SUM(K2:Q2)</f>
        <v>138.45</v>
      </c>
      <c r="S2" s="11" t="n">
        <f aca="false">R2/(1-Resumo!$C$6)</f>
        <v>157.329545454545</v>
      </c>
      <c r="T2" s="11" t="n">
        <f aca="false">S2-J2</f>
        <v>48.2795454545455</v>
      </c>
      <c r="U2" s="12" t="n">
        <f aca="false">IFERROR(S2/J2-1,0)</f>
        <v>0.442728523196199</v>
      </c>
      <c r="V2" s="2" t="str">
        <f aca="false">IF(S2&lt;J2,"SIM","NÃO")</f>
        <v>NÃO</v>
      </c>
      <c r="W2" s="2" t="n">
        <v>10</v>
      </c>
      <c r="X2" s="2" t="s">
        <v>156</v>
      </c>
    </row>
    <row r="3" customFormat="false" ht="15" hidden="false" customHeight="false" outlineLevel="0" collapsed="false">
      <c r="A3" s="2" t="n">
        <v>352954180</v>
      </c>
      <c r="B3" s="29" t="n">
        <v>46204.4749768519</v>
      </c>
      <c r="C3" s="2" t="s">
        <v>153</v>
      </c>
      <c r="D3" s="2" t="s">
        <v>157</v>
      </c>
      <c r="E3" s="2" t="s">
        <v>78</v>
      </c>
      <c r="F3" s="2" t="s">
        <v>108</v>
      </c>
      <c r="G3" s="30" t="n">
        <v>49.6</v>
      </c>
      <c r="H3" s="11" t="n">
        <v>799.99</v>
      </c>
      <c r="I3" s="11" t="s">
        <v>155</v>
      </c>
      <c r="J3" s="11" t="n">
        <v>104.42</v>
      </c>
      <c r="K3" s="11" t="n">
        <v>93.97</v>
      </c>
      <c r="L3" s="11" t="n">
        <v>0.8</v>
      </c>
      <c r="M3" s="11" t="n">
        <v>1.6</v>
      </c>
      <c r="N3" s="11" t="n">
        <v>1</v>
      </c>
      <c r="O3" s="11" t="n">
        <v>4.5</v>
      </c>
      <c r="P3" s="11" t="n">
        <v>3</v>
      </c>
      <c r="Q3" s="11" t="n">
        <v>22.5</v>
      </c>
      <c r="R3" s="11" t="n">
        <f aca="false">SUM(K3:Q3)</f>
        <v>127.37</v>
      </c>
      <c r="S3" s="11" t="n">
        <f aca="false">R3/(1-Resumo!$C$6)</f>
        <v>144.738636363636</v>
      </c>
      <c r="T3" s="11" t="n">
        <f aca="false">S3-J3</f>
        <v>40.3186363636364</v>
      </c>
      <c r="U3" s="12" t="n">
        <f aca="false">IFERROR(S3/J3-1,0)</f>
        <v>0.386119865577824</v>
      </c>
      <c r="V3" s="2" t="str">
        <f aca="false">IF(S3&lt;J3,"SIM","NÃO")</f>
        <v>NÃO</v>
      </c>
      <c r="W3" s="2" t="n">
        <v>5</v>
      </c>
      <c r="X3" s="2" t="s">
        <v>156</v>
      </c>
    </row>
    <row r="4" customFormat="false" ht="15" hidden="false" customHeight="false" outlineLevel="0" collapsed="false">
      <c r="A4" s="2" t="n">
        <v>353020070</v>
      </c>
      <c r="B4" s="29" t="n">
        <v>46204.5868055556</v>
      </c>
      <c r="C4" s="2" t="s">
        <v>158</v>
      </c>
      <c r="D4" s="2" t="s">
        <v>159</v>
      </c>
      <c r="E4" s="2" t="s">
        <v>160</v>
      </c>
      <c r="F4" s="2" t="s">
        <v>109</v>
      </c>
      <c r="G4" s="30" t="n">
        <v>58.5</v>
      </c>
      <c r="H4" s="11" t="n">
        <v>843.2</v>
      </c>
      <c r="I4" s="11" t="s">
        <v>155</v>
      </c>
      <c r="J4" s="11" t="n">
        <v>129.33</v>
      </c>
      <c r="K4" s="11" t="n">
        <v>112.3</v>
      </c>
      <c r="L4" s="11" t="n">
        <v>0.8432</v>
      </c>
      <c r="M4" s="11" t="n">
        <v>1.6864</v>
      </c>
      <c r="N4" s="11" t="n">
        <v>1</v>
      </c>
      <c r="O4" s="11" t="n">
        <v>4.5</v>
      </c>
      <c r="P4" s="11" t="n">
        <v>3.54</v>
      </c>
      <c r="Q4" s="11" t="n">
        <v>26.55</v>
      </c>
      <c r="R4" s="11" t="n">
        <f aca="false">SUM(K4:Q4)</f>
        <v>150.4196</v>
      </c>
      <c r="S4" s="11" t="n">
        <f aca="false">R4/(1-Resumo!$C$6)</f>
        <v>170.931363636364</v>
      </c>
      <c r="T4" s="11" t="n">
        <f aca="false">S4-J4</f>
        <v>41.6013636363636</v>
      </c>
      <c r="U4" s="12" t="n">
        <f aca="false">IFERROR(S4/J4-1,0)</f>
        <v>0.321668318536794</v>
      </c>
      <c r="V4" s="2" t="str">
        <f aca="false">IF(S4&lt;J4,"SIM","NÃO")</f>
        <v>NÃO</v>
      </c>
      <c r="W4" s="2" t="n">
        <v>5</v>
      </c>
      <c r="X4" s="2" t="s">
        <v>161</v>
      </c>
    </row>
    <row r="5" customFormat="false" ht="15" hidden="false" customHeight="false" outlineLevel="0" collapsed="false">
      <c r="A5" s="2" t="n">
        <v>353076911</v>
      </c>
      <c r="B5" s="29" t="n">
        <v>46204.690162037</v>
      </c>
      <c r="C5" s="2" t="s">
        <v>158</v>
      </c>
      <c r="D5" s="2" t="s">
        <v>162</v>
      </c>
      <c r="E5" s="2" t="s">
        <v>78</v>
      </c>
      <c r="F5" s="2" t="s">
        <v>107</v>
      </c>
      <c r="G5" s="30" t="n">
        <v>35.4</v>
      </c>
      <c r="H5" s="11" t="n">
        <v>543.69</v>
      </c>
      <c r="I5" s="11" t="s">
        <v>155</v>
      </c>
      <c r="J5" s="11" t="n">
        <v>92.47</v>
      </c>
      <c r="K5" s="11" t="n">
        <v>93.97</v>
      </c>
      <c r="L5" s="11" t="n">
        <v>0.5437</v>
      </c>
      <c r="M5" s="11" t="n">
        <v>1.0874</v>
      </c>
      <c r="N5" s="11" t="n">
        <v>1</v>
      </c>
      <c r="O5" s="11" t="n">
        <v>4.5</v>
      </c>
      <c r="P5" s="11" t="n">
        <v>2.16</v>
      </c>
      <c r="Q5" s="11" t="n">
        <v>16.2</v>
      </c>
      <c r="R5" s="11" t="n">
        <f aca="false">SUM(K5:Q5)</f>
        <v>119.4611</v>
      </c>
      <c r="S5" s="11" t="n">
        <f aca="false">R5/(1-Resumo!$C$6)</f>
        <v>135.75125</v>
      </c>
      <c r="T5" s="11" t="n">
        <f aca="false">S5-J5</f>
        <v>43.28125</v>
      </c>
      <c r="U5" s="12" t="n">
        <f aca="false">IFERROR(S5/J5-1,0)</f>
        <v>0.468057207743052</v>
      </c>
      <c r="V5" s="2" t="str">
        <f aca="false">IF(S5&lt;J5,"SIM","NÃO")</f>
        <v>NÃO</v>
      </c>
      <c r="W5" s="2" t="n">
        <v>5</v>
      </c>
      <c r="X5" s="2" t="s">
        <v>156</v>
      </c>
    </row>
    <row r="6" customFormat="false" ht="15" hidden="false" customHeight="false" outlineLevel="0" collapsed="false">
      <c r="A6" s="2" t="n">
        <v>353103464</v>
      </c>
      <c r="B6" s="29" t="n">
        <v>46204.7498032407</v>
      </c>
      <c r="C6" s="2" t="s">
        <v>153</v>
      </c>
      <c r="D6" s="2" t="s">
        <v>163</v>
      </c>
      <c r="E6" s="2" t="s">
        <v>164</v>
      </c>
      <c r="F6" s="2" t="s">
        <v>106</v>
      </c>
      <c r="G6" s="30" t="n">
        <v>27</v>
      </c>
      <c r="H6" s="11" t="n">
        <v>329.99</v>
      </c>
      <c r="I6" s="11" t="s">
        <v>155</v>
      </c>
      <c r="J6" s="11" t="n">
        <v>100.97</v>
      </c>
      <c r="K6" s="11" t="n">
        <v>82.21</v>
      </c>
      <c r="L6" s="11" t="n">
        <v>0.33</v>
      </c>
      <c r="M6" s="11" t="n">
        <v>0.66</v>
      </c>
      <c r="N6" s="11" t="n">
        <v>1</v>
      </c>
      <c r="O6" s="11" t="n">
        <v>4.5</v>
      </c>
      <c r="P6" s="11" t="n">
        <v>1.62</v>
      </c>
      <c r="Q6" s="11" t="n">
        <v>12.15</v>
      </c>
      <c r="R6" s="11" t="n">
        <f aca="false">SUM(K6:Q6)</f>
        <v>102.47</v>
      </c>
      <c r="S6" s="11" t="n">
        <f aca="false">R6/(1-Resumo!$C$6)</f>
        <v>116.443181818182</v>
      </c>
      <c r="T6" s="11" t="n">
        <f aca="false">S6-J6</f>
        <v>15.4731818181818</v>
      </c>
      <c r="U6" s="12" t="n">
        <f aca="false">IFERROR(S6/J6-1,0)</f>
        <v>0.153245338399344</v>
      </c>
      <c r="V6" s="2" t="str">
        <f aca="false">IF(S6&lt;J6,"SIM","NÃO")</f>
        <v>NÃO</v>
      </c>
      <c r="W6" s="2" t="n">
        <v>5</v>
      </c>
      <c r="X6" s="2" t="s">
        <v>161</v>
      </c>
    </row>
    <row r="7" customFormat="false" ht="15" hidden="false" customHeight="false" outlineLevel="0" collapsed="false">
      <c r="A7" s="2" t="n">
        <v>353135681</v>
      </c>
      <c r="B7" s="29" t="n">
        <v>46204.8063773148</v>
      </c>
      <c r="C7" s="2" t="s">
        <v>153</v>
      </c>
      <c r="D7" s="2" t="s">
        <v>165</v>
      </c>
      <c r="E7" s="2" t="s">
        <v>78</v>
      </c>
      <c r="F7" s="2" t="s">
        <v>109</v>
      </c>
      <c r="G7" s="30" t="n">
        <v>55</v>
      </c>
      <c r="H7" s="11" t="n">
        <v>739.98</v>
      </c>
      <c r="I7" s="11" t="s">
        <v>155</v>
      </c>
      <c r="J7" s="11" t="n">
        <v>114.69</v>
      </c>
      <c r="K7" s="11" t="n">
        <v>112.3</v>
      </c>
      <c r="L7" s="11" t="n">
        <v>0.74</v>
      </c>
      <c r="M7" s="11" t="n">
        <v>1.48</v>
      </c>
      <c r="N7" s="11" t="n">
        <v>1</v>
      </c>
      <c r="O7" s="11" t="n">
        <v>4.5</v>
      </c>
      <c r="P7" s="11" t="n">
        <v>3.3</v>
      </c>
      <c r="Q7" s="11" t="n">
        <v>24.75</v>
      </c>
      <c r="R7" s="11" t="n">
        <f aca="false">SUM(K7:Q7)</f>
        <v>148.07</v>
      </c>
      <c r="S7" s="11" t="n">
        <f aca="false">R7/(1-Resumo!$C$6)</f>
        <v>168.261363636364</v>
      </c>
      <c r="T7" s="11" t="n">
        <f aca="false">S7-J7</f>
        <v>53.5713636363636</v>
      </c>
      <c r="U7" s="12" t="n">
        <f aca="false">IFERROR(S7/J7-1,0)</f>
        <v>0.467097075912142</v>
      </c>
      <c r="V7" s="2" t="str">
        <f aca="false">IF(S7&lt;J7,"SIM","NÃO")</f>
        <v>NÃO</v>
      </c>
      <c r="W7" s="2" t="n">
        <v>5</v>
      </c>
      <c r="X7" s="2" t="s">
        <v>156</v>
      </c>
    </row>
    <row r="8" customFormat="false" ht="15" hidden="false" customHeight="false" outlineLevel="0" collapsed="false">
      <c r="A8" s="2" t="n">
        <v>353198915</v>
      </c>
      <c r="B8" s="29" t="n">
        <v>46204.9109722222</v>
      </c>
      <c r="C8" s="2" t="s">
        <v>153</v>
      </c>
      <c r="D8" s="2" t="s">
        <v>166</v>
      </c>
      <c r="E8" s="2" t="s">
        <v>83</v>
      </c>
      <c r="F8" s="2" t="s">
        <v>106</v>
      </c>
      <c r="G8" s="30" t="n">
        <v>35</v>
      </c>
      <c r="H8" s="11" t="n">
        <v>459.99</v>
      </c>
      <c r="I8" s="11" t="s">
        <v>155</v>
      </c>
      <c r="J8" s="11" t="n">
        <v>109.39</v>
      </c>
      <c r="K8" s="11" t="n">
        <v>138.29</v>
      </c>
      <c r="L8" s="11" t="n">
        <v>0.46</v>
      </c>
      <c r="M8" s="11" t="n">
        <v>0.92</v>
      </c>
      <c r="N8" s="11" t="n">
        <v>1</v>
      </c>
      <c r="O8" s="11" t="n">
        <v>4.5</v>
      </c>
      <c r="P8" s="11" t="n">
        <v>2.1</v>
      </c>
      <c r="Q8" s="11" t="n">
        <v>15.75</v>
      </c>
      <c r="R8" s="11" t="n">
        <f aca="false">SUM(K8:Q8)</f>
        <v>163.02</v>
      </c>
      <c r="S8" s="11" t="n">
        <f aca="false">R8/(1-Resumo!$C$6)</f>
        <v>185.25</v>
      </c>
      <c r="T8" s="11" t="n">
        <f aca="false">S8-J8</f>
        <v>75.86</v>
      </c>
      <c r="U8" s="12" t="n">
        <f aca="false">IFERROR(S8/J8-1,0)</f>
        <v>0.693482036749246</v>
      </c>
      <c r="V8" s="2" t="str">
        <f aca="false">IF(S8&lt;J8,"SIM","NÃO")</f>
        <v>NÃO</v>
      </c>
      <c r="W8" s="2" t="n">
        <v>11</v>
      </c>
      <c r="X8" s="2" t="s">
        <v>156</v>
      </c>
    </row>
    <row r="9" customFormat="false" ht="15" hidden="false" customHeight="false" outlineLevel="0" collapsed="false">
      <c r="A9" s="2" t="n">
        <v>353403729</v>
      </c>
      <c r="B9" s="29" t="n">
        <v>46205.4576736111</v>
      </c>
      <c r="C9" s="2" t="s">
        <v>153</v>
      </c>
      <c r="D9" s="2" t="s">
        <v>167</v>
      </c>
      <c r="E9" s="2" t="s">
        <v>86</v>
      </c>
      <c r="F9" s="2" t="s">
        <v>108</v>
      </c>
      <c r="G9" s="30" t="n">
        <v>46.8</v>
      </c>
      <c r="H9" s="11" t="n">
        <v>556.99</v>
      </c>
      <c r="I9" s="11" t="s">
        <v>155</v>
      </c>
      <c r="J9" s="11" t="n">
        <v>116.74</v>
      </c>
      <c r="K9" s="11" t="n">
        <v>93.97</v>
      </c>
      <c r="L9" s="11" t="n">
        <v>0.557</v>
      </c>
      <c r="M9" s="11" t="n">
        <v>1.114</v>
      </c>
      <c r="N9" s="11" t="n">
        <v>1</v>
      </c>
      <c r="O9" s="11" t="n">
        <v>4.5</v>
      </c>
      <c r="P9" s="11" t="n">
        <v>2.82</v>
      </c>
      <c r="Q9" s="11" t="n">
        <v>21.15</v>
      </c>
      <c r="R9" s="11" t="n">
        <f aca="false">SUM(K9:Q9)</f>
        <v>125.111</v>
      </c>
      <c r="S9" s="11" t="n">
        <f aca="false">R9/(1-Resumo!$C$6)</f>
        <v>142.171590909091</v>
      </c>
      <c r="T9" s="11" t="n">
        <f aca="false">S9-J9</f>
        <v>25.4315909090909</v>
      </c>
      <c r="U9" s="12" t="n">
        <f aca="false">IFERROR(S9/J9-1,0)</f>
        <v>0.217848131823633</v>
      </c>
      <c r="V9" s="2" t="str">
        <f aca="false">IF(S9&lt;J9,"SIM","NÃO")</f>
        <v>NÃO</v>
      </c>
      <c r="W9" s="2" t="n">
        <v>5</v>
      </c>
      <c r="X9" s="2" t="s">
        <v>156</v>
      </c>
    </row>
    <row r="10" customFormat="false" ht="15" hidden="false" customHeight="false" outlineLevel="0" collapsed="false">
      <c r="A10" s="2" t="n">
        <v>353405224</v>
      </c>
      <c r="B10" s="29" t="n">
        <v>46205.4605902778</v>
      </c>
      <c r="C10" s="2" t="s">
        <v>153</v>
      </c>
      <c r="D10" s="2" t="s">
        <v>168</v>
      </c>
      <c r="E10" s="2" t="s">
        <v>169</v>
      </c>
      <c r="F10" s="2" t="s">
        <v>108</v>
      </c>
      <c r="G10" s="30" t="n">
        <v>44.5</v>
      </c>
      <c r="H10" s="11" t="n">
        <v>735.99</v>
      </c>
      <c r="I10" s="11" t="s">
        <v>155</v>
      </c>
      <c r="J10" s="11" t="n">
        <v>131.68</v>
      </c>
      <c r="K10" s="11" t="n">
        <v>117.23</v>
      </c>
      <c r="L10" s="11" t="n">
        <v>0.736</v>
      </c>
      <c r="M10" s="11" t="n">
        <v>1.472</v>
      </c>
      <c r="N10" s="11" t="n">
        <v>1</v>
      </c>
      <c r="O10" s="11" t="n">
        <v>4.5</v>
      </c>
      <c r="P10" s="11" t="n">
        <v>2.7</v>
      </c>
      <c r="Q10" s="11" t="n">
        <v>20.25</v>
      </c>
      <c r="R10" s="11" t="n">
        <f aca="false">SUM(K10:Q10)</f>
        <v>147.888</v>
      </c>
      <c r="S10" s="11" t="n">
        <f aca="false">R10/(1-Resumo!$C$6)</f>
        <v>168.054545454545</v>
      </c>
      <c r="T10" s="11" t="n">
        <f aca="false">S10-J10</f>
        <v>36.3745454545455</v>
      </c>
      <c r="U10" s="12" t="n">
        <f aca="false">IFERROR(S10/J10-1,0)</f>
        <v>0.276234397437314</v>
      </c>
      <c r="V10" s="2" t="str">
        <f aca="false">IF(S10&lt;J10,"SIM","NÃO")</f>
        <v>NÃO</v>
      </c>
      <c r="W10" s="2" t="n">
        <v>6</v>
      </c>
      <c r="X10" s="2" t="s">
        <v>161</v>
      </c>
    </row>
    <row r="11" customFormat="false" ht="15" hidden="false" customHeight="false" outlineLevel="0" collapsed="false">
      <c r="A11" s="2" t="n">
        <v>353490842</v>
      </c>
      <c r="B11" s="29" t="n">
        <v>46205.6204976852</v>
      </c>
      <c r="C11" s="2" t="s">
        <v>153</v>
      </c>
      <c r="D11" s="2" t="s">
        <v>170</v>
      </c>
      <c r="E11" s="2" t="s">
        <v>78</v>
      </c>
      <c r="F11" s="2" t="s">
        <v>106</v>
      </c>
      <c r="G11" s="30" t="n">
        <v>29</v>
      </c>
      <c r="H11" s="11" t="n">
        <v>339.99</v>
      </c>
      <c r="I11" s="11" t="s">
        <v>155</v>
      </c>
      <c r="J11" s="11" t="n">
        <v>81.95</v>
      </c>
      <c r="K11" s="11" t="n">
        <v>82.21</v>
      </c>
      <c r="L11" s="11" t="n">
        <v>0.34</v>
      </c>
      <c r="M11" s="11" t="n">
        <v>0.68</v>
      </c>
      <c r="N11" s="11" t="n">
        <v>1</v>
      </c>
      <c r="O11" s="11" t="n">
        <v>4.5</v>
      </c>
      <c r="P11" s="11" t="n">
        <v>1.74</v>
      </c>
      <c r="Q11" s="11" t="n">
        <v>13.05</v>
      </c>
      <c r="R11" s="11" t="n">
        <f aca="false">SUM(K11:Q11)</f>
        <v>103.52</v>
      </c>
      <c r="S11" s="11" t="n">
        <f aca="false">R11/(1-Resumo!$C$6)</f>
        <v>117.636363636364</v>
      </c>
      <c r="T11" s="11" t="n">
        <f aca="false">S11-J11</f>
        <v>35.6863636363636</v>
      </c>
      <c r="U11" s="12" t="n">
        <f aca="false">IFERROR(S11/J11-1,0)</f>
        <v>0.435465084031283</v>
      </c>
      <c r="V11" s="2" t="str">
        <f aca="false">IF(S11&lt;J11,"SIM","NÃO")</f>
        <v>NÃO</v>
      </c>
      <c r="W11" s="2" t="n">
        <v>5</v>
      </c>
      <c r="X11" s="2" t="s">
        <v>156</v>
      </c>
    </row>
    <row r="12" customFormat="false" ht="15" hidden="false" customHeight="false" outlineLevel="0" collapsed="false">
      <c r="A12" s="2" t="n">
        <v>353510997</v>
      </c>
      <c r="B12" s="29" t="n">
        <v>46205.661087963</v>
      </c>
      <c r="C12" s="2" t="s">
        <v>153</v>
      </c>
      <c r="D12" s="2" t="s">
        <v>171</v>
      </c>
      <c r="E12" s="2" t="s">
        <v>172</v>
      </c>
      <c r="F12" s="2" t="s">
        <v>108</v>
      </c>
      <c r="G12" s="30" t="n">
        <v>48.3</v>
      </c>
      <c r="H12" s="11" t="n">
        <v>459.99</v>
      </c>
      <c r="I12" s="11" t="s">
        <v>155</v>
      </c>
      <c r="J12" s="11" t="n">
        <v>130.36</v>
      </c>
      <c r="K12" s="11" t="n">
        <v>124.38</v>
      </c>
      <c r="L12" s="11" t="n">
        <v>0.46</v>
      </c>
      <c r="M12" s="11" t="n">
        <v>0.92</v>
      </c>
      <c r="N12" s="11" t="n">
        <v>1</v>
      </c>
      <c r="O12" s="11" t="n">
        <v>4.5</v>
      </c>
      <c r="P12" s="11" t="n">
        <v>2.94</v>
      </c>
      <c r="Q12" s="11" t="n">
        <v>22.05</v>
      </c>
      <c r="R12" s="11" t="n">
        <f aca="false">SUM(K12:Q12)</f>
        <v>156.25</v>
      </c>
      <c r="S12" s="11" t="n">
        <f aca="false">R12/(1-Resumo!$C$6)</f>
        <v>177.556818181818</v>
      </c>
      <c r="T12" s="11" t="n">
        <f aca="false">S12-J12</f>
        <v>47.1968181818182</v>
      </c>
      <c r="U12" s="12" t="n">
        <f aca="false">IFERROR(S12/J12-1,0)</f>
        <v>0.362049847973444</v>
      </c>
      <c r="V12" s="2" t="str">
        <f aca="false">IF(S12&lt;J12,"SIM","NÃO")</f>
        <v>NÃO</v>
      </c>
      <c r="W12" s="2" t="n">
        <v>8</v>
      </c>
      <c r="X12" s="2" t="s">
        <v>161</v>
      </c>
    </row>
    <row r="13" customFormat="false" ht="15" hidden="false" customHeight="false" outlineLevel="0" collapsed="false">
      <c r="A13" s="2" t="n">
        <v>353586941</v>
      </c>
      <c r="B13" s="29" t="n">
        <v>46205.8112847222</v>
      </c>
      <c r="C13" s="2" t="s">
        <v>153</v>
      </c>
      <c r="D13" s="2" t="s">
        <v>173</v>
      </c>
      <c r="E13" s="2" t="s">
        <v>79</v>
      </c>
      <c r="F13" s="2" t="s">
        <v>107</v>
      </c>
      <c r="G13" s="30" t="n">
        <v>40</v>
      </c>
      <c r="H13" s="11" t="n">
        <v>599.99</v>
      </c>
      <c r="I13" s="11" t="s">
        <v>155</v>
      </c>
      <c r="J13" s="11" t="n">
        <v>113.83</v>
      </c>
      <c r="K13" s="11" t="n">
        <v>114.95</v>
      </c>
      <c r="L13" s="11" t="n">
        <v>0.6</v>
      </c>
      <c r="M13" s="11" t="n">
        <v>1.2</v>
      </c>
      <c r="N13" s="11" t="n">
        <v>1</v>
      </c>
      <c r="O13" s="11" t="n">
        <v>4.5</v>
      </c>
      <c r="P13" s="11" t="n">
        <v>2.4</v>
      </c>
      <c r="Q13" s="11" t="n">
        <v>18</v>
      </c>
      <c r="R13" s="11" t="n">
        <f aca="false">SUM(K13:Q13)</f>
        <v>142.65</v>
      </c>
      <c r="S13" s="11" t="n">
        <f aca="false">R13/(1-Resumo!$C$6)</f>
        <v>162.102272727273</v>
      </c>
      <c r="T13" s="11" t="n">
        <f aca="false">S13-J13</f>
        <v>48.2722727272727</v>
      </c>
      <c r="U13" s="12" t="n">
        <f aca="false">IFERROR(S13/J13-1,0)</f>
        <v>0.424073378962248</v>
      </c>
      <c r="V13" s="2" t="str">
        <f aca="false">IF(S13&lt;J13,"SIM","NÃO")</f>
        <v>NÃO</v>
      </c>
      <c r="W13" s="2" t="n">
        <v>7</v>
      </c>
      <c r="X13" s="2" t="s">
        <v>156</v>
      </c>
    </row>
    <row r="14" customFormat="false" ht="15" hidden="false" customHeight="false" outlineLevel="0" collapsed="false">
      <c r="A14" s="2" t="n">
        <v>353747011</v>
      </c>
      <c r="B14" s="29" t="n">
        <v>46206.297962963</v>
      </c>
      <c r="C14" s="2" t="s">
        <v>153</v>
      </c>
      <c r="D14" s="2" t="s">
        <v>174</v>
      </c>
      <c r="E14" s="2" t="s">
        <v>84</v>
      </c>
      <c r="F14" s="2" t="s">
        <v>108</v>
      </c>
      <c r="G14" s="30" t="n">
        <v>45.3</v>
      </c>
      <c r="H14" s="11" t="n">
        <v>699.99</v>
      </c>
      <c r="I14" s="11" t="s">
        <v>155</v>
      </c>
      <c r="J14" s="11" t="n">
        <v>117.43</v>
      </c>
      <c r="K14" s="11" t="n">
        <v>93.97</v>
      </c>
      <c r="L14" s="11" t="n">
        <v>0.7</v>
      </c>
      <c r="M14" s="11" t="n">
        <v>1.4</v>
      </c>
      <c r="N14" s="11" t="n">
        <v>1</v>
      </c>
      <c r="O14" s="11" t="n">
        <v>4.5</v>
      </c>
      <c r="P14" s="11" t="n">
        <v>2.76</v>
      </c>
      <c r="Q14" s="11" t="n">
        <v>20.7</v>
      </c>
      <c r="R14" s="11" t="n">
        <f aca="false">SUM(K14:Q14)</f>
        <v>125.03</v>
      </c>
      <c r="S14" s="11" t="n">
        <f aca="false">R14/(1-Resumo!$C$6)</f>
        <v>142.079545454545</v>
      </c>
      <c r="T14" s="11" t="n">
        <f aca="false">S14-J14</f>
        <v>24.6495454545455</v>
      </c>
      <c r="U14" s="12" t="n">
        <f aca="false">IFERROR(S14/J14-1,0)</f>
        <v>0.209908417393728</v>
      </c>
      <c r="V14" s="2" t="str">
        <f aca="false">IF(S14&lt;J14,"SIM","NÃO")</f>
        <v>NÃO</v>
      </c>
      <c r="W14" s="2" t="n">
        <v>5</v>
      </c>
      <c r="X14" s="2" t="s">
        <v>156</v>
      </c>
    </row>
    <row r="15" customFormat="false" ht="15" hidden="false" customHeight="false" outlineLevel="0" collapsed="false">
      <c r="A15" s="2" t="n">
        <v>353787271</v>
      </c>
      <c r="B15" s="29" t="n">
        <v>46206.4154398148</v>
      </c>
      <c r="C15" s="2" t="s">
        <v>158</v>
      </c>
      <c r="D15" s="2" t="s">
        <v>175</v>
      </c>
      <c r="E15" s="2" t="s">
        <v>82</v>
      </c>
      <c r="F15" s="2" t="s">
        <v>110</v>
      </c>
      <c r="G15" s="30" t="n">
        <v>69</v>
      </c>
      <c r="H15" s="11" t="n">
        <v>640.19</v>
      </c>
      <c r="I15" s="11" t="s">
        <v>155</v>
      </c>
      <c r="J15" s="11" t="n">
        <v>139.5</v>
      </c>
      <c r="K15" s="11" t="n">
        <v>149.5</v>
      </c>
      <c r="L15" s="11" t="n">
        <v>0.6402</v>
      </c>
      <c r="M15" s="11" t="n">
        <v>1.2804</v>
      </c>
      <c r="N15" s="11" t="n">
        <v>1</v>
      </c>
      <c r="O15" s="11" t="n">
        <v>4.5</v>
      </c>
      <c r="P15" s="11" t="n">
        <v>4.14</v>
      </c>
      <c r="Q15" s="11" t="n">
        <v>31.05</v>
      </c>
      <c r="R15" s="11" t="n">
        <f aca="false">SUM(K15:Q15)</f>
        <v>192.1106</v>
      </c>
      <c r="S15" s="11" t="n">
        <f aca="false">R15/(1-Resumo!$C$6)</f>
        <v>218.3075</v>
      </c>
      <c r="T15" s="11" t="n">
        <f aca="false">S15-J15</f>
        <v>78.8075</v>
      </c>
      <c r="U15" s="12" t="n">
        <f aca="false">IFERROR(S15/J15-1,0)</f>
        <v>0.564928315412187</v>
      </c>
      <c r="V15" s="2" t="str">
        <f aca="false">IF(S15&lt;J15,"SIM","NÃO")</f>
        <v>NÃO</v>
      </c>
      <c r="W15" s="2" t="n">
        <v>7</v>
      </c>
      <c r="X15" s="2" t="s">
        <v>156</v>
      </c>
    </row>
    <row r="16" customFormat="false" ht="15" hidden="false" customHeight="false" outlineLevel="0" collapsed="false">
      <c r="A16" s="2" t="n">
        <v>353842495</v>
      </c>
      <c r="B16" s="29" t="n">
        <v>46206.5290393519</v>
      </c>
      <c r="C16" s="2" t="s">
        <v>153</v>
      </c>
      <c r="D16" s="2" t="s">
        <v>176</v>
      </c>
      <c r="E16" s="2" t="s">
        <v>169</v>
      </c>
      <c r="F16" s="2" t="s">
        <v>110</v>
      </c>
      <c r="G16" s="30" t="n">
        <v>69.45</v>
      </c>
      <c r="H16" s="11" t="n">
        <v>849.99</v>
      </c>
      <c r="I16" s="11" t="s">
        <v>155</v>
      </c>
      <c r="J16" s="11" t="n">
        <v>156.09</v>
      </c>
      <c r="K16" s="11" t="n">
        <v>136.53</v>
      </c>
      <c r="L16" s="11" t="n">
        <v>0.85</v>
      </c>
      <c r="M16" s="11" t="n">
        <v>1.7</v>
      </c>
      <c r="N16" s="11" t="n">
        <v>1</v>
      </c>
      <c r="O16" s="11" t="n">
        <v>4.5</v>
      </c>
      <c r="P16" s="11" t="n">
        <v>4.2</v>
      </c>
      <c r="Q16" s="11" t="n">
        <v>31.5</v>
      </c>
      <c r="R16" s="11" t="n">
        <f aca="false">SUM(K16:Q16)</f>
        <v>180.28</v>
      </c>
      <c r="S16" s="11" t="n">
        <f aca="false">R16/(1-Resumo!$C$6)</f>
        <v>204.863636363636</v>
      </c>
      <c r="T16" s="11" t="n">
        <f aca="false">S16-J16</f>
        <v>48.7736363636364</v>
      </c>
      <c r="U16" s="12" t="n">
        <f aca="false">IFERROR(S16/J16-1,0)</f>
        <v>0.312471243280392</v>
      </c>
      <c r="V16" s="2" t="str">
        <f aca="false">IF(S16&lt;J16,"SIM","NÃO")</f>
        <v>NÃO</v>
      </c>
      <c r="W16" s="2" t="n">
        <v>6</v>
      </c>
      <c r="X16" s="2" t="s">
        <v>161</v>
      </c>
    </row>
    <row r="17" customFormat="false" ht="15" hidden="false" customHeight="false" outlineLevel="0" collapsed="false">
      <c r="A17" s="2" t="n">
        <v>353850359</v>
      </c>
      <c r="B17" s="29" t="n">
        <v>46206.5460532407</v>
      </c>
      <c r="C17" s="2" t="s">
        <v>158</v>
      </c>
      <c r="D17" s="2" t="s">
        <v>177</v>
      </c>
      <c r="E17" s="2" t="s">
        <v>78</v>
      </c>
      <c r="F17" s="2" t="s">
        <v>107</v>
      </c>
      <c r="G17" s="30" t="n">
        <v>35.3</v>
      </c>
      <c r="H17" s="11" t="n">
        <v>529.95</v>
      </c>
      <c r="I17" s="11" t="s">
        <v>155</v>
      </c>
      <c r="J17" s="11" t="n">
        <v>92.4</v>
      </c>
      <c r="K17" s="11" t="n">
        <v>93.97</v>
      </c>
      <c r="L17" s="11" t="n">
        <v>0.53</v>
      </c>
      <c r="M17" s="11" t="n">
        <v>1.0599</v>
      </c>
      <c r="N17" s="11" t="n">
        <v>1</v>
      </c>
      <c r="O17" s="11" t="n">
        <v>4.5</v>
      </c>
      <c r="P17" s="11" t="n">
        <v>2.16</v>
      </c>
      <c r="Q17" s="11" t="n">
        <v>16.2</v>
      </c>
      <c r="R17" s="11" t="n">
        <f aca="false">SUM(K17:Q17)</f>
        <v>119.4199</v>
      </c>
      <c r="S17" s="11" t="n">
        <f aca="false">R17/(1-Resumo!$C$6)</f>
        <v>135.704431818182</v>
      </c>
      <c r="T17" s="11" t="n">
        <f aca="false">S17-J17</f>
        <v>43.3044318181818</v>
      </c>
      <c r="U17" s="12" t="n">
        <f aca="false">IFERROR(S17/J17-1,0)</f>
        <v>0.468662682014954</v>
      </c>
      <c r="V17" s="2" t="str">
        <f aca="false">IF(S17&lt;J17,"SIM","NÃO")</f>
        <v>NÃO</v>
      </c>
      <c r="W17" s="2" t="n">
        <v>5</v>
      </c>
      <c r="X17" s="2" t="s">
        <v>156</v>
      </c>
    </row>
    <row r="18" customFormat="false" ht="15" hidden="false" customHeight="false" outlineLevel="0" collapsed="false">
      <c r="A18" s="2" t="n">
        <v>353962486</v>
      </c>
      <c r="B18" s="29" t="n">
        <v>46206.8274884259</v>
      </c>
      <c r="C18" s="2" t="s">
        <v>178</v>
      </c>
      <c r="D18" s="2" t="s">
        <v>179</v>
      </c>
      <c r="E18" s="2" t="s">
        <v>78</v>
      </c>
      <c r="F18" s="2" t="s">
        <v>106</v>
      </c>
      <c r="G18" s="30" t="n">
        <v>33.3</v>
      </c>
      <c r="H18" s="11" t="n">
        <v>459.99</v>
      </c>
      <c r="I18" s="11" t="s">
        <v>155</v>
      </c>
      <c r="J18" s="11" t="n">
        <v>82.53</v>
      </c>
      <c r="K18" s="11" t="n">
        <v>82.21</v>
      </c>
      <c r="L18" s="11" t="n">
        <v>0.46</v>
      </c>
      <c r="M18" s="11" t="n">
        <v>0.92</v>
      </c>
      <c r="N18" s="11" t="n">
        <v>1</v>
      </c>
      <c r="O18" s="11" t="n">
        <v>4.5</v>
      </c>
      <c r="P18" s="11" t="n">
        <v>2.04</v>
      </c>
      <c r="Q18" s="11" t="n">
        <v>15.3</v>
      </c>
      <c r="R18" s="11" t="n">
        <f aca="false">SUM(K18:Q18)</f>
        <v>106.43</v>
      </c>
      <c r="S18" s="11" t="n">
        <f aca="false">R18/(1-Resumo!$C$6)</f>
        <v>120.943181818182</v>
      </c>
      <c r="T18" s="11" t="n">
        <f aca="false">S18-J18</f>
        <v>38.4131818181818</v>
      </c>
      <c r="U18" s="12" t="n">
        <f aca="false">IFERROR(S18/J18-1,0)</f>
        <v>0.465445072315301</v>
      </c>
      <c r="V18" s="2" t="str">
        <f aca="false">IF(S18&lt;J18,"SIM","NÃO")</f>
        <v>NÃO</v>
      </c>
      <c r="W18" s="2" t="n">
        <v>5</v>
      </c>
      <c r="X18" s="2" t="s">
        <v>156</v>
      </c>
    </row>
    <row r="19" customFormat="false" ht="15" hidden="false" customHeight="false" outlineLevel="0" collapsed="false">
      <c r="A19" s="2" t="n">
        <v>353996568</v>
      </c>
      <c r="B19" s="29" t="n">
        <v>46206.9037847222</v>
      </c>
      <c r="C19" s="2" t="s">
        <v>153</v>
      </c>
      <c r="D19" s="2" t="s">
        <v>180</v>
      </c>
      <c r="E19" s="2" t="s">
        <v>85</v>
      </c>
      <c r="F19" s="2" t="s">
        <v>114</v>
      </c>
      <c r="G19" s="30" t="n">
        <v>124.2</v>
      </c>
      <c r="H19" s="11" t="n">
        <v>1699.99</v>
      </c>
      <c r="I19" s="11" t="s">
        <v>155</v>
      </c>
      <c r="J19" s="11" t="n">
        <v>261.43</v>
      </c>
      <c r="K19" s="11" t="n">
        <v>264.84</v>
      </c>
      <c r="L19" s="11" t="n">
        <v>1.7</v>
      </c>
      <c r="M19" s="11" t="n">
        <v>3.4</v>
      </c>
      <c r="N19" s="11" t="n">
        <v>1</v>
      </c>
      <c r="O19" s="11" t="n">
        <v>9</v>
      </c>
      <c r="P19" s="11" t="n">
        <v>7.5</v>
      </c>
      <c r="Q19" s="11" t="n">
        <v>56.25</v>
      </c>
      <c r="R19" s="11" t="n">
        <f aca="false">SUM(K19:Q19)</f>
        <v>343.69</v>
      </c>
      <c r="S19" s="11" t="n">
        <f aca="false">R19/(1-Resumo!$C$6)</f>
        <v>390.556818181818</v>
      </c>
      <c r="T19" s="11" t="n">
        <f aca="false">S19-J19</f>
        <v>129.126818181818</v>
      </c>
      <c r="U19" s="12" t="n">
        <f aca="false">IFERROR(S19/J19-1,0)</f>
        <v>0.493925020777333</v>
      </c>
      <c r="V19" s="2" t="str">
        <f aca="false">IF(S19&lt;J19,"SIM","NÃO")</f>
        <v>NÃO</v>
      </c>
      <c r="W19" s="2" t="n">
        <v>11</v>
      </c>
      <c r="X19" s="2" t="s">
        <v>156</v>
      </c>
    </row>
    <row r="20" customFormat="false" ht="15" hidden="false" customHeight="false" outlineLevel="0" collapsed="false">
      <c r="A20" s="2" t="n">
        <v>354004078</v>
      </c>
      <c r="B20" s="29" t="n">
        <v>46206.9302893519</v>
      </c>
      <c r="C20" s="2" t="s">
        <v>178</v>
      </c>
      <c r="D20" s="2" t="s">
        <v>181</v>
      </c>
      <c r="E20" s="2" t="s">
        <v>78</v>
      </c>
      <c r="F20" s="2" t="s">
        <v>108</v>
      </c>
      <c r="G20" s="30" t="n">
        <v>45.3</v>
      </c>
      <c r="H20" s="11" t="n">
        <v>699.99</v>
      </c>
      <c r="I20" s="11" t="s">
        <v>155</v>
      </c>
      <c r="J20" s="11" t="n">
        <v>103.94</v>
      </c>
      <c r="K20" s="11" t="n">
        <v>93.97</v>
      </c>
      <c r="L20" s="11" t="n">
        <v>0.7</v>
      </c>
      <c r="M20" s="11" t="n">
        <v>1.4</v>
      </c>
      <c r="N20" s="11" t="n">
        <v>1</v>
      </c>
      <c r="O20" s="11" t="n">
        <v>4.5</v>
      </c>
      <c r="P20" s="11" t="n">
        <v>2.76</v>
      </c>
      <c r="Q20" s="11" t="n">
        <v>20.7</v>
      </c>
      <c r="R20" s="11" t="n">
        <f aca="false">SUM(K20:Q20)</f>
        <v>125.03</v>
      </c>
      <c r="S20" s="11" t="n">
        <f aca="false">R20/(1-Resumo!$C$6)</f>
        <v>142.079545454545</v>
      </c>
      <c r="T20" s="11" t="n">
        <f aca="false">S20-J20</f>
        <v>38.1395454545455</v>
      </c>
      <c r="U20" s="12" t="n">
        <f aca="false">IFERROR(S20/J20-1,0)</f>
        <v>0.366938093655431</v>
      </c>
      <c r="V20" s="2" t="str">
        <f aca="false">IF(S20&lt;J20,"SIM","NÃO")</f>
        <v>NÃO</v>
      </c>
      <c r="W20" s="2" t="n">
        <v>5</v>
      </c>
      <c r="X20" s="2" t="s">
        <v>156</v>
      </c>
    </row>
    <row r="21" customFormat="false" ht="15" hidden="false" customHeight="false" outlineLevel="0" collapsed="false">
      <c r="A21" s="2" t="n">
        <v>354009973</v>
      </c>
      <c r="B21" s="29" t="n">
        <v>46206.9387152778</v>
      </c>
      <c r="C21" s="2" t="s">
        <v>153</v>
      </c>
      <c r="D21" s="2" t="s">
        <v>182</v>
      </c>
      <c r="E21" s="2" t="s">
        <v>78</v>
      </c>
      <c r="F21" s="2" t="s">
        <v>106</v>
      </c>
      <c r="G21" s="30" t="n">
        <v>27.5</v>
      </c>
      <c r="H21" s="11" t="n">
        <v>332.99</v>
      </c>
      <c r="I21" s="11" t="s">
        <v>155</v>
      </c>
      <c r="J21" s="11" t="n">
        <v>81.93</v>
      </c>
      <c r="K21" s="11" t="n">
        <v>82.21</v>
      </c>
      <c r="L21" s="11" t="n">
        <v>0.333</v>
      </c>
      <c r="M21" s="11" t="n">
        <v>0.666</v>
      </c>
      <c r="N21" s="11" t="n">
        <v>1</v>
      </c>
      <c r="O21" s="11" t="n">
        <v>4.5</v>
      </c>
      <c r="P21" s="11" t="n">
        <v>1.68</v>
      </c>
      <c r="Q21" s="11" t="n">
        <v>12.6</v>
      </c>
      <c r="R21" s="11" t="n">
        <f aca="false">SUM(K21:Q21)</f>
        <v>102.989</v>
      </c>
      <c r="S21" s="11" t="n">
        <f aca="false">R21/(1-Resumo!$C$6)</f>
        <v>117.032954545455</v>
      </c>
      <c r="T21" s="11" t="n">
        <f aca="false">S21-J21</f>
        <v>35.1029545454545</v>
      </c>
      <c r="U21" s="12" t="n">
        <f aca="false">IFERROR(S21/J21-1,0)</f>
        <v>0.428450562009697</v>
      </c>
      <c r="V21" s="2" t="str">
        <f aca="false">IF(S21&lt;J21,"SIM","NÃO")</f>
        <v>NÃO</v>
      </c>
      <c r="W21" s="2" t="n">
        <v>5</v>
      </c>
      <c r="X21" s="2" t="s">
        <v>156</v>
      </c>
    </row>
    <row r="22" customFormat="false" ht="15" hidden="false" customHeight="false" outlineLevel="0" collapsed="false">
      <c r="A22" s="2" t="n">
        <v>354011389</v>
      </c>
      <c r="B22" s="29" t="n">
        <v>46206.9400694444</v>
      </c>
      <c r="C22" s="2" t="s">
        <v>183</v>
      </c>
      <c r="D22" s="2" t="s">
        <v>184</v>
      </c>
      <c r="E22" s="2" t="s">
        <v>86</v>
      </c>
      <c r="F22" s="2" t="s">
        <v>112</v>
      </c>
      <c r="G22" s="30" t="n">
        <v>93.8</v>
      </c>
      <c r="H22" s="11" t="n">
        <v>999.99</v>
      </c>
      <c r="I22" s="11" t="s">
        <v>155</v>
      </c>
      <c r="J22" s="11" t="n">
        <v>173.63</v>
      </c>
      <c r="K22" s="11" t="n">
        <v>167.99</v>
      </c>
      <c r="L22" s="11" t="n">
        <v>1</v>
      </c>
      <c r="M22" s="11" t="n">
        <v>2</v>
      </c>
      <c r="N22" s="11" t="n">
        <v>1</v>
      </c>
      <c r="O22" s="11" t="n">
        <v>4.5</v>
      </c>
      <c r="P22" s="11" t="n">
        <v>5.64</v>
      </c>
      <c r="Q22" s="11" t="n">
        <v>42.3</v>
      </c>
      <c r="R22" s="11" t="n">
        <f aca="false">SUM(K22:Q22)</f>
        <v>224.43</v>
      </c>
      <c r="S22" s="11" t="n">
        <f aca="false">R22/(1-Resumo!$C$6)</f>
        <v>255.034090909091</v>
      </c>
      <c r="T22" s="11" t="n">
        <f aca="false">S22-J22</f>
        <v>81.4040909090909</v>
      </c>
      <c r="U22" s="12" t="n">
        <f aca="false">IFERROR(S22/J22-1,0)</f>
        <v>0.468836554219265</v>
      </c>
      <c r="V22" s="2" t="str">
        <f aca="false">IF(S22&lt;J22,"SIM","NÃO")</f>
        <v>NÃO</v>
      </c>
      <c r="W22" s="2" t="n">
        <v>5</v>
      </c>
      <c r="X22" s="2" t="s">
        <v>156</v>
      </c>
    </row>
    <row r="23" customFormat="false" ht="15" hidden="false" customHeight="false" outlineLevel="0" collapsed="false">
      <c r="A23" s="2" t="n">
        <v>354023158</v>
      </c>
      <c r="B23" s="29" t="n">
        <v>46206.9758333333</v>
      </c>
      <c r="C23" s="2" t="s">
        <v>158</v>
      </c>
      <c r="D23" s="2" t="s">
        <v>185</v>
      </c>
      <c r="E23" s="2" t="s">
        <v>186</v>
      </c>
      <c r="F23" s="2" t="s">
        <v>112</v>
      </c>
      <c r="G23" s="30" t="n">
        <v>94.8</v>
      </c>
      <c r="H23" s="11" t="n">
        <v>1112.28</v>
      </c>
      <c r="I23" s="11" t="s">
        <v>155</v>
      </c>
      <c r="J23" s="11" t="n">
        <v>193.92</v>
      </c>
      <c r="K23" s="11" t="n">
        <v>167.99</v>
      </c>
      <c r="L23" s="11" t="n">
        <v>1.1123</v>
      </c>
      <c r="M23" s="11" t="n">
        <v>2.2246</v>
      </c>
      <c r="N23" s="11" t="n">
        <v>1</v>
      </c>
      <c r="O23" s="11" t="n">
        <v>4.5</v>
      </c>
      <c r="P23" s="11" t="n">
        <v>5.7</v>
      </c>
      <c r="Q23" s="11" t="n">
        <v>42.75</v>
      </c>
      <c r="R23" s="11" t="n">
        <f aca="false">SUM(K23:Q23)</f>
        <v>225.2769</v>
      </c>
      <c r="S23" s="11" t="n">
        <f aca="false">R23/(1-Resumo!$C$6)</f>
        <v>255.996477272727</v>
      </c>
      <c r="T23" s="11" t="n">
        <f aca="false">S23-J23</f>
        <v>62.0764772727273</v>
      </c>
      <c r="U23" s="12" t="n">
        <f aca="false">IFERROR(S23/J23-1,0)</f>
        <v>0.320113847322232</v>
      </c>
      <c r="V23" s="2" t="str">
        <f aca="false">IF(S23&lt;J23,"SIM","NÃO")</f>
        <v>NÃO</v>
      </c>
      <c r="W23" s="2" t="n">
        <v>5</v>
      </c>
      <c r="X23" s="2" t="s">
        <v>161</v>
      </c>
    </row>
    <row r="24" customFormat="false" ht="15" hidden="false" customHeight="false" outlineLevel="0" collapsed="false">
      <c r="A24" s="2" t="n">
        <v>354081082</v>
      </c>
      <c r="B24" s="29" t="n">
        <v>46207.2326157407</v>
      </c>
      <c r="C24" s="2" t="s">
        <v>158</v>
      </c>
      <c r="D24" s="2" t="s">
        <v>187</v>
      </c>
      <c r="E24" s="2" t="s">
        <v>188</v>
      </c>
      <c r="F24" s="2" t="s">
        <v>114</v>
      </c>
      <c r="G24" s="30" t="n">
        <v>124.2</v>
      </c>
      <c r="H24" s="11" t="n">
        <v>1716.89</v>
      </c>
      <c r="I24" s="11" t="s">
        <v>155</v>
      </c>
      <c r="J24" s="11" t="n">
        <v>261.51</v>
      </c>
      <c r="K24" s="11" t="n">
        <v>264.84</v>
      </c>
      <c r="L24" s="11" t="n">
        <v>1.7169</v>
      </c>
      <c r="M24" s="11" t="n">
        <v>3.4338</v>
      </c>
      <c r="N24" s="11" t="n">
        <v>1</v>
      </c>
      <c r="O24" s="11" t="n">
        <v>9</v>
      </c>
      <c r="P24" s="11" t="n">
        <v>7.5</v>
      </c>
      <c r="Q24" s="11" t="n">
        <v>56.25</v>
      </c>
      <c r="R24" s="11" t="n">
        <f aca="false">SUM(K24:Q24)</f>
        <v>343.7407</v>
      </c>
      <c r="S24" s="11" t="n">
        <f aca="false">R24/(1-Resumo!$C$6)</f>
        <v>390.614431818182</v>
      </c>
      <c r="T24" s="11" t="n">
        <f aca="false">S24-J24</f>
        <v>129.104431818182</v>
      </c>
      <c r="U24" s="12" t="n">
        <f aca="false">IFERROR(S24/J24-1,0)</f>
        <v>0.493688317151091</v>
      </c>
      <c r="V24" s="2" t="str">
        <f aca="false">IF(S24&lt;J24,"SIM","NÃO")</f>
        <v>NÃO</v>
      </c>
      <c r="W24" s="2" t="n">
        <v>10</v>
      </c>
      <c r="X24" s="2" t="s">
        <v>161</v>
      </c>
    </row>
    <row r="25" customFormat="false" ht="15" hidden="false" customHeight="false" outlineLevel="0" collapsed="false">
      <c r="A25" s="2" t="n">
        <v>354110656</v>
      </c>
      <c r="B25" s="29" t="n">
        <v>46207.3634606482</v>
      </c>
      <c r="C25" s="2" t="s">
        <v>153</v>
      </c>
      <c r="D25" s="2" t="s">
        <v>189</v>
      </c>
      <c r="E25" s="2" t="s">
        <v>78</v>
      </c>
      <c r="F25" s="2" t="s">
        <v>107</v>
      </c>
      <c r="G25" s="30" t="n">
        <v>38.6</v>
      </c>
      <c r="H25" s="11" t="n">
        <v>599.99</v>
      </c>
      <c r="I25" s="11" t="s">
        <v>155</v>
      </c>
      <c r="J25" s="11" t="n">
        <v>92.73</v>
      </c>
      <c r="K25" s="11" t="n">
        <v>93.97</v>
      </c>
      <c r="L25" s="11" t="n">
        <v>0.6</v>
      </c>
      <c r="M25" s="11" t="n">
        <v>1.2</v>
      </c>
      <c r="N25" s="11" t="n">
        <v>1</v>
      </c>
      <c r="O25" s="11" t="n">
        <v>4.5</v>
      </c>
      <c r="P25" s="11" t="n">
        <v>2.34</v>
      </c>
      <c r="Q25" s="11" t="n">
        <v>17.55</v>
      </c>
      <c r="R25" s="11" t="n">
        <f aca="false">SUM(K25:Q25)</f>
        <v>121.16</v>
      </c>
      <c r="S25" s="11" t="n">
        <f aca="false">R25/(1-Resumo!$C$6)</f>
        <v>137.681818181818</v>
      </c>
      <c r="T25" s="11" t="n">
        <f aca="false">S25-J25</f>
        <v>44.9518181818182</v>
      </c>
      <c r="U25" s="12" t="n">
        <f aca="false">IFERROR(S25/J25-1,0)</f>
        <v>0.484760252149447</v>
      </c>
      <c r="V25" s="2" t="str">
        <f aca="false">IF(S25&lt;J25,"SIM","NÃO")</f>
        <v>NÃO</v>
      </c>
      <c r="W25" s="2" t="n">
        <v>5</v>
      </c>
      <c r="X25" s="2" t="s">
        <v>156</v>
      </c>
    </row>
    <row r="26" customFormat="false" ht="15" hidden="false" customHeight="false" outlineLevel="0" collapsed="false">
      <c r="A26" s="2" t="n">
        <v>354114485</v>
      </c>
      <c r="B26" s="29" t="n">
        <v>46207.376099537</v>
      </c>
      <c r="C26" s="2" t="s">
        <v>153</v>
      </c>
      <c r="D26" s="2" t="s">
        <v>190</v>
      </c>
      <c r="E26" s="2" t="s">
        <v>78</v>
      </c>
      <c r="F26" s="2" t="s">
        <v>110</v>
      </c>
      <c r="G26" s="30" t="n">
        <v>63.9</v>
      </c>
      <c r="H26" s="11" t="n">
        <v>799.99</v>
      </c>
      <c r="I26" s="11" t="s">
        <v>155</v>
      </c>
      <c r="J26" s="11" t="n">
        <v>125.05</v>
      </c>
      <c r="K26" s="11" t="n">
        <v>131.02</v>
      </c>
      <c r="L26" s="11" t="n">
        <v>0.8</v>
      </c>
      <c r="M26" s="11" t="n">
        <v>1.6</v>
      </c>
      <c r="N26" s="11" t="n">
        <v>1</v>
      </c>
      <c r="O26" s="11" t="n">
        <v>4.5</v>
      </c>
      <c r="P26" s="11" t="n">
        <v>3.84</v>
      </c>
      <c r="Q26" s="11" t="n">
        <v>28.8</v>
      </c>
      <c r="R26" s="11" t="n">
        <f aca="false">SUM(K26:Q26)</f>
        <v>171.56</v>
      </c>
      <c r="S26" s="11" t="n">
        <f aca="false">R26/(1-Resumo!$C$6)</f>
        <v>194.954545454546</v>
      </c>
      <c r="T26" s="11" t="n">
        <f aca="false">S26-J26</f>
        <v>69.9045454545455</v>
      </c>
      <c r="U26" s="12" t="n">
        <f aca="false">IFERROR(S26/J26-1,0)</f>
        <v>0.559012758532951</v>
      </c>
      <c r="V26" s="2" t="str">
        <f aca="false">IF(S26&lt;J26,"SIM","NÃO")</f>
        <v>NÃO</v>
      </c>
      <c r="W26" s="2" t="n">
        <v>5</v>
      </c>
      <c r="X26" s="2" t="s">
        <v>156</v>
      </c>
    </row>
    <row r="27" customFormat="false" ht="15" hidden="false" customHeight="false" outlineLevel="0" collapsed="false">
      <c r="A27" s="2" t="n">
        <v>354120832</v>
      </c>
      <c r="B27" s="29" t="n">
        <v>46207.3978356482</v>
      </c>
      <c r="C27" s="2" t="s">
        <v>191</v>
      </c>
      <c r="D27" s="2" t="s">
        <v>192</v>
      </c>
      <c r="E27" s="2" t="s">
        <v>186</v>
      </c>
      <c r="F27" s="2" t="s">
        <v>112</v>
      </c>
      <c r="G27" s="30" t="n">
        <v>87.7</v>
      </c>
      <c r="H27" s="11" t="n">
        <v>1003.18</v>
      </c>
      <c r="I27" s="11" t="s">
        <v>155</v>
      </c>
      <c r="J27" s="11" t="n">
        <v>193.41</v>
      </c>
      <c r="K27" s="11" t="n">
        <v>167.99</v>
      </c>
      <c r="L27" s="11" t="n">
        <v>1.0032</v>
      </c>
      <c r="M27" s="11" t="n">
        <v>2.0064</v>
      </c>
      <c r="N27" s="11" t="n">
        <v>1</v>
      </c>
      <c r="O27" s="11" t="n">
        <v>4.5</v>
      </c>
      <c r="P27" s="11" t="n">
        <v>5.28</v>
      </c>
      <c r="Q27" s="11" t="n">
        <v>39.6</v>
      </c>
      <c r="R27" s="11" t="n">
        <f aca="false">SUM(K27:Q27)</f>
        <v>221.3796</v>
      </c>
      <c r="S27" s="11" t="n">
        <f aca="false">R27/(1-Resumo!$C$6)</f>
        <v>251.567727272727</v>
      </c>
      <c r="T27" s="11" t="n">
        <f aca="false">S27-J27</f>
        <v>58.1577272727273</v>
      </c>
      <c r="U27" s="12" t="n">
        <f aca="false">IFERROR(S27/J27-1,0)</f>
        <v>0.300696588970205</v>
      </c>
      <c r="V27" s="2" t="str">
        <f aca="false">IF(S27&lt;J27,"SIM","NÃO")</f>
        <v>NÃO</v>
      </c>
      <c r="W27" s="2" t="n">
        <v>5</v>
      </c>
      <c r="X27" s="2" t="s">
        <v>161</v>
      </c>
    </row>
    <row r="28" customFormat="false" ht="15" hidden="false" customHeight="false" outlineLevel="0" collapsed="false">
      <c r="A28" s="2" t="n">
        <v>354123089</v>
      </c>
      <c r="B28" s="29" t="n">
        <v>46207.4017824074</v>
      </c>
      <c r="C28" s="2" t="s">
        <v>153</v>
      </c>
      <c r="D28" s="2" t="s">
        <v>193</v>
      </c>
      <c r="E28" s="2" t="s">
        <v>78</v>
      </c>
      <c r="F28" s="2" t="s">
        <v>110</v>
      </c>
      <c r="G28" s="30" t="n">
        <v>63.9</v>
      </c>
      <c r="H28" s="11" t="n">
        <v>799.99</v>
      </c>
      <c r="I28" s="11" t="s">
        <v>155</v>
      </c>
      <c r="J28" s="11" t="n">
        <v>125.05</v>
      </c>
      <c r="K28" s="11" t="n">
        <v>131.02</v>
      </c>
      <c r="L28" s="11" t="n">
        <v>0.8</v>
      </c>
      <c r="M28" s="11" t="n">
        <v>1.6</v>
      </c>
      <c r="N28" s="11" t="n">
        <v>1</v>
      </c>
      <c r="O28" s="11" t="n">
        <v>4.5</v>
      </c>
      <c r="P28" s="11" t="n">
        <v>3.84</v>
      </c>
      <c r="Q28" s="11" t="n">
        <v>28.8</v>
      </c>
      <c r="R28" s="11" t="n">
        <f aca="false">SUM(K28:Q28)</f>
        <v>171.56</v>
      </c>
      <c r="S28" s="11" t="n">
        <f aca="false">R28/(1-Resumo!$C$6)</f>
        <v>194.954545454546</v>
      </c>
      <c r="T28" s="11" t="n">
        <f aca="false">S28-J28</f>
        <v>69.9045454545455</v>
      </c>
      <c r="U28" s="12" t="n">
        <f aca="false">IFERROR(S28/J28-1,0)</f>
        <v>0.559012758532951</v>
      </c>
      <c r="V28" s="2" t="str">
        <f aca="false">IF(S28&lt;J28,"SIM","NÃO")</f>
        <v>NÃO</v>
      </c>
      <c r="W28" s="2" t="n">
        <v>5</v>
      </c>
      <c r="X28" s="2" t="s">
        <v>156</v>
      </c>
    </row>
    <row r="29" customFormat="false" ht="15" hidden="false" customHeight="false" outlineLevel="0" collapsed="false">
      <c r="A29" s="2" t="n">
        <v>354122836</v>
      </c>
      <c r="B29" s="29" t="n">
        <v>46207.4090856482</v>
      </c>
      <c r="C29" s="2" t="s">
        <v>194</v>
      </c>
      <c r="D29" s="2" t="s">
        <v>157</v>
      </c>
      <c r="E29" s="2" t="s">
        <v>78</v>
      </c>
      <c r="F29" s="2" t="s">
        <v>110</v>
      </c>
      <c r="G29" s="30" t="n">
        <v>65.1</v>
      </c>
      <c r="H29" s="11" t="n">
        <v>879.99</v>
      </c>
      <c r="I29" s="11" t="s">
        <v>155</v>
      </c>
      <c r="J29" s="11" t="n">
        <v>125.42</v>
      </c>
      <c r="K29" s="11" t="n">
        <v>131.02</v>
      </c>
      <c r="L29" s="11" t="n">
        <v>0.88</v>
      </c>
      <c r="M29" s="11" t="n">
        <v>1.76</v>
      </c>
      <c r="N29" s="11" t="n">
        <v>1</v>
      </c>
      <c r="O29" s="11" t="n">
        <v>4.5</v>
      </c>
      <c r="P29" s="11" t="n">
        <v>3.96</v>
      </c>
      <c r="Q29" s="11" t="n">
        <v>29.7</v>
      </c>
      <c r="R29" s="11" t="n">
        <f aca="false">SUM(K29:Q29)</f>
        <v>172.82</v>
      </c>
      <c r="S29" s="11" t="n">
        <f aca="false">R29/(1-Resumo!$C$6)</f>
        <v>196.386363636364</v>
      </c>
      <c r="T29" s="11" t="n">
        <f aca="false">S29-J29</f>
        <v>70.9663636363636</v>
      </c>
      <c r="U29" s="12" t="n">
        <f aca="false">IFERROR(S29/J29-1,0)</f>
        <v>0.565829721227584</v>
      </c>
      <c r="V29" s="2" t="str">
        <f aca="false">IF(S29&lt;J29,"SIM","NÃO")</f>
        <v>NÃO</v>
      </c>
      <c r="W29" s="2" t="n">
        <v>5</v>
      </c>
      <c r="X29" s="2" t="s">
        <v>156</v>
      </c>
    </row>
    <row r="30" customFormat="false" ht="15" hidden="false" customHeight="false" outlineLevel="0" collapsed="false">
      <c r="A30" s="2" t="n">
        <v>354143988</v>
      </c>
      <c r="B30" s="29" t="n">
        <v>46207.4546064815</v>
      </c>
      <c r="C30" s="2" t="s">
        <v>153</v>
      </c>
      <c r="D30" s="2" t="s">
        <v>195</v>
      </c>
      <c r="E30" s="2" t="s">
        <v>81</v>
      </c>
      <c r="F30" s="2" t="s">
        <v>107</v>
      </c>
      <c r="G30" s="30" t="n">
        <v>37.6</v>
      </c>
      <c r="H30" s="11" t="n">
        <v>413.99</v>
      </c>
      <c r="I30" s="11" t="s">
        <v>155</v>
      </c>
      <c r="J30" s="11" t="n">
        <v>112.94</v>
      </c>
      <c r="K30" s="11" t="n">
        <v>93.97</v>
      </c>
      <c r="L30" s="11" t="n">
        <v>0.414</v>
      </c>
      <c r="M30" s="11" t="n">
        <v>0.828</v>
      </c>
      <c r="N30" s="11" t="n">
        <v>1</v>
      </c>
      <c r="O30" s="11" t="n">
        <v>4.5</v>
      </c>
      <c r="P30" s="11" t="n">
        <v>2.28</v>
      </c>
      <c r="Q30" s="11" t="n">
        <v>17.1</v>
      </c>
      <c r="R30" s="11" t="n">
        <f aca="false">SUM(K30:Q30)</f>
        <v>120.092</v>
      </c>
      <c r="S30" s="11" t="n">
        <f aca="false">R30/(1-Resumo!$C$6)</f>
        <v>136.468181818182</v>
      </c>
      <c r="T30" s="11" t="n">
        <f aca="false">S30-J30</f>
        <v>23.5281818181818</v>
      </c>
      <c r="U30" s="12" t="n">
        <f aca="false">IFERROR(S30/J30-1,0)</f>
        <v>0.208324613229873</v>
      </c>
      <c r="V30" s="2" t="str">
        <f aca="false">IF(S30&lt;J30,"SIM","NÃO")</f>
        <v>NÃO</v>
      </c>
      <c r="W30" s="2" t="n">
        <v>5</v>
      </c>
      <c r="X30" s="2" t="s">
        <v>156</v>
      </c>
    </row>
    <row r="31" customFormat="false" ht="15" hidden="false" customHeight="false" outlineLevel="0" collapsed="false">
      <c r="A31" s="2" t="n">
        <v>354155653</v>
      </c>
      <c r="B31" s="29" t="n">
        <v>46207.4801851852</v>
      </c>
      <c r="C31" s="2" t="s">
        <v>153</v>
      </c>
      <c r="D31" s="2" t="s">
        <v>196</v>
      </c>
      <c r="E31" s="2" t="s">
        <v>79</v>
      </c>
      <c r="F31" s="2" t="s">
        <v>114</v>
      </c>
      <c r="G31" s="30" t="n">
        <v>127.8</v>
      </c>
      <c r="H31" s="11" t="n">
        <v>1387.09</v>
      </c>
      <c r="I31" s="11" t="s">
        <v>155</v>
      </c>
      <c r="J31" s="11" t="n">
        <v>243.24</v>
      </c>
      <c r="K31" s="11" t="n">
        <v>249.03</v>
      </c>
      <c r="L31" s="11" t="n">
        <v>1.3871</v>
      </c>
      <c r="M31" s="11" t="n">
        <v>2.7742</v>
      </c>
      <c r="N31" s="11" t="n">
        <v>1</v>
      </c>
      <c r="O31" s="11" t="n">
        <v>9</v>
      </c>
      <c r="P31" s="11" t="n">
        <v>7.68</v>
      </c>
      <c r="Q31" s="11" t="n">
        <v>57.6</v>
      </c>
      <c r="R31" s="11" t="n">
        <f aca="false">SUM(K31:Q31)</f>
        <v>328.4713</v>
      </c>
      <c r="S31" s="11" t="n">
        <f aca="false">R31/(1-Resumo!$C$6)</f>
        <v>373.262840909091</v>
      </c>
      <c r="T31" s="11" t="n">
        <f aca="false">S31-J31</f>
        <v>130.022840909091</v>
      </c>
      <c r="U31" s="12" t="n">
        <f aca="false">IFERROR(S31/J31-1,0)</f>
        <v>0.534545473232573</v>
      </c>
      <c r="V31" s="2" t="str">
        <f aca="false">IF(S31&lt;J31,"SIM","NÃO")</f>
        <v>NÃO</v>
      </c>
      <c r="W31" s="2" t="n">
        <v>7</v>
      </c>
      <c r="X31" s="2" t="s">
        <v>156</v>
      </c>
    </row>
    <row r="32" customFormat="false" ht="15" hidden="false" customHeight="false" outlineLevel="0" collapsed="false">
      <c r="A32" s="2" t="n">
        <v>354173280</v>
      </c>
      <c r="B32" s="29" t="n">
        <v>46207.5155092593</v>
      </c>
      <c r="C32" s="2" t="s">
        <v>158</v>
      </c>
      <c r="D32" s="2" t="s">
        <v>197</v>
      </c>
      <c r="E32" s="2" t="s">
        <v>78</v>
      </c>
      <c r="F32" s="2" t="s">
        <v>114</v>
      </c>
      <c r="G32" s="30" t="n">
        <v>124.2</v>
      </c>
      <c r="H32" s="11" t="n">
        <v>1520.94</v>
      </c>
      <c r="I32" s="11" t="s">
        <v>155</v>
      </c>
      <c r="J32" s="11" t="n">
        <v>233.58</v>
      </c>
      <c r="K32" s="11" t="n">
        <v>239.25</v>
      </c>
      <c r="L32" s="11" t="n">
        <v>1.5209</v>
      </c>
      <c r="M32" s="11" t="n">
        <v>3.0419</v>
      </c>
      <c r="N32" s="11" t="n">
        <v>1</v>
      </c>
      <c r="O32" s="11" t="n">
        <v>9</v>
      </c>
      <c r="P32" s="11" t="n">
        <v>7.5</v>
      </c>
      <c r="Q32" s="11" t="n">
        <v>56.25</v>
      </c>
      <c r="R32" s="11" t="n">
        <f aca="false">SUM(K32:Q32)</f>
        <v>317.5628</v>
      </c>
      <c r="S32" s="11" t="n">
        <f aca="false">R32/(1-Resumo!$C$6)</f>
        <v>360.866818181818</v>
      </c>
      <c r="T32" s="11" t="n">
        <f aca="false">S32-J32</f>
        <v>127.286818181818</v>
      </c>
      <c r="U32" s="12" t="n">
        <f aca="false">IFERROR(S32/J32-1,0)</f>
        <v>0.544938856844842</v>
      </c>
      <c r="V32" s="2" t="str">
        <f aca="false">IF(S32&lt;J32,"SIM","NÃO")</f>
        <v>NÃO</v>
      </c>
      <c r="W32" s="2" t="n">
        <v>5</v>
      </c>
      <c r="X32" s="2" t="s">
        <v>156</v>
      </c>
    </row>
    <row r="33" customFormat="false" ht="15" hidden="false" customHeight="false" outlineLevel="0" collapsed="false">
      <c r="A33" s="2" t="n">
        <v>354213591</v>
      </c>
      <c r="B33" s="29" t="n">
        <v>46207.5971759259</v>
      </c>
      <c r="C33" s="2" t="s">
        <v>198</v>
      </c>
      <c r="D33" s="2" t="s">
        <v>199</v>
      </c>
      <c r="E33" s="2" t="s">
        <v>78</v>
      </c>
      <c r="F33" s="2" t="s">
        <v>106</v>
      </c>
      <c r="G33" s="30" t="n">
        <v>21.75</v>
      </c>
      <c r="H33" s="11" t="n">
        <v>341.99</v>
      </c>
      <c r="I33" s="11" t="s">
        <v>155</v>
      </c>
      <c r="J33" s="11" t="n">
        <v>81.95</v>
      </c>
      <c r="K33" s="11" t="n">
        <v>82.21</v>
      </c>
      <c r="L33" s="11" t="n">
        <v>0.342</v>
      </c>
      <c r="M33" s="11" t="n">
        <v>0.684</v>
      </c>
      <c r="N33" s="11" t="n">
        <v>1</v>
      </c>
      <c r="O33" s="11" t="n">
        <v>4.5</v>
      </c>
      <c r="P33" s="11" t="n">
        <v>1.32</v>
      </c>
      <c r="Q33" s="11" t="n">
        <v>9.9</v>
      </c>
      <c r="R33" s="11" t="n">
        <f aca="false">SUM(K33:Q33)</f>
        <v>99.956</v>
      </c>
      <c r="S33" s="11" t="n">
        <f aca="false">R33/(1-Resumo!$C$6)</f>
        <v>113.586363636364</v>
      </c>
      <c r="T33" s="11" t="n">
        <f aca="false">S33-J33</f>
        <v>31.6363636363636</v>
      </c>
      <c r="U33" s="12" t="n">
        <f aca="false">IFERROR(S33/J33-1,0)</f>
        <v>0.386044705751844</v>
      </c>
      <c r="V33" s="2" t="str">
        <f aca="false">IF(S33&lt;J33,"SIM","NÃO")</f>
        <v>NÃO</v>
      </c>
      <c r="W33" s="2" t="n">
        <v>5</v>
      </c>
      <c r="X33" s="2" t="s">
        <v>156</v>
      </c>
    </row>
    <row r="34" customFormat="false" ht="15" hidden="false" customHeight="false" outlineLevel="0" collapsed="false">
      <c r="A34" s="2" t="n">
        <v>354230865</v>
      </c>
      <c r="B34" s="29" t="n">
        <v>46207.6318865741</v>
      </c>
      <c r="C34" s="2" t="s">
        <v>153</v>
      </c>
      <c r="D34" s="2" t="s">
        <v>200</v>
      </c>
      <c r="E34" s="2" t="s">
        <v>81</v>
      </c>
      <c r="F34" s="2" t="s">
        <v>106</v>
      </c>
      <c r="G34" s="30" t="n">
        <v>33</v>
      </c>
      <c r="H34" s="11" t="n">
        <v>399.99</v>
      </c>
      <c r="I34" s="11" t="s">
        <v>155</v>
      </c>
      <c r="J34" s="11" t="n">
        <v>101.31</v>
      </c>
      <c r="K34" s="11" t="n">
        <v>82.21</v>
      </c>
      <c r="L34" s="11" t="n">
        <v>0.4</v>
      </c>
      <c r="M34" s="11" t="n">
        <v>0.8</v>
      </c>
      <c r="N34" s="11" t="n">
        <v>1</v>
      </c>
      <c r="O34" s="11" t="n">
        <v>4.5</v>
      </c>
      <c r="P34" s="11" t="n">
        <v>1.98</v>
      </c>
      <c r="Q34" s="11" t="n">
        <v>14.85</v>
      </c>
      <c r="R34" s="11" t="n">
        <f aca="false">SUM(K34:Q34)</f>
        <v>105.74</v>
      </c>
      <c r="S34" s="11" t="n">
        <f aca="false">R34/(1-Resumo!$C$6)</f>
        <v>120.159090909091</v>
      </c>
      <c r="T34" s="11" t="n">
        <f aca="false">S34-J34</f>
        <v>18.8490909090909</v>
      </c>
      <c r="U34" s="12" t="n">
        <f aca="false">IFERROR(S34/J34-1,0)</f>
        <v>0.186053606841288</v>
      </c>
      <c r="V34" s="2" t="str">
        <f aca="false">IF(S34&lt;J34,"SIM","NÃO")</f>
        <v>NÃO</v>
      </c>
      <c r="W34" s="2" t="n">
        <v>5</v>
      </c>
      <c r="X34" s="2" t="s">
        <v>156</v>
      </c>
    </row>
    <row r="35" customFormat="false" ht="15" hidden="false" customHeight="false" outlineLevel="0" collapsed="false">
      <c r="A35" s="2" t="n">
        <v>354280350</v>
      </c>
      <c r="B35" s="29" t="n">
        <v>46207.7331597222</v>
      </c>
      <c r="C35" s="2" t="s">
        <v>153</v>
      </c>
      <c r="D35" s="2" t="s">
        <v>201</v>
      </c>
      <c r="E35" s="2" t="s">
        <v>84</v>
      </c>
      <c r="F35" s="2" t="s">
        <v>106</v>
      </c>
      <c r="G35" s="30" t="n">
        <v>33</v>
      </c>
      <c r="H35" s="11" t="n">
        <v>419.99</v>
      </c>
      <c r="I35" s="11" t="s">
        <v>155</v>
      </c>
      <c r="J35" s="11" t="n">
        <v>101.4</v>
      </c>
      <c r="K35" s="11" t="n">
        <v>82.21</v>
      </c>
      <c r="L35" s="11" t="n">
        <v>0.42</v>
      </c>
      <c r="M35" s="11" t="n">
        <v>0.84</v>
      </c>
      <c r="N35" s="11" t="n">
        <v>1</v>
      </c>
      <c r="O35" s="11" t="n">
        <v>4.5</v>
      </c>
      <c r="P35" s="11" t="n">
        <v>1.98</v>
      </c>
      <c r="Q35" s="11" t="n">
        <v>14.85</v>
      </c>
      <c r="R35" s="11" t="n">
        <f aca="false">SUM(K35:Q35)</f>
        <v>105.8</v>
      </c>
      <c r="S35" s="11" t="n">
        <f aca="false">R35/(1-Resumo!$C$6)</f>
        <v>120.227272727273</v>
      </c>
      <c r="T35" s="11" t="n">
        <f aca="false">S35-J35</f>
        <v>18.8272727272727</v>
      </c>
      <c r="U35" s="12" t="n">
        <f aca="false">IFERROR(S35/J35-1,0)</f>
        <v>0.185673301057916</v>
      </c>
      <c r="V35" s="2" t="str">
        <f aca="false">IF(S35&lt;J35,"SIM","NÃO")</f>
        <v>NÃO</v>
      </c>
      <c r="W35" s="2" t="n">
        <v>5</v>
      </c>
      <c r="X35" s="2" t="s">
        <v>156</v>
      </c>
    </row>
    <row r="36" customFormat="false" ht="15" hidden="false" customHeight="false" outlineLevel="0" collapsed="false">
      <c r="A36" s="2" t="n">
        <v>354337425</v>
      </c>
      <c r="B36" s="29" t="n">
        <v>46207.8455439815</v>
      </c>
      <c r="C36" s="2" t="s">
        <v>153</v>
      </c>
      <c r="D36" s="2" t="s">
        <v>202</v>
      </c>
      <c r="E36" s="2" t="s">
        <v>203</v>
      </c>
      <c r="F36" s="2" t="s">
        <v>106</v>
      </c>
      <c r="G36" s="30" t="n">
        <v>27</v>
      </c>
      <c r="H36" s="11" t="n">
        <v>314.99</v>
      </c>
      <c r="I36" s="11" t="s">
        <v>155</v>
      </c>
      <c r="J36" s="11" t="n">
        <v>108.69</v>
      </c>
      <c r="K36" s="11" t="n">
        <v>92.21</v>
      </c>
      <c r="L36" s="11" t="n">
        <v>0.315</v>
      </c>
      <c r="M36" s="11" t="n">
        <v>0.63</v>
      </c>
      <c r="N36" s="11" t="n">
        <v>1</v>
      </c>
      <c r="O36" s="11" t="n">
        <v>4.5</v>
      </c>
      <c r="P36" s="11" t="n">
        <v>1.62</v>
      </c>
      <c r="Q36" s="11" t="n">
        <v>12.15</v>
      </c>
      <c r="R36" s="11" t="n">
        <f aca="false">SUM(K36:Q36)</f>
        <v>112.425</v>
      </c>
      <c r="S36" s="11" t="n">
        <f aca="false">R36/(1-Resumo!$C$6)</f>
        <v>127.755681818182</v>
      </c>
      <c r="T36" s="11" t="n">
        <f aca="false">S36-J36</f>
        <v>19.0656818181818</v>
      </c>
      <c r="U36" s="12" t="n">
        <f aca="false">IFERROR(S36/J36-1,0)</f>
        <v>0.175413394223772</v>
      </c>
      <c r="V36" s="2" t="str">
        <f aca="false">IF(S36&lt;J36,"SIM","NÃO")</f>
        <v>NÃO</v>
      </c>
      <c r="W36" s="2" t="n">
        <v>5</v>
      </c>
      <c r="X36" s="2" t="s">
        <v>161</v>
      </c>
    </row>
    <row r="37" customFormat="false" ht="15" hidden="false" customHeight="false" outlineLevel="0" collapsed="false">
      <c r="A37" s="2" t="n">
        <v>354354780</v>
      </c>
      <c r="B37" s="29" t="n">
        <v>46207.8796064815</v>
      </c>
      <c r="C37" s="2" t="s">
        <v>153</v>
      </c>
      <c r="D37" s="2" t="s">
        <v>204</v>
      </c>
      <c r="E37" s="2" t="s">
        <v>78</v>
      </c>
      <c r="F37" s="2" t="s">
        <v>105</v>
      </c>
      <c r="G37" s="30" t="n">
        <v>19.9</v>
      </c>
      <c r="H37" s="11" t="n">
        <v>260.99</v>
      </c>
      <c r="I37" s="11" t="s">
        <v>205</v>
      </c>
      <c r="J37" s="11" t="n">
        <v>68.68</v>
      </c>
      <c r="K37" s="11" t="n">
        <v>46.98</v>
      </c>
      <c r="L37" s="11" t="n">
        <v>0.261</v>
      </c>
      <c r="M37" s="11" t="n">
        <v>0.522</v>
      </c>
      <c r="N37" s="11" t="n">
        <v>1</v>
      </c>
      <c r="O37" s="11" t="n">
        <v>4.5</v>
      </c>
      <c r="P37" s="11" t="n">
        <v>1.2</v>
      </c>
      <c r="Q37" s="11" t="n">
        <v>9</v>
      </c>
      <c r="R37" s="11" t="n">
        <f aca="false">SUM(K37:Q37)</f>
        <v>63.463</v>
      </c>
      <c r="S37" s="11" t="n">
        <f aca="false">R37/(1-Resumo!$C$6)</f>
        <v>72.1170454545455</v>
      </c>
      <c r="T37" s="11" t="n">
        <f aca="false">S37-J37</f>
        <v>3.43704545454544</v>
      </c>
      <c r="U37" s="12" t="n">
        <f aca="false">IFERROR(S37/J37-1,0)</f>
        <v>0.0500443426695609</v>
      </c>
      <c r="V37" s="2" t="str">
        <f aca="false">IF(S37&lt;J37,"SIM","NÃO")</f>
        <v>NÃO</v>
      </c>
      <c r="W37" s="2" t="n">
        <v>5</v>
      </c>
      <c r="X37" s="2" t="s">
        <v>156</v>
      </c>
    </row>
    <row r="38" customFormat="false" ht="15" hidden="false" customHeight="false" outlineLevel="0" collapsed="false">
      <c r="A38" s="2" t="n">
        <v>354382002</v>
      </c>
      <c r="B38" s="29" t="n">
        <v>46207.9394560185</v>
      </c>
      <c r="C38" s="2" t="s">
        <v>153</v>
      </c>
      <c r="D38" s="2" t="s">
        <v>206</v>
      </c>
      <c r="E38" s="2" t="s">
        <v>78</v>
      </c>
      <c r="F38" s="2" t="s">
        <v>108</v>
      </c>
      <c r="G38" s="30" t="n">
        <v>49.6</v>
      </c>
      <c r="H38" s="11" t="n">
        <v>799.99</v>
      </c>
      <c r="I38" s="11" t="s">
        <v>155</v>
      </c>
      <c r="J38" s="11" t="n">
        <v>104.42</v>
      </c>
      <c r="K38" s="11" t="n">
        <v>93.97</v>
      </c>
      <c r="L38" s="11" t="n">
        <v>0.8</v>
      </c>
      <c r="M38" s="11" t="n">
        <v>1.6</v>
      </c>
      <c r="N38" s="11" t="n">
        <v>1</v>
      </c>
      <c r="O38" s="11" t="n">
        <v>4.5</v>
      </c>
      <c r="P38" s="11" t="n">
        <v>3</v>
      </c>
      <c r="Q38" s="11" t="n">
        <v>22.5</v>
      </c>
      <c r="R38" s="11" t="n">
        <f aca="false">SUM(K38:Q38)</f>
        <v>127.37</v>
      </c>
      <c r="S38" s="11" t="n">
        <f aca="false">R38/(1-Resumo!$C$6)</f>
        <v>144.738636363636</v>
      </c>
      <c r="T38" s="11" t="n">
        <f aca="false">S38-J38</f>
        <v>40.3186363636364</v>
      </c>
      <c r="U38" s="12" t="n">
        <f aca="false">IFERROR(S38/J38-1,0)</f>
        <v>0.386119865577824</v>
      </c>
      <c r="V38" s="2" t="str">
        <f aca="false">IF(S38&lt;J38,"SIM","NÃO")</f>
        <v>NÃO</v>
      </c>
      <c r="W38" s="2" t="n">
        <v>5</v>
      </c>
      <c r="X38" s="2" t="s">
        <v>156</v>
      </c>
    </row>
    <row r="39" customFormat="false" ht="15" hidden="false" customHeight="false" outlineLevel="0" collapsed="false">
      <c r="A39" s="2" t="n">
        <v>354392222</v>
      </c>
      <c r="B39" s="29" t="n">
        <v>46207.9641435185</v>
      </c>
      <c r="C39" s="2" t="s">
        <v>153</v>
      </c>
      <c r="D39" s="2" t="s">
        <v>207</v>
      </c>
      <c r="E39" s="2" t="s">
        <v>78</v>
      </c>
      <c r="F39" s="2" t="s">
        <v>111</v>
      </c>
      <c r="G39" s="30" t="n">
        <v>71.9</v>
      </c>
      <c r="H39" s="11" t="n">
        <v>735.99</v>
      </c>
      <c r="I39" s="11" t="s">
        <v>155</v>
      </c>
      <c r="J39" s="11" t="n">
        <v>136</v>
      </c>
      <c r="K39" s="11" t="n">
        <v>134.39</v>
      </c>
      <c r="L39" s="11" t="n">
        <v>0.736</v>
      </c>
      <c r="M39" s="11" t="n">
        <v>1.472</v>
      </c>
      <c r="N39" s="11" t="n">
        <v>1</v>
      </c>
      <c r="O39" s="11" t="n">
        <v>4.5</v>
      </c>
      <c r="P39" s="11" t="n">
        <v>4.32</v>
      </c>
      <c r="Q39" s="11" t="n">
        <v>32.4</v>
      </c>
      <c r="R39" s="11" t="n">
        <f aca="false">SUM(K39:Q39)</f>
        <v>178.818</v>
      </c>
      <c r="S39" s="11" t="n">
        <f aca="false">R39/(1-Resumo!$C$6)</f>
        <v>203.202272727273</v>
      </c>
      <c r="T39" s="11" t="n">
        <f aca="false">S39-J39</f>
        <v>67.2022727272727</v>
      </c>
      <c r="U39" s="12" t="n">
        <f aca="false">IFERROR(S39/J39-1,0)</f>
        <v>0.49413435828877</v>
      </c>
      <c r="V39" s="2" t="str">
        <f aca="false">IF(S39&lt;J39,"SIM","NÃO")</f>
        <v>NÃO</v>
      </c>
      <c r="W39" s="2" t="n">
        <v>5</v>
      </c>
      <c r="X39" s="2" t="s">
        <v>156</v>
      </c>
    </row>
    <row r="40" customFormat="false" ht="15" hidden="false" customHeight="false" outlineLevel="0" collapsed="false">
      <c r="A40" s="2" t="n">
        <v>354599020</v>
      </c>
      <c r="B40" s="29" t="n">
        <v>46208.5555092593</v>
      </c>
      <c r="C40" s="2" t="s">
        <v>191</v>
      </c>
      <c r="D40" s="2" t="s">
        <v>208</v>
      </c>
      <c r="E40" s="2" t="s">
        <v>78</v>
      </c>
      <c r="F40" s="2" t="s">
        <v>106</v>
      </c>
      <c r="G40" s="30" t="n">
        <v>27.5</v>
      </c>
      <c r="H40" s="11" t="n">
        <v>377.99</v>
      </c>
      <c r="I40" s="11" t="s">
        <v>155</v>
      </c>
      <c r="J40" s="11" t="n">
        <v>82.15</v>
      </c>
      <c r="K40" s="11" t="n">
        <v>82.21</v>
      </c>
      <c r="L40" s="11" t="n">
        <v>0.378</v>
      </c>
      <c r="M40" s="11" t="n">
        <v>0.756</v>
      </c>
      <c r="N40" s="11" t="n">
        <v>1</v>
      </c>
      <c r="O40" s="11" t="n">
        <v>4.5</v>
      </c>
      <c r="P40" s="11" t="n">
        <v>1.68</v>
      </c>
      <c r="Q40" s="11" t="n">
        <v>12.6</v>
      </c>
      <c r="R40" s="11" t="n">
        <f aca="false">SUM(K40:Q40)</f>
        <v>103.124</v>
      </c>
      <c r="S40" s="11" t="n">
        <f aca="false">R40/(1-Resumo!$C$6)</f>
        <v>117.186363636364</v>
      </c>
      <c r="T40" s="11" t="n">
        <f aca="false">S40-J40</f>
        <v>35.0363636363636</v>
      </c>
      <c r="U40" s="12" t="n">
        <f aca="false">IFERROR(S40/J40-1,0)</f>
        <v>0.426492557959387</v>
      </c>
      <c r="V40" s="2" t="str">
        <f aca="false">IF(S40&lt;J40,"SIM","NÃO")</f>
        <v>NÃO</v>
      </c>
      <c r="W40" s="2" t="n">
        <v>5</v>
      </c>
      <c r="X40" s="2" t="s">
        <v>156</v>
      </c>
    </row>
    <row r="41" customFormat="false" ht="15" hidden="false" customHeight="false" outlineLevel="0" collapsed="false">
      <c r="A41" s="2" t="n">
        <v>354635098</v>
      </c>
      <c r="B41" s="29" t="n">
        <v>46208.6180324074</v>
      </c>
      <c r="C41" s="2" t="s">
        <v>153</v>
      </c>
      <c r="D41" s="2" t="s">
        <v>209</v>
      </c>
      <c r="E41" s="2" t="s">
        <v>78</v>
      </c>
      <c r="F41" s="2" t="s">
        <v>108</v>
      </c>
      <c r="G41" s="30" t="n">
        <v>46.8</v>
      </c>
      <c r="H41" s="11" t="n">
        <v>556.99</v>
      </c>
      <c r="I41" s="11" t="s">
        <v>155</v>
      </c>
      <c r="J41" s="11" t="n">
        <v>103.25</v>
      </c>
      <c r="K41" s="11" t="n">
        <v>93.97</v>
      </c>
      <c r="L41" s="11" t="n">
        <v>0.557</v>
      </c>
      <c r="M41" s="11" t="n">
        <v>1.114</v>
      </c>
      <c r="N41" s="11" t="n">
        <v>1</v>
      </c>
      <c r="O41" s="11" t="n">
        <v>4.5</v>
      </c>
      <c r="P41" s="11" t="n">
        <v>2.82</v>
      </c>
      <c r="Q41" s="11" t="n">
        <v>21.15</v>
      </c>
      <c r="R41" s="11" t="n">
        <f aca="false">SUM(K41:Q41)</f>
        <v>125.111</v>
      </c>
      <c r="S41" s="11" t="n">
        <f aca="false">R41/(1-Resumo!$C$6)</f>
        <v>142.171590909091</v>
      </c>
      <c r="T41" s="11" t="n">
        <f aca="false">S41-J41</f>
        <v>38.9215909090909</v>
      </c>
      <c r="U41" s="12" t="n">
        <f aca="false">IFERROR(S41/J41-1,0)</f>
        <v>0.376964560862866</v>
      </c>
      <c r="V41" s="2" t="str">
        <f aca="false">IF(S41&lt;J41,"SIM","NÃO")</f>
        <v>NÃO</v>
      </c>
      <c r="W41" s="2" t="n">
        <v>5</v>
      </c>
      <c r="X41" s="2" t="s">
        <v>156</v>
      </c>
    </row>
    <row r="42" customFormat="false" ht="15" hidden="false" customHeight="false" outlineLevel="0" collapsed="false">
      <c r="A42" s="2" t="n">
        <v>354655135</v>
      </c>
      <c r="B42" s="29" t="n">
        <v>46208.6562384259</v>
      </c>
      <c r="C42" s="2" t="s">
        <v>153</v>
      </c>
      <c r="D42" s="2" t="s">
        <v>210</v>
      </c>
      <c r="E42" s="2" t="s">
        <v>82</v>
      </c>
      <c r="F42" s="2" t="s">
        <v>106</v>
      </c>
      <c r="G42" s="30" t="n">
        <v>27.5</v>
      </c>
      <c r="H42" s="11" t="n">
        <v>332.99</v>
      </c>
      <c r="I42" s="11" t="s">
        <v>155</v>
      </c>
      <c r="J42" s="11" t="n">
        <v>100.99</v>
      </c>
      <c r="K42" s="11" t="n">
        <v>100.58</v>
      </c>
      <c r="L42" s="11" t="n">
        <v>0.333</v>
      </c>
      <c r="M42" s="11" t="n">
        <v>0.666</v>
      </c>
      <c r="N42" s="11" t="n">
        <v>1</v>
      </c>
      <c r="O42" s="11" t="n">
        <v>4.5</v>
      </c>
      <c r="P42" s="11" t="n">
        <v>1.68</v>
      </c>
      <c r="Q42" s="11" t="n">
        <v>12.6</v>
      </c>
      <c r="R42" s="11" t="n">
        <f aca="false">SUM(K42:Q42)</f>
        <v>121.359</v>
      </c>
      <c r="S42" s="11" t="n">
        <f aca="false">R42/(1-Resumo!$C$6)</f>
        <v>137.907954545455</v>
      </c>
      <c r="T42" s="11" t="n">
        <f aca="false">S42-J42</f>
        <v>36.9179545454546</v>
      </c>
      <c r="U42" s="12" t="n">
        <f aca="false">IFERROR(S42/J42-1,0)</f>
        <v>0.365560496538811</v>
      </c>
      <c r="V42" s="2" t="str">
        <f aca="false">IF(S42&lt;J42,"SIM","NÃO")</f>
        <v>NÃO</v>
      </c>
      <c r="W42" s="2" t="n">
        <v>7</v>
      </c>
      <c r="X42" s="2" t="s">
        <v>156</v>
      </c>
    </row>
    <row r="43" customFormat="false" ht="15" hidden="false" customHeight="false" outlineLevel="0" collapsed="false">
      <c r="A43" s="2" t="n">
        <v>354689680</v>
      </c>
      <c r="B43" s="29" t="n">
        <v>46208.7254050926</v>
      </c>
      <c r="C43" s="2" t="s">
        <v>153</v>
      </c>
      <c r="D43" s="2" t="s">
        <v>211</v>
      </c>
      <c r="E43" s="2" t="s">
        <v>212</v>
      </c>
      <c r="F43" s="2" t="s">
        <v>110</v>
      </c>
      <c r="G43" s="30" t="n">
        <v>63.9</v>
      </c>
      <c r="H43" s="11" t="n">
        <v>799.99</v>
      </c>
      <c r="I43" s="11" t="s">
        <v>155</v>
      </c>
      <c r="J43" s="11" t="n">
        <v>155.85</v>
      </c>
      <c r="K43" s="11" t="n">
        <v>141.02</v>
      </c>
      <c r="L43" s="11" t="n">
        <v>0.8</v>
      </c>
      <c r="M43" s="11" t="n">
        <v>1.6</v>
      </c>
      <c r="N43" s="11" t="n">
        <v>1</v>
      </c>
      <c r="O43" s="11" t="n">
        <v>4.5</v>
      </c>
      <c r="P43" s="11" t="n">
        <v>3.84</v>
      </c>
      <c r="Q43" s="11" t="n">
        <v>28.8</v>
      </c>
      <c r="R43" s="11" t="n">
        <f aca="false">SUM(K43:Q43)</f>
        <v>181.56</v>
      </c>
      <c r="S43" s="11" t="n">
        <f aca="false">R43/(1-Resumo!$C$6)</f>
        <v>206.318181818182</v>
      </c>
      <c r="T43" s="11" t="n">
        <f aca="false">S43-J43</f>
        <v>50.4681818181819</v>
      </c>
      <c r="U43" s="12" t="n">
        <f aca="false">IFERROR(S43/J43-1,0)</f>
        <v>0.32382535654913</v>
      </c>
      <c r="V43" s="2" t="str">
        <f aca="false">IF(S43&lt;J43,"SIM","NÃO")</f>
        <v>NÃO</v>
      </c>
      <c r="W43" s="2" t="n">
        <v>5</v>
      </c>
      <c r="X43" s="2" t="s">
        <v>161</v>
      </c>
    </row>
    <row r="44" customFormat="false" ht="15" hidden="false" customHeight="false" outlineLevel="0" collapsed="false">
      <c r="A44" s="2" t="n">
        <v>354727575</v>
      </c>
      <c r="B44" s="29" t="n">
        <v>46208.7990509259</v>
      </c>
      <c r="C44" s="2" t="s">
        <v>158</v>
      </c>
      <c r="D44" s="2" t="s">
        <v>213</v>
      </c>
      <c r="E44" s="2" t="s">
        <v>78</v>
      </c>
      <c r="F44" s="2" t="s">
        <v>108</v>
      </c>
      <c r="G44" s="30" t="n">
        <v>44.6</v>
      </c>
      <c r="H44" s="11" t="n">
        <v>484.68</v>
      </c>
      <c r="I44" s="11" t="s">
        <v>155</v>
      </c>
      <c r="J44" s="11" t="n">
        <v>102.91</v>
      </c>
      <c r="K44" s="11" t="n">
        <v>93.97</v>
      </c>
      <c r="L44" s="11" t="n">
        <v>0.4847</v>
      </c>
      <c r="M44" s="11" t="n">
        <v>0.9694</v>
      </c>
      <c r="N44" s="11" t="n">
        <v>1</v>
      </c>
      <c r="O44" s="11" t="n">
        <v>4.5</v>
      </c>
      <c r="P44" s="11" t="n">
        <v>2.7</v>
      </c>
      <c r="Q44" s="11" t="n">
        <v>20.25</v>
      </c>
      <c r="R44" s="11" t="n">
        <f aca="false">SUM(K44:Q44)</f>
        <v>123.8741</v>
      </c>
      <c r="S44" s="11" t="n">
        <f aca="false">R44/(1-Resumo!$C$6)</f>
        <v>140.766022727273</v>
      </c>
      <c r="T44" s="11" t="n">
        <f aca="false">S44-J44</f>
        <v>37.8560227272727</v>
      </c>
      <c r="U44" s="12" t="n">
        <f aca="false">IFERROR(S44/J44-1,0)</f>
        <v>0.367855628483847</v>
      </c>
      <c r="V44" s="2" t="str">
        <f aca="false">IF(S44&lt;J44,"SIM","NÃO")</f>
        <v>NÃO</v>
      </c>
      <c r="W44" s="2" t="n">
        <v>5</v>
      </c>
      <c r="X44" s="2" t="s">
        <v>156</v>
      </c>
    </row>
    <row r="45" customFormat="false" ht="15" hidden="false" customHeight="false" outlineLevel="0" collapsed="false">
      <c r="A45" s="2" t="n">
        <v>354814832</v>
      </c>
      <c r="B45" s="29" t="n">
        <v>46208.9671875</v>
      </c>
      <c r="C45" s="2" t="s">
        <v>153</v>
      </c>
      <c r="D45" s="2" t="s">
        <v>214</v>
      </c>
      <c r="E45" s="2" t="s">
        <v>215</v>
      </c>
      <c r="F45" s="2" t="s">
        <v>109</v>
      </c>
      <c r="G45" s="30" t="n">
        <v>58.6</v>
      </c>
      <c r="H45" s="11" t="n">
        <v>644.99</v>
      </c>
      <c r="I45" s="11" t="s">
        <v>155</v>
      </c>
      <c r="J45" s="11" t="n">
        <v>142.76</v>
      </c>
      <c r="K45" s="11" t="n">
        <v>162.04</v>
      </c>
      <c r="L45" s="11" t="n">
        <v>0.645</v>
      </c>
      <c r="M45" s="11" t="n">
        <v>1.29</v>
      </c>
      <c r="N45" s="11" t="n">
        <v>1</v>
      </c>
      <c r="O45" s="11" t="n">
        <v>4.5</v>
      </c>
      <c r="P45" s="11" t="n">
        <v>3.54</v>
      </c>
      <c r="Q45" s="11" t="n">
        <v>26.55</v>
      </c>
      <c r="R45" s="11" t="n">
        <f aca="false">SUM(K45:Q45)</f>
        <v>199.565</v>
      </c>
      <c r="S45" s="11" t="n">
        <f aca="false">R45/(1-Resumo!$C$6)</f>
        <v>226.778409090909</v>
      </c>
      <c r="T45" s="11" t="n">
        <f aca="false">S45-J45</f>
        <v>84.0184090909091</v>
      </c>
      <c r="U45" s="12" t="n">
        <f aca="false">IFERROR(S45/J45-1,0)</f>
        <v>0.588529063399475</v>
      </c>
      <c r="V45" s="2" t="str">
        <f aca="false">IF(S45&lt;J45,"SIM","NÃO")</f>
        <v>NÃO</v>
      </c>
      <c r="W45" s="2" t="n">
        <v>11</v>
      </c>
      <c r="X45" s="2" t="s">
        <v>161</v>
      </c>
    </row>
    <row r="46" customFormat="false" ht="15" hidden="false" customHeight="false" outlineLevel="0" collapsed="false">
      <c r="A46" s="2" t="n">
        <v>355044341</v>
      </c>
      <c r="B46" s="29" t="n">
        <v>46209.5015162037</v>
      </c>
      <c r="C46" s="2" t="s">
        <v>191</v>
      </c>
      <c r="D46" s="2" t="s">
        <v>216</v>
      </c>
      <c r="E46" s="2" t="s">
        <v>78</v>
      </c>
      <c r="F46" s="2" t="s">
        <v>108</v>
      </c>
      <c r="G46" s="30" t="n">
        <v>49.6</v>
      </c>
      <c r="H46" s="11" t="n">
        <v>775.39</v>
      </c>
      <c r="I46" s="11" t="s">
        <v>155</v>
      </c>
      <c r="J46" s="11" t="n">
        <v>104.31</v>
      </c>
      <c r="K46" s="11" t="n">
        <v>93.97</v>
      </c>
      <c r="L46" s="11" t="n">
        <v>0.7754</v>
      </c>
      <c r="M46" s="11" t="n">
        <v>1.5508</v>
      </c>
      <c r="N46" s="11" t="n">
        <v>1</v>
      </c>
      <c r="O46" s="11" t="n">
        <v>4.5</v>
      </c>
      <c r="P46" s="11" t="n">
        <v>3</v>
      </c>
      <c r="Q46" s="11" t="n">
        <v>22.5</v>
      </c>
      <c r="R46" s="11" t="n">
        <f aca="false">SUM(K46:Q46)</f>
        <v>127.2962</v>
      </c>
      <c r="S46" s="11" t="n">
        <f aca="false">R46/(1-Resumo!$C$6)</f>
        <v>144.654772727273</v>
      </c>
      <c r="T46" s="11" t="n">
        <f aca="false">S46-J46</f>
        <v>40.3447727272727</v>
      </c>
      <c r="U46" s="12" t="n">
        <f aca="false">IFERROR(S46/J46-1,0)</f>
        <v>0.386777612187448</v>
      </c>
      <c r="V46" s="2" t="str">
        <f aca="false">IF(S46&lt;J46,"SIM","NÃO")</f>
        <v>NÃO</v>
      </c>
      <c r="W46" s="2" t="n">
        <v>5</v>
      </c>
      <c r="X46" s="2" t="s">
        <v>156</v>
      </c>
    </row>
    <row r="47" customFormat="false" ht="15" hidden="false" customHeight="false" outlineLevel="0" collapsed="false">
      <c r="A47" s="2" t="n">
        <v>355079304</v>
      </c>
      <c r="B47" s="29" t="n">
        <v>46209.5547222222</v>
      </c>
      <c r="C47" s="2" t="s">
        <v>191</v>
      </c>
      <c r="D47" s="2" t="s">
        <v>217</v>
      </c>
      <c r="E47" s="2" t="s">
        <v>84</v>
      </c>
      <c r="F47" s="2" t="s">
        <v>108</v>
      </c>
      <c r="G47" s="30" t="n">
        <v>49.6</v>
      </c>
      <c r="H47" s="11" t="n">
        <v>819.99</v>
      </c>
      <c r="I47" s="11" t="s">
        <v>155</v>
      </c>
      <c r="J47" s="11" t="n">
        <v>118</v>
      </c>
      <c r="K47" s="11" t="n">
        <v>93.97</v>
      </c>
      <c r="L47" s="11" t="n">
        <v>0.82</v>
      </c>
      <c r="M47" s="11" t="n">
        <v>1.64</v>
      </c>
      <c r="N47" s="11" t="n">
        <v>1</v>
      </c>
      <c r="O47" s="11" t="n">
        <v>4.5</v>
      </c>
      <c r="P47" s="11" t="n">
        <v>3</v>
      </c>
      <c r="Q47" s="11" t="n">
        <v>22.5</v>
      </c>
      <c r="R47" s="11" t="n">
        <f aca="false">SUM(K47:Q47)</f>
        <v>127.43</v>
      </c>
      <c r="S47" s="11" t="n">
        <f aca="false">R47/(1-Resumo!$C$6)</f>
        <v>144.806818181818</v>
      </c>
      <c r="T47" s="11" t="n">
        <f aca="false">S47-J47</f>
        <v>26.8068181818182</v>
      </c>
      <c r="U47" s="12" t="n">
        <f aca="false">IFERROR(S47/J47-1,0)</f>
        <v>0.227176425269645</v>
      </c>
      <c r="V47" s="2" t="str">
        <f aca="false">IF(S47&lt;J47,"SIM","NÃO")</f>
        <v>NÃO</v>
      </c>
      <c r="W47" s="2" t="n">
        <v>5</v>
      </c>
      <c r="X47" s="2" t="s">
        <v>156</v>
      </c>
    </row>
    <row r="48" customFormat="false" ht="15" hidden="false" customHeight="false" outlineLevel="0" collapsed="false">
      <c r="A48" s="2" t="n">
        <v>355104596</v>
      </c>
      <c r="B48" s="29" t="n">
        <v>46209.5906712963</v>
      </c>
      <c r="C48" s="2" t="s">
        <v>153</v>
      </c>
      <c r="D48" s="2" t="s">
        <v>218</v>
      </c>
      <c r="E48" s="2" t="s">
        <v>219</v>
      </c>
      <c r="F48" s="2" t="s">
        <v>108</v>
      </c>
      <c r="G48" s="30" t="n">
        <v>49.6</v>
      </c>
      <c r="H48" s="11" t="n">
        <v>799.99</v>
      </c>
      <c r="I48" s="11" t="s">
        <v>155</v>
      </c>
      <c r="J48" s="11" t="n">
        <v>132</v>
      </c>
      <c r="K48" s="11" t="n">
        <v>124.38</v>
      </c>
      <c r="L48" s="11" t="n">
        <v>0.8</v>
      </c>
      <c r="M48" s="11" t="n">
        <v>1.6</v>
      </c>
      <c r="N48" s="11" t="n">
        <v>1</v>
      </c>
      <c r="O48" s="11" t="n">
        <v>4.5</v>
      </c>
      <c r="P48" s="11" t="n">
        <v>3</v>
      </c>
      <c r="Q48" s="11" t="n">
        <v>22.5</v>
      </c>
      <c r="R48" s="11" t="n">
        <f aca="false">SUM(K48:Q48)</f>
        <v>157.78</v>
      </c>
      <c r="S48" s="11" t="n">
        <f aca="false">R48/(1-Resumo!$C$6)</f>
        <v>179.295454545455</v>
      </c>
      <c r="T48" s="11" t="n">
        <f aca="false">S48-J48</f>
        <v>47.2954545454545</v>
      </c>
      <c r="U48" s="12" t="n">
        <f aca="false">IFERROR(S48/J48-1,0)</f>
        <v>0.358298898071625</v>
      </c>
      <c r="V48" s="2" t="str">
        <f aca="false">IF(S48&lt;J48,"SIM","NÃO")</f>
        <v>NÃO</v>
      </c>
      <c r="W48" s="2" t="n">
        <v>10</v>
      </c>
      <c r="X48" s="2" t="s">
        <v>161</v>
      </c>
    </row>
    <row r="49" customFormat="false" ht="15" hidden="false" customHeight="false" outlineLevel="0" collapsed="false">
      <c r="A49" s="2" t="n">
        <v>355229082</v>
      </c>
      <c r="B49" s="29" t="n">
        <v>46209.7972106482</v>
      </c>
      <c r="C49" s="2" t="s">
        <v>153</v>
      </c>
      <c r="D49" s="2" t="s">
        <v>220</v>
      </c>
      <c r="E49" s="2" t="s">
        <v>78</v>
      </c>
      <c r="F49" s="2" t="s">
        <v>105</v>
      </c>
      <c r="G49" s="30" t="n">
        <v>10.2</v>
      </c>
      <c r="H49" s="11" t="n">
        <v>219.99</v>
      </c>
      <c r="I49" s="11" t="s">
        <v>155</v>
      </c>
      <c r="J49" s="11" t="n">
        <v>64.27</v>
      </c>
      <c r="K49" s="11" t="n">
        <v>46.98</v>
      </c>
      <c r="L49" s="11" t="n">
        <v>0.22</v>
      </c>
      <c r="M49" s="11" t="n">
        <v>0.44</v>
      </c>
      <c r="N49" s="11" t="n">
        <v>1</v>
      </c>
      <c r="O49" s="11" t="n">
        <v>4.5</v>
      </c>
      <c r="P49" s="11" t="n">
        <v>0.66</v>
      </c>
      <c r="Q49" s="11" t="n">
        <v>4.95</v>
      </c>
      <c r="R49" s="11" t="n">
        <f aca="false">SUM(K49:Q49)</f>
        <v>58.75</v>
      </c>
      <c r="S49" s="11" t="n">
        <f aca="false">R49/(1-Resumo!$C$6)</f>
        <v>66.7613636363636</v>
      </c>
      <c r="T49" s="11" t="n">
        <f aca="false">S49-J49</f>
        <v>2.49136363636364</v>
      </c>
      <c r="U49" s="12" t="n">
        <f aca="false">IFERROR(S49/J49-1,0)</f>
        <v>0.0387640211041489</v>
      </c>
      <c r="V49" s="2" t="str">
        <f aca="false">IF(S49&lt;J49,"SIM","NÃO")</f>
        <v>NÃO</v>
      </c>
      <c r="W49" s="2" t="n">
        <v>5</v>
      </c>
      <c r="X49" s="2" t="s">
        <v>156</v>
      </c>
    </row>
    <row r="50" customFormat="false" ht="15" hidden="false" customHeight="false" outlineLevel="0" collapsed="false">
      <c r="A50" s="2" t="n">
        <v>355230866</v>
      </c>
      <c r="B50" s="29" t="n">
        <v>46209.802974537</v>
      </c>
      <c r="C50" s="2" t="s">
        <v>191</v>
      </c>
      <c r="D50" s="2" t="s">
        <v>221</v>
      </c>
      <c r="E50" s="2" t="s">
        <v>78</v>
      </c>
      <c r="F50" s="2" t="s">
        <v>114</v>
      </c>
      <c r="G50" s="30" t="n">
        <v>124.2</v>
      </c>
      <c r="H50" s="11" t="n">
        <v>1687.99</v>
      </c>
      <c r="I50" s="11" t="s">
        <v>155</v>
      </c>
      <c r="J50" s="11" t="n">
        <v>234.39</v>
      </c>
      <c r="K50" s="11" t="n">
        <v>239.25</v>
      </c>
      <c r="L50" s="11" t="n">
        <v>1.688</v>
      </c>
      <c r="M50" s="11" t="n">
        <v>3.376</v>
      </c>
      <c r="N50" s="11" t="n">
        <v>1</v>
      </c>
      <c r="O50" s="11" t="n">
        <v>9</v>
      </c>
      <c r="P50" s="11" t="n">
        <v>7.5</v>
      </c>
      <c r="Q50" s="11" t="n">
        <v>56.25</v>
      </c>
      <c r="R50" s="11" t="n">
        <f aca="false">SUM(K50:Q50)</f>
        <v>318.064</v>
      </c>
      <c r="S50" s="11" t="n">
        <f aca="false">R50/(1-Resumo!$C$6)</f>
        <v>361.436363636364</v>
      </c>
      <c r="T50" s="11" t="n">
        <f aca="false">S50-J50</f>
        <v>127.046363636364</v>
      </c>
      <c r="U50" s="12" t="n">
        <f aca="false">IFERROR(S50/J50-1,0)</f>
        <v>0.542029794941609</v>
      </c>
      <c r="V50" s="2" t="str">
        <f aca="false">IF(S50&lt;J50,"SIM","NÃO")</f>
        <v>NÃO</v>
      </c>
      <c r="W50" s="2" t="n">
        <v>5</v>
      </c>
      <c r="X50" s="2" t="s">
        <v>156</v>
      </c>
    </row>
    <row r="51" customFormat="false" ht="15" hidden="false" customHeight="false" outlineLevel="0" collapsed="false">
      <c r="A51" s="2" t="n">
        <v>355276780</v>
      </c>
      <c r="B51" s="29" t="n">
        <v>46209.8668518519</v>
      </c>
      <c r="C51" s="2" t="s">
        <v>153</v>
      </c>
      <c r="D51" s="2" t="s">
        <v>222</v>
      </c>
      <c r="E51" s="2" t="s">
        <v>80</v>
      </c>
      <c r="F51" s="2" t="s">
        <v>107</v>
      </c>
      <c r="G51" s="30" t="n">
        <v>39.8</v>
      </c>
      <c r="H51" s="11" t="n">
        <v>449.99</v>
      </c>
      <c r="I51" s="11" t="s">
        <v>155</v>
      </c>
      <c r="J51" s="11" t="n">
        <v>113.11</v>
      </c>
      <c r="K51" s="11" t="n">
        <v>93.97</v>
      </c>
      <c r="L51" s="11" t="n">
        <v>0.45</v>
      </c>
      <c r="M51" s="11" t="n">
        <v>0.9</v>
      </c>
      <c r="N51" s="11" t="n">
        <v>1</v>
      </c>
      <c r="O51" s="11" t="n">
        <v>4.5</v>
      </c>
      <c r="P51" s="11" t="n">
        <v>2.4</v>
      </c>
      <c r="Q51" s="11" t="n">
        <v>18</v>
      </c>
      <c r="R51" s="11" t="n">
        <f aca="false">SUM(K51:Q51)</f>
        <v>121.22</v>
      </c>
      <c r="S51" s="11" t="n">
        <f aca="false">R51/(1-Resumo!$C$6)</f>
        <v>137.75</v>
      </c>
      <c r="T51" s="11" t="n">
        <f aca="false">S51-J51</f>
        <v>24.64</v>
      </c>
      <c r="U51" s="12" t="n">
        <f aca="false">IFERROR(S51/J51-1,0)</f>
        <v>0.217841039695871</v>
      </c>
      <c r="V51" s="2" t="str">
        <f aca="false">IF(S51&lt;J51,"SIM","NÃO")</f>
        <v>NÃO</v>
      </c>
      <c r="W51" s="2" t="n">
        <v>5</v>
      </c>
      <c r="X51" s="2" t="s">
        <v>156</v>
      </c>
    </row>
    <row r="52" customFormat="false" ht="15" hidden="false" customHeight="false" outlineLevel="0" collapsed="false">
      <c r="A52" s="2" t="n">
        <v>355304878</v>
      </c>
      <c r="B52" s="29" t="n">
        <v>46209.9061805556</v>
      </c>
      <c r="C52" s="2" t="s">
        <v>153</v>
      </c>
      <c r="D52" s="2" t="s">
        <v>223</v>
      </c>
      <c r="E52" s="2" t="s">
        <v>91</v>
      </c>
      <c r="F52" s="2" t="s">
        <v>106</v>
      </c>
      <c r="G52" s="30" t="n">
        <v>27.4</v>
      </c>
      <c r="H52" s="11" t="n">
        <v>359.99</v>
      </c>
      <c r="I52" s="11" t="s">
        <v>155</v>
      </c>
      <c r="J52" s="11" t="n">
        <v>108.91</v>
      </c>
      <c r="K52" s="11" t="n">
        <v>114.95</v>
      </c>
      <c r="L52" s="11" t="n">
        <v>0.36</v>
      </c>
      <c r="M52" s="11" t="n">
        <v>0.72</v>
      </c>
      <c r="N52" s="11" t="n">
        <v>1</v>
      </c>
      <c r="O52" s="11" t="n">
        <v>4.5</v>
      </c>
      <c r="P52" s="11" t="n">
        <v>1.68</v>
      </c>
      <c r="Q52" s="11" t="n">
        <v>12.6</v>
      </c>
      <c r="R52" s="11" t="n">
        <f aca="false">SUM(K52:Q52)</f>
        <v>135.81</v>
      </c>
      <c r="S52" s="11" t="n">
        <f aca="false">R52/(1-Resumo!$C$6)</f>
        <v>154.329545454545</v>
      </c>
      <c r="T52" s="11" t="n">
        <f aca="false">S52-J52</f>
        <v>45.4195454545455</v>
      </c>
      <c r="U52" s="12" t="n">
        <f aca="false">IFERROR(S52/J52-1,0)</f>
        <v>0.417037420388812</v>
      </c>
      <c r="V52" s="2" t="str">
        <f aca="false">IF(S52&lt;J52,"SIM","NÃO")</f>
        <v>NÃO</v>
      </c>
      <c r="W52" s="2" t="n">
        <v>10</v>
      </c>
      <c r="X52" s="2" t="s">
        <v>156</v>
      </c>
    </row>
    <row r="53" customFormat="false" ht="15" hidden="false" customHeight="false" outlineLevel="0" collapsed="false">
      <c r="A53" s="2" t="n">
        <v>355337966</v>
      </c>
      <c r="B53" s="29" t="n">
        <v>46209.9533333333</v>
      </c>
      <c r="C53" s="2" t="s">
        <v>153</v>
      </c>
      <c r="D53" s="2" t="s">
        <v>224</v>
      </c>
      <c r="E53" s="2" t="s">
        <v>92</v>
      </c>
      <c r="F53" s="2" t="s">
        <v>108</v>
      </c>
      <c r="G53" s="30" t="n">
        <v>44.5</v>
      </c>
      <c r="H53" s="11" t="n">
        <v>735.99</v>
      </c>
      <c r="I53" s="11" t="s">
        <v>155</v>
      </c>
      <c r="J53" s="11" t="n">
        <v>131.68</v>
      </c>
      <c r="K53" s="11" t="n">
        <v>129.29</v>
      </c>
      <c r="L53" s="11" t="n">
        <v>0.736</v>
      </c>
      <c r="M53" s="11" t="n">
        <v>1.472</v>
      </c>
      <c r="N53" s="11" t="n">
        <v>1</v>
      </c>
      <c r="O53" s="11" t="n">
        <v>4.5</v>
      </c>
      <c r="P53" s="11" t="n">
        <v>2.7</v>
      </c>
      <c r="Q53" s="11" t="n">
        <v>20.25</v>
      </c>
      <c r="R53" s="11" t="n">
        <f aca="false">SUM(K53:Q53)</f>
        <v>159.948</v>
      </c>
      <c r="S53" s="11" t="n">
        <f aca="false">R53/(1-Resumo!$C$6)</f>
        <v>181.759090909091</v>
      </c>
      <c r="T53" s="11" t="n">
        <f aca="false">S53-J53</f>
        <v>50.0790909090909</v>
      </c>
      <c r="U53" s="12" t="n">
        <f aca="false">IFERROR(S53/J53-1,0)</f>
        <v>0.380309013586656</v>
      </c>
      <c r="V53" s="2" t="str">
        <f aca="false">IF(S53&lt;J53,"SIM","NÃO")</f>
        <v>NÃO</v>
      </c>
      <c r="W53" s="2" t="n">
        <v>10</v>
      </c>
      <c r="X53" s="2" t="s">
        <v>156</v>
      </c>
    </row>
    <row r="54" customFormat="false" ht="15" hidden="false" customHeight="false" outlineLevel="0" collapsed="false">
      <c r="A54" s="2" t="n">
        <v>355352625</v>
      </c>
      <c r="B54" s="29" t="n">
        <v>46209.999212963</v>
      </c>
      <c r="C54" s="2" t="s">
        <v>153</v>
      </c>
      <c r="D54" s="2" t="s">
        <v>225</v>
      </c>
      <c r="E54" s="2" t="s">
        <v>78</v>
      </c>
      <c r="F54" s="2" t="s">
        <v>107</v>
      </c>
      <c r="G54" s="30" t="n">
        <v>39.9</v>
      </c>
      <c r="H54" s="11" t="n">
        <v>599.99</v>
      </c>
      <c r="I54" s="11" t="s">
        <v>155</v>
      </c>
      <c r="J54" s="11" t="n">
        <v>92.73</v>
      </c>
      <c r="K54" s="11" t="n">
        <v>93.97</v>
      </c>
      <c r="L54" s="11" t="n">
        <v>0.6</v>
      </c>
      <c r="M54" s="11" t="n">
        <v>1.2</v>
      </c>
      <c r="N54" s="11" t="n">
        <v>1</v>
      </c>
      <c r="O54" s="11" t="n">
        <v>4.5</v>
      </c>
      <c r="P54" s="11" t="n">
        <v>2.4</v>
      </c>
      <c r="Q54" s="11" t="n">
        <v>18</v>
      </c>
      <c r="R54" s="11" t="n">
        <f aca="false">SUM(K54:Q54)</f>
        <v>121.67</v>
      </c>
      <c r="S54" s="11" t="n">
        <f aca="false">R54/(1-Resumo!$C$6)</f>
        <v>138.261363636364</v>
      </c>
      <c r="T54" s="11" t="n">
        <f aca="false">S54-J54</f>
        <v>45.5313636363636</v>
      </c>
      <c r="U54" s="12" t="n">
        <f aca="false">IFERROR(S54/J54-1,0)</f>
        <v>0.491010068331323</v>
      </c>
      <c r="V54" s="2" t="str">
        <f aca="false">IF(S54&lt;J54,"SIM","NÃO")</f>
        <v>NÃO</v>
      </c>
      <c r="W54" s="2" t="n">
        <v>5</v>
      </c>
      <c r="X54" s="2" t="s">
        <v>156</v>
      </c>
    </row>
    <row r="55" customFormat="false" ht="15" hidden="false" customHeight="false" outlineLevel="0" collapsed="false">
      <c r="A55" s="2" t="n">
        <v>355365552</v>
      </c>
      <c r="B55" s="29" t="n">
        <v>46210.0137731481</v>
      </c>
      <c r="C55" s="2" t="s">
        <v>153</v>
      </c>
      <c r="D55" s="2" t="s">
        <v>226</v>
      </c>
      <c r="E55" s="2" t="s">
        <v>78</v>
      </c>
      <c r="F55" s="2" t="s">
        <v>107</v>
      </c>
      <c r="G55" s="30" t="n">
        <v>37.2</v>
      </c>
      <c r="H55" s="11" t="n">
        <v>360.99</v>
      </c>
      <c r="I55" s="11" t="s">
        <v>155</v>
      </c>
      <c r="J55" s="11" t="n">
        <v>91.58</v>
      </c>
      <c r="K55" s="11" t="n">
        <v>93.97</v>
      </c>
      <c r="L55" s="11" t="n">
        <v>0.361</v>
      </c>
      <c r="M55" s="11" t="n">
        <v>0.722</v>
      </c>
      <c r="N55" s="11" t="n">
        <v>1</v>
      </c>
      <c r="O55" s="11" t="n">
        <v>4.5</v>
      </c>
      <c r="P55" s="11" t="n">
        <v>2.28</v>
      </c>
      <c r="Q55" s="11" t="n">
        <v>17.1</v>
      </c>
      <c r="R55" s="11" t="n">
        <f aca="false">SUM(K55:Q55)</f>
        <v>119.933</v>
      </c>
      <c r="S55" s="11" t="n">
        <f aca="false">R55/(1-Resumo!$C$6)</f>
        <v>136.2875</v>
      </c>
      <c r="T55" s="11" t="n">
        <f aca="false">S55-J55</f>
        <v>44.7075</v>
      </c>
      <c r="U55" s="12" t="n">
        <f aca="false">IFERROR(S55/J55-1,0)</f>
        <v>0.488179733566281</v>
      </c>
      <c r="V55" s="2" t="str">
        <f aca="false">IF(S55&lt;J55,"SIM","NÃO")</f>
        <v>NÃO</v>
      </c>
      <c r="W55" s="2" t="n">
        <v>5</v>
      </c>
      <c r="X55" s="2" t="s">
        <v>156</v>
      </c>
    </row>
    <row r="56" customFormat="false" ht="15" hidden="false" customHeight="false" outlineLevel="0" collapsed="false">
      <c r="A56" s="2" t="n">
        <v>355372214</v>
      </c>
      <c r="B56" s="29" t="n">
        <v>46210.022025463</v>
      </c>
      <c r="C56" s="2" t="s">
        <v>153</v>
      </c>
      <c r="D56" s="2" t="s">
        <v>227</v>
      </c>
      <c r="E56" s="2" t="s">
        <v>78</v>
      </c>
      <c r="F56" s="2" t="s">
        <v>107</v>
      </c>
      <c r="G56" s="30" t="n">
        <v>37.2</v>
      </c>
      <c r="H56" s="11" t="n">
        <v>360.99</v>
      </c>
      <c r="I56" s="11" t="s">
        <v>155</v>
      </c>
      <c r="J56" s="11" t="n">
        <v>91.58</v>
      </c>
      <c r="K56" s="11" t="n">
        <v>93.97</v>
      </c>
      <c r="L56" s="11" t="n">
        <v>0.361</v>
      </c>
      <c r="M56" s="11" t="n">
        <v>0.722</v>
      </c>
      <c r="N56" s="11" t="n">
        <v>1</v>
      </c>
      <c r="O56" s="11" t="n">
        <v>4.5</v>
      </c>
      <c r="P56" s="11" t="n">
        <v>2.28</v>
      </c>
      <c r="Q56" s="11" t="n">
        <v>17.1</v>
      </c>
      <c r="R56" s="11" t="n">
        <f aca="false">SUM(K56:Q56)</f>
        <v>119.933</v>
      </c>
      <c r="S56" s="11" t="n">
        <f aca="false">R56/(1-Resumo!$C$6)</f>
        <v>136.2875</v>
      </c>
      <c r="T56" s="11" t="n">
        <f aca="false">S56-J56</f>
        <v>44.7075</v>
      </c>
      <c r="U56" s="12" t="n">
        <f aca="false">IFERROR(S56/J56-1,0)</f>
        <v>0.488179733566281</v>
      </c>
      <c r="V56" s="2" t="str">
        <f aca="false">IF(S56&lt;J56,"SIM","NÃO")</f>
        <v>NÃO</v>
      </c>
      <c r="W56" s="2" t="n">
        <v>5</v>
      </c>
      <c r="X56" s="2" t="s">
        <v>156</v>
      </c>
    </row>
    <row r="57" customFormat="false" ht="15" hidden="false" customHeight="false" outlineLevel="0" collapsed="false">
      <c r="A57" s="2" t="n">
        <v>355403193</v>
      </c>
      <c r="B57" s="29" t="n">
        <v>46210.0742592593</v>
      </c>
      <c r="C57" s="2" t="s">
        <v>153</v>
      </c>
      <c r="D57" s="2" t="s">
        <v>228</v>
      </c>
      <c r="E57" s="2" t="s">
        <v>78</v>
      </c>
      <c r="F57" s="2" t="s">
        <v>106</v>
      </c>
      <c r="G57" s="30" t="n">
        <v>27.4</v>
      </c>
      <c r="H57" s="11" t="n">
        <v>324.99</v>
      </c>
      <c r="I57" s="11" t="s">
        <v>155</v>
      </c>
      <c r="J57" s="11" t="n">
        <v>81.89</v>
      </c>
      <c r="K57" s="11" t="n">
        <v>82.21</v>
      </c>
      <c r="L57" s="11" t="n">
        <v>0.325</v>
      </c>
      <c r="M57" s="11" t="n">
        <v>0.65</v>
      </c>
      <c r="N57" s="11" t="n">
        <v>1</v>
      </c>
      <c r="O57" s="11" t="n">
        <v>4.5</v>
      </c>
      <c r="P57" s="11" t="n">
        <v>1.68</v>
      </c>
      <c r="Q57" s="11" t="n">
        <v>12.6</v>
      </c>
      <c r="R57" s="11" t="n">
        <f aca="false">SUM(K57:Q57)</f>
        <v>102.965</v>
      </c>
      <c r="S57" s="11" t="n">
        <f aca="false">R57/(1-Resumo!$C$6)</f>
        <v>117.005681818182</v>
      </c>
      <c r="T57" s="11" t="n">
        <f aca="false">S57-J57</f>
        <v>35.1156818181818</v>
      </c>
      <c r="U57" s="12" t="n">
        <f aca="false">IFERROR(S57/J57-1,0)</f>
        <v>0.428815262158772</v>
      </c>
      <c r="V57" s="2" t="str">
        <f aca="false">IF(S57&lt;J57,"SIM","NÃO")</f>
        <v>NÃO</v>
      </c>
      <c r="W57" s="2" t="n">
        <v>5</v>
      </c>
      <c r="X57" s="2" t="s">
        <v>156</v>
      </c>
    </row>
    <row r="58" customFormat="false" ht="15" hidden="false" customHeight="false" outlineLevel="0" collapsed="false">
      <c r="A58" s="2" t="n">
        <v>355422105</v>
      </c>
      <c r="B58" s="29" t="n">
        <v>46210.1184375</v>
      </c>
      <c r="C58" s="2" t="s">
        <v>153</v>
      </c>
      <c r="D58" s="2" t="s">
        <v>229</v>
      </c>
      <c r="E58" s="2" t="s">
        <v>81</v>
      </c>
      <c r="F58" s="2" t="s">
        <v>106</v>
      </c>
      <c r="G58" s="30" t="n">
        <v>27.4</v>
      </c>
      <c r="H58" s="11" t="n">
        <v>324.99</v>
      </c>
      <c r="I58" s="11" t="s">
        <v>155</v>
      </c>
      <c r="J58" s="11" t="n">
        <v>100.94</v>
      </c>
      <c r="K58" s="11" t="n">
        <v>82.21</v>
      </c>
      <c r="L58" s="11" t="n">
        <v>0.325</v>
      </c>
      <c r="M58" s="11" t="n">
        <v>0.65</v>
      </c>
      <c r="N58" s="11" t="n">
        <v>1</v>
      </c>
      <c r="O58" s="11" t="n">
        <v>4.5</v>
      </c>
      <c r="P58" s="11" t="n">
        <v>1.68</v>
      </c>
      <c r="Q58" s="11" t="n">
        <v>12.6</v>
      </c>
      <c r="R58" s="11" t="n">
        <f aca="false">SUM(K58:Q58)</f>
        <v>102.965</v>
      </c>
      <c r="S58" s="11" t="n">
        <f aca="false">R58/(1-Resumo!$C$6)</f>
        <v>117.005681818182</v>
      </c>
      <c r="T58" s="11" t="n">
        <f aca="false">S58-J58</f>
        <v>16.0656818181818</v>
      </c>
      <c r="U58" s="12" t="n">
        <f aca="false">IFERROR(S58/J58-1,0)</f>
        <v>0.159160707531026</v>
      </c>
      <c r="V58" s="2" t="str">
        <f aca="false">IF(S58&lt;J58,"SIM","NÃO")</f>
        <v>NÃO</v>
      </c>
      <c r="W58" s="2" t="n">
        <v>5</v>
      </c>
      <c r="X58" s="2" t="s">
        <v>156</v>
      </c>
    </row>
    <row r="59" customFormat="false" ht="15" hidden="false" customHeight="false" outlineLevel="0" collapsed="false">
      <c r="A59" s="2" t="n">
        <v>355528816</v>
      </c>
      <c r="B59" s="29" t="n">
        <v>46210.3415972222</v>
      </c>
      <c r="C59" s="2" t="s">
        <v>153</v>
      </c>
      <c r="D59" s="2" t="s">
        <v>230</v>
      </c>
      <c r="E59" s="2" t="s">
        <v>89</v>
      </c>
      <c r="F59" s="2" t="s">
        <v>107</v>
      </c>
      <c r="G59" s="30" t="n">
        <v>37.2</v>
      </c>
      <c r="H59" s="11" t="n">
        <v>360.99</v>
      </c>
      <c r="I59" s="11" t="s">
        <v>155</v>
      </c>
      <c r="J59" s="11" t="n">
        <v>121.98</v>
      </c>
      <c r="K59" s="11" t="n">
        <v>124.38</v>
      </c>
      <c r="L59" s="11" t="n">
        <v>0.361</v>
      </c>
      <c r="M59" s="11" t="n">
        <v>0.722</v>
      </c>
      <c r="N59" s="11" t="n">
        <v>1</v>
      </c>
      <c r="O59" s="11" t="n">
        <v>4.5</v>
      </c>
      <c r="P59" s="11" t="n">
        <v>2.28</v>
      </c>
      <c r="Q59" s="11" t="n">
        <v>17.1</v>
      </c>
      <c r="R59" s="11" t="n">
        <f aca="false">SUM(K59:Q59)</f>
        <v>150.343</v>
      </c>
      <c r="S59" s="11" t="n">
        <f aca="false">R59/(1-Resumo!$C$6)</f>
        <v>170.844318181818</v>
      </c>
      <c r="T59" s="11" t="n">
        <f aca="false">S59-J59</f>
        <v>48.8643181818182</v>
      </c>
      <c r="U59" s="12" t="n">
        <f aca="false">IFERROR(S59/J59-1,0)</f>
        <v>0.400592869173784</v>
      </c>
      <c r="V59" s="2" t="str">
        <f aca="false">IF(S59&lt;J59,"SIM","NÃO")</f>
        <v>NÃO</v>
      </c>
      <c r="W59" s="2" t="n">
        <v>8</v>
      </c>
      <c r="X59" s="2" t="s">
        <v>156</v>
      </c>
    </row>
    <row r="60" customFormat="false" ht="15" hidden="false" customHeight="false" outlineLevel="0" collapsed="false">
      <c r="A60" s="2" t="n">
        <v>355545763</v>
      </c>
      <c r="B60" s="29" t="n">
        <v>46210.3669907407</v>
      </c>
      <c r="C60" s="2" t="s">
        <v>158</v>
      </c>
      <c r="D60" s="2" t="s">
        <v>231</v>
      </c>
      <c r="E60" s="2" t="s">
        <v>78</v>
      </c>
      <c r="F60" s="2" t="s">
        <v>108</v>
      </c>
      <c r="G60" s="30" t="n">
        <v>43.5</v>
      </c>
      <c r="H60" s="11" t="n">
        <v>719.98</v>
      </c>
      <c r="I60" s="11" t="s">
        <v>155</v>
      </c>
      <c r="J60" s="11" t="n">
        <v>104.03</v>
      </c>
      <c r="K60" s="11" t="n">
        <v>93.97</v>
      </c>
      <c r="L60" s="11" t="n">
        <v>0.72</v>
      </c>
      <c r="M60" s="11" t="n">
        <v>1.44</v>
      </c>
      <c r="N60" s="11" t="n">
        <v>1</v>
      </c>
      <c r="O60" s="11" t="n">
        <v>4.5</v>
      </c>
      <c r="P60" s="11" t="n">
        <v>2.64</v>
      </c>
      <c r="Q60" s="11" t="n">
        <v>19.8</v>
      </c>
      <c r="R60" s="11" t="n">
        <f aca="false">SUM(K60:Q60)</f>
        <v>124.07</v>
      </c>
      <c r="S60" s="11" t="n">
        <f aca="false">R60/(1-Resumo!$C$6)</f>
        <v>140.988636363636</v>
      </c>
      <c r="T60" s="11" t="n">
        <f aca="false">S60-J60</f>
        <v>36.9586363636363</v>
      </c>
      <c r="U60" s="12" t="n">
        <f aca="false">IFERROR(S60/J60-1,0)</f>
        <v>0.355269022047836</v>
      </c>
      <c r="V60" s="2" t="str">
        <f aca="false">IF(S60&lt;J60,"SIM","NÃO")</f>
        <v>NÃO</v>
      </c>
      <c r="W60" s="2" t="n">
        <v>5</v>
      </c>
      <c r="X60" s="2" t="s">
        <v>156</v>
      </c>
    </row>
    <row r="61" customFormat="false" ht="15" hidden="false" customHeight="false" outlineLevel="0" collapsed="false">
      <c r="A61" s="2" t="n">
        <v>355590261</v>
      </c>
      <c r="B61" s="29" t="n">
        <v>46210.4490740741</v>
      </c>
      <c r="C61" s="2" t="s">
        <v>178</v>
      </c>
      <c r="D61" s="2" t="s">
        <v>232</v>
      </c>
      <c r="E61" s="2" t="s">
        <v>78</v>
      </c>
      <c r="F61" s="2" t="s">
        <v>108</v>
      </c>
      <c r="G61" s="30" t="n">
        <v>49.6</v>
      </c>
      <c r="H61" s="11" t="n">
        <v>799.99</v>
      </c>
      <c r="I61" s="11" t="s">
        <v>155</v>
      </c>
      <c r="J61" s="11" t="n">
        <v>104.42</v>
      </c>
      <c r="K61" s="11" t="n">
        <v>93.97</v>
      </c>
      <c r="L61" s="11" t="n">
        <v>0.8</v>
      </c>
      <c r="M61" s="11" t="n">
        <v>1.6</v>
      </c>
      <c r="N61" s="11" t="n">
        <v>1</v>
      </c>
      <c r="O61" s="11" t="n">
        <v>4.5</v>
      </c>
      <c r="P61" s="11" t="n">
        <v>3</v>
      </c>
      <c r="Q61" s="11" t="n">
        <v>22.5</v>
      </c>
      <c r="R61" s="11" t="n">
        <f aca="false">SUM(K61:Q61)</f>
        <v>127.37</v>
      </c>
      <c r="S61" s="11" t="n">
        <f aca="false">R61/(1-Resumo!$C$6)</f>
        <v>144.738636363636</v>
      </c>
      <c r="T61" s="11" t="n">
        <f aca="false">S61-J61</f>
        <v>40.3186363636364</v>
      </c>
      <c r="U61" s="12" t="n">
        <f aca="false">IFERROR(S61/J61-1,0)</f>
        <v>0.386119865577824</v>
      </c>
      <c r="V61" s="2" t="str">
        <f aca="false">IF(S61&lt;J61,"SIM","NÃO")</f>
        <v>NÃO</v>
      </c>
      <c r="W61" s="2" t="n">
        <v>5</v>
      </c>
      <c r="X61" s="2" t="s">
        <v>156</v>
      </c>
    </row>
    <row r="62" customFormat="false" ht="15" hidden="false" customHeight="false" outlineLevel="0" collapsed="false">
      <c r="A62" s="2" t="n">
        <v>355619727</v>
      </c>
      <c r="B62" s="29" t="n">
        <v>46210.4503472222</v>
      </c>
      <c r="C62" s="2" t="s">
        <v>153</v>
      </c>
      <c r="D62" s="2" t="s">
        <v>233</v>
      </c>
      <c r="E62" s="2" t="s">
        <v>78</v>
      </c>
      <c r="F62" s="2" t="s">
        <v>114</v>
      </c>
      <c r="G62" s="30" t="n">
        <v>124.2</v>
      </c>
      <c r="H62" s="11" t="n">
        <v>1599.99</v>
      </c>
      <c r="I62" s="11" t="s">
        <v>155</v>
      </c>
      <c r="J62" s="11" t="n">
        <v>233.95</v>
      </c>
      <c r="K62" s="11" t="n">
        <v>239.25</v>
      </c>
      <c r="L62" s="11" t="n">
        <v>1.6</v>
      </c>
      <c r="M62" s="11" t="n">
        <v>3.2</v>
      </c>
      <c r="N62" s="11" t="n">
        <v>1</v>
      </c>
      <c r="O62" s="11" t="n">
        <v>9</v>
      </c>
      <c r="P62" s="11" t="n">
        <v>7.5</v>
      </c>
      <c r="Q62" s="11" t="n">
        <v>56.25</v>
      </c>
      <c r="R62" s="11" t="n">
        <f aca="false">SUM(K62:Q62)</f>
        <v>317.8</v>
      </c>
      <c r="S62" s="11" t="n">
        <f aca="false">R62/(1-Resumo!$C$6)</f>
        <v>361.136363636364</v>
      </c>
      <c r="T62" s="11" t="n">
        <f aca="false">S62-J62</f>
        <v>127.186363636364</v>
      </c>
      <c r="U62" s="12" t="n">
        <f aca="false">IFERROR(S62/J62-1,0)</f>
        <v>0.543647632555519</v>
      </c>
      <c r="V62" s="2" t="str">
        <f aca="false">IF(S62&lt;J62,"SIM","NÃO")</f>
        <v>NÃO</v>
      </c>
      <c r="W62" s="2" t="n">
        <v>5</v>
      </c>
      <c r="X62" s="2" t="s">
        <v>156</v>
      </c>
    </row>
    <row r="63" customFormat="false" ht="15" hidden="false" customHeight="false" outlineLevel="0" collapsed="false">
      <c r="A63" s="2" t="n">
        <v>355638083</v>
      </c>
      <c r="B63" s="29" t="n">
        <v>46210.4725231482</v>
      </c>
      <c r="C63" s="2" t="s">
        <v>153</v>
      </c>
      <c r="D63" s="2" t="s">
        <v>234</v>
      </c>
      <c r="E63" s="2" t="s">
        <v>78</v>
      </c>
      <c r="F63" s="2" t="s">
        <v>110</v>
      </c>
      <c r="G63" s="30" t="n">
        <v>62.8</v>
      </c>
      <c r="H63" s="11" t="n">
        <v>754.99</v>
      </c>
      <c r="I63" s="11" t="s">
        <v>155</v>
      </c>
      <c r="J63" s="11" t="n">
        <v>124.83</v>
      </c>
      <c r="K63" s="11" t="n">
        <v>131.02</v>
      </c>
      <c r="L63" s="11" t="n">
        <v>0.755</v>
      </c>
      <c r="M63" s="11" t="n">
        <v>1.51</v>
      </c>
      <c r="N63" s="11" t="n">
        <v>1</v>
      </c>
      <c r="O63" s="11" t="n">
        <v>4.5</v>
      </c>
      <c r="P63" s="11" t="n">
        <v>3.78</v>
      </c>
      <c r="Q63" s="11" t="n">
        <v>28.35</v>
      </c>
      <c r="R63" s="11" t="n">
        <f aca="false">SUM(K63:Q63)</f>
        <v>170.915</v>
      </c>
      <c r="S63" s="11" t="n">
        <f aca="false">R63/(1-Resumo!$C$6)</f>
        <v>194.221590909091</v>
      </c>
      <c r="T63" s="11" t="n">
        <f aca="false">S63-J63</f>
        <v>69.3915909090909</v>
      </c>
      <c r="U63" s="12" t="n">
        <f aca="false">IFERROR(S63/J63-1,0)</f>
        <v>0.555888735953624</v>
      </c>
      <c r="V63" s="2" t="str">
        <f aca="false">IF(S63&lt;J63,"SIM","NÃO")</f>
        <v>NÃO</v>
      </c>
      <c r="W63" s="2" t="n">
        <v>5</v>
      </c>
      <c r="X63" s="2" t="s">
        <v>156</v>
      </c>
    </row>
    <row r="64" customFormat="false" ht="15" hidden="false" customHeight="false" outlineLevel="0" collapsed="false">
      <c r="A64" s="2" t="n">
        <v>355650394</v>
      </c>
      <c r="B64" s="29" t="n">
        <v>46210.4872569444</v>
      </c>
      <c r="C64" s="2" t="s">
        <v>153</v>
      </c>
      <c r="D64" s="2" t="s">
        <v>157</v>
      </c>
      <c r="E64" s="2" t="s">
        <v>78</v>
      </c>
      <c r="F64" s="2" t="s">
        <v>106</v>
      </c>
      <c r="G64" s="30" t="n">
        <v>27.4</v>
      </c>
      <c r="H64" s="11" t="n">
        <v>324.99</v>
      </c>
      <c r="I64" s="11" t="s">
        <v>155</v>
      </c>
      <c r="J64" s="11" t="n">
        <v>81.89</v>
      </c>
      <c r="K64" s="11" t="n">
        <v>82.21</v>
      </c>
      <c r="L64" s="11" t="n">
        <v>0.325</v>
      </c>
      <c r="M64" s="11" t="n">
        <v>0.65</v>
      </c>
      <c r="N64" s="11" t="n">
        <v>1</v>
      </c>
      <c r="O64" s="11" t="n">
        <v>4.5</v>
      </c>
      <c r="P64" s="11" t="n">
        <v>1.68</v>
      </c>
      <c r="Q64" s="11" t="n">
        <v>12.6</v>
      </c>
      <c r="R64" s="11" t="n">
        <f aca="false">SUM(K64:Q64)</f>
        <v>102.965</v>
      </c>
      <c r="S64" s="11" t="n">
        <f aca="false">R64/(1-Resumo!$C$6)</f>
        <v>117.005681818182</v>
      </c>
      <c r="T64" s="11" t="n">
        <f aca="false">S64-J64</f>
        <v>35.1156818181818</v>
      </c>
      <c r="U64" s="12" t="n">
        <f aca="false">IFERROR(S64/J64-1,0)</f>
        <v>0.428815262158772</v>
      </c>
      <c r="V64" s="2" t="str">
        <f aca="false">IF(S64&lt;J64,"SIM","NÃO")</f>
        <v>NÃO</v>
      </c>
      <c r="W64" s="2" t="n">
        <v>5</v>
      </c>
      <c r="X64" s="2" t="s">
        <v>156</v>
      </c>
    </row>
    <row r="65" customFormat="false" ht="15" hidden="false" customHeight="false" outlineLevel="0" collapsed="false">
      <c r="A65" s="2" t="n">
        <v>355698364</v>
      </c>
      <c r="B65" s="29" t="n">
        <v>46210.5409259259</v>
      </c>
      <c r="C65" s="2" t="s">
        <v>153</v>
      </c>
      <c r="D65" s="2" t="s">
        <v>235</v>
      </c>
      <c r="E65" s="2" t="s">
        <v>78</v>
      </c>
      <c r="F65" s="2" t="s">
        <v>107</v>
      </c>
      <c r="G65" s="30" t="n">
        <v>38.6</v>
      </c>
      <c r="H65" s="11" t="n">
        <v>533.99</v>
      </c>
      <c r="I65" s="11" t="s">
        <v>155</v>
      </c>
      <c r="J65" s="11" t="n">
        <v>92.42</v>
      </c>
      <c r="K65" s="11" t="n">
        <v>93.97</v>
      </c>
      <c r="L65" s="11" t="n">
        <v>0.534</v>
      </c>
      <c r="M65" s="11" t="n">
        <v>1.068</v>
      </c>
      <c r="N65" s="11" t="n">
        <v>1</v>
      </c>
      <c r="O65" s="11" t="n">
        <v>4.5</v>
      </c>
      <c r="P65" s="11" t="n">
        <v>2.34</v>
      </c>
      <c r="Q65" s="11" t="n">
        <v>17.55</v>
      </c>
      <c r="R65" s="11" t="n">
        <f aca="false">SUM(K65:Q65)</f>
        <v>120.962</v>
      </c>
      <c r="S65" s="11" t="n">
        <f aca="false">R65/(1-Resumo!$C$6)</f>
        <v>137.456818181818</v>
      </c>
      <c r="T65" s="11" t="n">
        <f aca="false">S65-J65</f>
        <v>45.0368181818182</v>
      </c>
      <c r="U65" s="12" t="n">
        <f aca="false">IFERROR(S65/J65-1,0)</f>
        <v>0.487305974700478</v>
      </c>
      <c r="V65" s="2" t="str">
        <f aca="false">IF(S65&lt;J65,"SIM","NÃO")</f>
        <v>NÃO</v>
      </c>
      <c r="W65" s="2" t="n">
        <v>5</v>
      </c>
      <c r="X65" s="2" t="s">
        <v>156</v>
      </c>
    </row>
    <row r="66" customFormat="false" ht="15" hidden="false" customHeight="false" outlineLevel="0" collapsed="false">
      <c r="A66" s="2" t="n">
        <v>355720491</v>
      </c>
      <c r="B66" s="29" t="n">
        <v>46210.5655439815</v>
      </c>
      <c r="C66" s="2" t="s">
        <v>158</v>
      </c>
      <c r="D66" s="2" t="s">
        <v>236</v>
      </c>
      <c r="E66" s="2" t="s">
        <v>78</v>
      </c>
      <c r="F66" s="2" t="s">
        <v>114</v>
      </c>
      <c r="G66" s="30" t="n">
        <v>124.2</v>
      </c>
      <c r="H66" s="11" t="n">
        <v>1589.99</v>
      </c>
      <c r="I66" s="11" t="s">
        <v>155</v>
      </c>
      <c r="J66" s="11" t="n">
        <v>233.91</v>
      </c>
      <c r="K66" s="11" t="n">
        <v>239.25</v>
      </c>
      <c r="L66" s="11" t="n">
        <v>1.59</v>
      </c>
      <c r="M66" s="11" t="n">
        <v>3.18</v>
      </c>
      <c r="N66" s="11" t="n">
        <v>1</v>
      </c>
      <c r="O66" s="11" t="n">
        <v>9</v>
      </c>
      <c r="P66" s="11" t="n">
        <v>7.5</v>
      </c>
      <c r="Q66" s="11" t="n">
        <v>56.25</v>
      </c>
      <c r="R66" s="11" t="n">
        <f aca="false">SUM(K66:Q66)</f>
        <v>317.77</v>
      </c>
      <c r="S66" s="11" t="n">
        <f aca="false">R66/(1-Resumo!$C$6)</f>
        <v>361.102272727273</v>
      </c>
      <c r="T66" s="11" t="n">
        <f aca="false">S66-J66</f>
        <v>127.192272727273</v>
      </c>
      <c r="U66" s="12" t="n">
        <f aca="false">IFERROR(S66/J66-1,0)</f>
        <v>0.543765861772787</v>
      </c>
      <c r="V66" s="2" t="str">
        <f aca="false">IF(S66&lt;J66,"SIM","NÃO")</f>
        <v>NÃO</v>
      </c>
      <c r="W66" s="2" t="n">
        <v>5</v>
      </c>
      <c r="X66" s="2" t="s">
        <v>156</v>
      </c>
    </row>
    <row r="67" customFormat="false" ht="15" hidden="false" customHeight="false" outlineLevel="0" collapsed="false">
      <c r="A67" s="2" t="n">
        <v>355770761</v>
      </c>
      <c r="B67" s="29" t="n">
        <v>46210.6278819444</v>
      </c>
      <c r="C67" s="2" t="s">
        <v>153</v>
      </c>
      <c r="D67" s="2" t="s">
        <v>237</v>
      </c>
      <c r="E67" s="2" t="s">
        <v>82</v>
      </c>
      <c r="F67" s="2" t="s">
        <v>108</v>
      </c>
      <c r="G67" s="30" t="n">
        <v>46.8</v>
      </c>
      <c r="H67" s="11" t="n">
        <v>506.99</v>
      </c>
      <c r="I67" s="11" t="s">
        <v>155</v>
      </c>
      <c r="J67" s="11" t="n">
        <v>116.49</v>
      </c>
      <c r="K67" s="11" t="n">
        <v>114.95</v>
      </c>
      <c r="L67" s="11" t="n">
        <v>0.507</v>
      </c>
      <c r="M67" s="11" t="n">
        <v>1.014</v>
      </c>
      <c r="N67" s="11" t="n">
        <v>1</v>
      </c>
      <c r="O67" s="11" t="n">
        <v>4.5</v>
      </c>
      <c r="P67" s="11" t="n">
        <v>2.82</v>
      </c>
      <c r="Q67" s="11" t="n">
        <v>21.15</v>
      </c>
      <c r="R67" s="11" t="n">
        <f aca="false">SUM(K67:Q67)</f>
        <v>145.941</v>
      </c>
      <c r="S67" s="11" t="n">
        <f aca="false">R67/(1-Resumo!$C$6)</f>
        <v>165.842045454545</v>
      </c>
      <c r="T67" s="11" t="n">
        <f aca="false">S67-J67</f>
        <v>49.3520454545455</v>
      </c>
      <c r="U67" s="12" t="n">
        <f aca="false">IFERROR(S67/J67-1,0)</f>
        <v>0.423659073350034</v>
      </c>
      <c r="V67" s="2" t="str">
        <f aca="false">IF(S67&lt;J67,"SIM","NÃO")</f>
        <v>NÃO</v>
      </c>
      <c r="W67" s="2" t="n">
        <v>7</v>
      </c>
      <c r="X67" s="2" t="s">
        <v>156</v>
      </c>
    </row>
    <row r="68" customFormat="false" ht="15" hidden="false" customHeight="false" outlineLevel="0" collapsed="false">
      <c r="A68" s="2" t="n">
        <v>355853086</v>
      </c>
      <c r="B68" s="29" t="n">
        <v>46210.7418981482</v>
      </c>
      <c r="C68" s="2" t="s">
        <v>158</v>
      </c>
      <c r="D68" s="2" t="s">
        <v>238</v>
      </c>
      <c r="E68" s="2" t="s">
        <v>239</v>
      </c>
      <c r="F68" s="2" t="s">
        <v>112</v>
      </c>
      <c r="G68" s="30" t="n">
        <v>97.5</v>
      </c>
      <c r="H68" s="11" t="n">
        <v>1259.98</v>
      </c>
      <c r="I68" s="11" t="s">
        <v>155</v>
      </c>
      <c r="J68" s="11" t="n">
        <v>194.64</v>
      </c>
      <c r="K68" s="11" t="n">
        <v>197.35</v>
      </c>
      <c r="L68" s="11" t="n">
        <v>1.26</v>
      </c>
      <c r="M68" s="11" t="n">
        <v>2.52</v>
      </c>
      <c r="N68" s="11" t="n">
        <v>1</v>
      </c>
      <c r="O68" s="11" t="n">
        <v>4.5</v>
      </c>
      <c r="P68" s="11" t="n">
        <v>5.88</v>
      </c>
      <c r="Q68" s="11" t="n">
        <v>44.1</v>
      </c>
      <c r="R68" s="11" t="n">
        <f aca="false">SUM(K68:Q68)</f>
        <v>256.61</v>
      </c>
      <c r="S68" s="11" t="n">
        <f aca="false">R68/(1-Resumo!$C$6)</f>
        <v>291.602272727273</v>
      </c>
      <c r="T68" s="11" t="n">
        <f aca="false">S68-J68</f>
        <v>96.9622727272728</v>
      </c>
      <c r="U68" s="12" t="n">
        <f aca="false">IFERROR(S68/J68-1,0)</f>
        <v>0.498162108134365</v>
      </c>
      <c r="V68" s="2" t="str">
        <f aca="false">IF(S68&lt;J68,"SIM","NÃO")</f>
        <v>NÃO</v>
      </c>
      <c r="W68" s="2" t="n">
        <v>10</v>
      </c>
      <c r="X68" s="2" t="s">
        <v>161</v>
      </c>
    </row>
    <row r="69" customFormat="false" ht="15" hidden="false" customHeight="false" outlineLevel="0" collapsed="false">
      <c r="A69" s="2" t="n">
        <v>355868804</v>
      </c>
      <c r="B69" s="29" t="n">
        <v>46210.7628472222</v>
      </c>
      <c r="C69" s="2" t="s">
        <v>153</v>
      </c>
      <c r="D69" s="2" t="s">
        <v>240</v>
      </c>
      <c r="E69" s="2" t="s">
        <v>86</v>
      </c>
      <c r="F69" s="2" t="s">
        <v>108</v>
      </c>
      <c r="G69" s="30" t="n">
        <v>48.53</v>
      </c>
      <c r="H69" s="11" t="n">
        <v>529.99</v>
      </c>
      <c r="I69" s="11" t="s">
        <v>155</v>
      </c>
      <c r="J69" s="11" t="n">
        <v>116.61</v>
      </c>
      <c r="K69" s="11" t="n">
        <v>93.97</v>
      </c>
      <c r="L69" s="11" t="n">
        <v>0.53</v>
      </c>
      <c r="M69" s="11" t="n">
        <v>1.06</v>
      </c>
      <c r="N69" s="11" t="n">
        <v>1</v>
      </c>
      <c r="O69" s="11" t="n">
        <v>4.5</v>
      </c>
      <c r="P69" s="11" t="n">
        <v>2.94</v>
      </c>
      <c r="Q69" s="11" t="n">
        <v>22.05</v>
      </c>
      <c r="R69" s="11" t="n">
        <f aca="false">SUM(K69:Q69)</f>
        <v>126.05</v>
      </c>
      <c r="S69" s="11" t="n">
        <f aca="false">R69/(1-Resumo!$C$6)</f>
        <v>143.238636363636</v>
      </c>
      <c r="T69" s="11" t="n">
        <f aca="false">S69-J69</f>
        <v>26.6286363636363</v>
      </c>
      <c r="U69" s="12" t="n">
        <f aca="false">IFERROR(S69/J69-1,0)</f>
        <v>0.228356370496839</v>
      </c>
      <c r="V69" s="2" t="str">
        <f aca="false">IF(S69&lt;J69,"SIM","NÃO")</f>
        <v>NÃO</v>
      </c>
      <c r="W69" s="2" t="n">
        <v>5</v>
      </c>
      <c r="X69" s="2" t="s">
        <v>156</v>
      </c>
    </row>
    <row r="70" customFormat="false" ht="15" hidden="false" customHeight="false" outlineLevel="0" collapsed="false">
      <c r="A70" s="2" t="n">
        <v>355908969</v>
      </c>
      <c r="B70" s="29" t="n">
        <v>46210.815462963</v>
      </c>
      <c r="C70" s="2" t="s">
        <v>153</v>
      </c>
      <c r="D70" s="2" t="s">
        <v>241</v>
      </c>
      <c r="E70" s="2" t="s">
        <v>242</v>
      </c>
      <c r="F70" s="2" t="s">
        <v>110</v>
      </c>
      <c r="G70" s="30" t="n">
        <v>63.9</v>
      </c>
      <c r="H70" s="11" t="n">
        <v>735.99</v>
      </c>
      <c r="I70" s="11" t="s">
        <v>155</v>
      </c>
      <c r="J70" s="11" t="n">
        <v>155.55</v>
      </c>
      <c r="K70" s="11" t="n">
        <v>166.05</v>
      </c>
      <c r="L70" s="11" t="n">
        <v>0.736</v>
      </c>
      <c r="M70" s="11" t="n">
        <v>1.472</v>
      </c>
      <c r="N70" s="11" t="n">
        <v>1</v>
      </c>
      <c r="O70" s="11" t="n">
        <v>4.5</v>
      </c>
      <c r="P70" s="11" t="n">
        <v>3.84</v>
      </c>
      <c r="Q70" s="11" t="n">
        <v>28.8</v>
      </c>
      <c r="R70" s="11" t="n">
        <f aca="false">SUM(K70:Q70)</f>
        <v>206.398</v>
      </c>
      <c r="S70" s="11" t="n">
        <f aca="false">R70/(1-Resumo!$C$6)</f>
        <v>234.543181818182</v>
      </c>
      <c r="T70" s="11" t="n">
        <f aca="false">S70-J70</f>
        <v>78.9931818181818</v>
      </c>
      <c r="U70" s="12" t="n">
        <f aca="false">IFERROR(S70/J70-1,0)</f>
        <v>0.507831448525759</v>
      </c>
      <c r="V70" s="2" t="str">
        <f aca="false">IF(S70&lt;J70,"SIM","NÃO")</f>
        <v>NÃO</v>
      </c>
      <c r="W70" s="2" t="n">
        <v>8</v>
      </c>
      <c r="X70" s="2" t="s">
        <v>161</v>
      </c>
    </row>
    <row r="71" customFormat="false" ht="15" hidden="false" customHeight="false" outlineLevel="0" collapsed="false">
      <c r="A71" s="2" t="n">
        <v>355920640</v>
      </c>
      <c r="B71" s="29" t="n">
        <v>46210.8305439815</v>
      </c>
      <c r="C71" s="2" t="s">
        <v>153</v>
      </c>
      <c r="D71" s="2" t="s">
        <v>243</v>
      </c>
      <c r="E71" s="2" t="s">
        <v>78</v>
      </c>
      <c r="F71" s="2" t="s">
        <v>113</v>
      </c>
      <c r="G71" s="30" t="n">
        <v>117.5</v>
      </c>
      <c r="H71" s="11" t="n">
        <v>1349.99</v>
      </c>
      <c r="I71" s="11" t="s">
        <v>155</v>
      </c>
      <c r="J71" s="11" t="n">
        <v>186.11</v>
      </c>
      <c r="K71" s="11" t="n">
        <v>201.59</v>
      </c>
      <c r="L71" s="11" t="n">
        <v>1.35</v>
      </c>
      <c r="M71" s="11" t="n">
        <v>2.7</v>
      </c>
      <c r="N71" s="11" t="n">
        <v>1</v>
      </c>
      <c r="O71" s="11" t="n">
        <v>9</v>
      </c>
      <c r="P71" s="11" t="n">
        <v>7.08</v>
      </c>
      <c r="Q71" s="11" t="n">
        <v>53.1</v>
      </c>
      <c r="R71" s="11" t="n">
        <f aca="false">SUM(K71:Q71)</f>
        <v>275.82</v>
      </c>
      <c r="S71" s="11" t="n">
        <f aca="false">R71/(1-Resumo!$C$6)</f>
        <v>313.431818181818</v>
      </c>
      <c r="T71" s="11" t="n">
        <f aca="false">S71-J71</f>
        <v>127.321818181818</v>
      </c>
      <c r="U71" s="12" t="n">
        <f aca="false">IFERROR(S71/J71-1,0)</f>
        <v>0.684121316328076</v>
      </c>
      <c r="V71" s="2" t="str">
        <f aca="false">IF(S71&lt;J71,"SIM","NÃO")</f>
        <v>NÃO</v>
      </c>
      <c r="W71" s="2" t="n">
        <v>5</v>
      </c>
      <c r="X71" s="2" t="s">
        <v>156</v>
      </c>
    </row>
    <row r="72" customFormat="false" ht="15" hidden="false" customHeight="false" outlineLevel="0" collapsed="false">
      <c r="A72" s="2" t="n">
        <v>355945705</v>
      </c>
      <c r="B72" s="29" t="n">
        <v>46210.8583796296</v>
      </c>
      <c r="C72" s="2" t="s">
        <v>153</v>
      </c>
      <c r="D72" s="2" t="s">
        <v>244</v>
      </c>
      <c r="E72" s="2" t="s">
        <v>78</v>
      </c>
      <c r="F72" s="2" t="s">
        <v>109</v>
      </c>
      <c r="G72" s="30" t="n">
        <v>51.3</v>
      </c>
      <c r="H72" s="11" t="n">
        <v>588.99</v>
      </c>
      <c r="I72" s="11" t="s">
        <v>155</v>
      </c>
      <c r="J72" s="11" t="n">
        <v>113.98</v>
      </c>
      <c r="K72" s="11" t="n">
        <v>112.3</v>
      </c>
      <c r="L72" s="11" t="n">
        <v>0.589</v>
      </c>
      <c r="M72" s="11" t="n">
        <v>1.178</v>
      </c>
      <c r="N72" s="11" t="n">
        <v>1</v>
      </c>
      <c r="O72" s="11" t="n">
        <v>4.5</v>
      </c>
      <c r="P72" s="11" t="n">
        <v>3.12</v>
      </c>
      <c r="Q72" s="11" t="n">
        <v>23.4</v>
      </c>
      <c r="R72" s="11" t="n">
        <f aca="false">SUM(K72:Q72)</f>
        <v>146.087</v>
      </c>
      <c r="S72" s="11" t="n">
        <f aca="false">R72/(1-Resumo!$C$6)</f>
        <v>166.007954545455</v>
      </c>
      <c r="T72" s="11" t="n">
        <f aca="false">S72-J72</f>
        <v>52.0279545454545</v>
      </c>
      <c r="U72" s="12" t="n">
        <f aca="false">IFERROR(S72/J72-1,0)</f>
        <v>0.456465647880808</v>
      </c>
      <c r="V72" s="2" t="str">
        <f aca="false">IF(S72&lt;J72,"SIM","NÃO")</f>
        <v>NÃO</v>
      </c>
      <c r="W72" s="2" t="n">
        <v>5</v>
      </c>
      <c r="X72" s="2" t="s">
        <v>156</v>
      </c>
    </row>
    <row r="73" customFormat="false" ht="15" hidden="false" customHeight="false" outlineLevel="0" collapsed="false">
      <c r="A73" s="2" t="n">
        <v>355975114</v>
      </c>
      <c r="B73" s="29" t="n">
        <v>46210.8920486111</v>
      </c>
      <c r="C73" s="2" t="s">
        <v>153</v>
      </c>
      <c r="D73" s="2" t="s">
        <v>245</v>
      </c>
      <c r="E73" s="2" t="s">
        <v>78</v>
      </c>
      <c r="F73" s="2" t="s">
        <v>111</v>
      </c>
      <c r="G73" s="30" t="n">
        <v>71.9</v>
      </c>
      <c r="H73" s="11" t="n">
        <v>736.99</v>
      </c>
      <c r="I73" s="11" t="s">
        <v>155</v>
      </c>
      <c r="J73" s="11" t="n">
        <v>136</v>
      </c>
      <c r="K73" s="11" t="n">
        <v>134.39</v>
      </c>
      <c r="L73" s="11" t="n">
        <v>0.737</v>
      </c>
      <c r="M73" s="11" t="n">
        <v>1.474</v>
      </c>
      <c r="N73" s="11" t="n">
        <v>1</v>
      </c>
      <c r="O73" s="11" t="n">
        <v>4.5</v>
      </c>
      <c r="P73" s="11" t="n">
        <v>4.32</v>
      </c>
      <c r="Q73" s="11" t="n">
        <v>32.4</v>
      </c>
      <c r="R73" s="11" t="n">
        <f aca="false">SUM(K73:Q73)</f>
        <v>178.821</v>
      </c>
      <c r="S73" s="11" t="n">
        <f aca="false">R73/(1-Resumo!$C$6)</f>
        <v>203.205681818182</v>
      </c>
      <c r="T73" s="11" t="n">
        <f aca="false">S73-J73</f>
        <v>67.2056818181818</v>
      </c>
      <c r="U73" s="12" t="n">
        <f aca="false">IFERROR(S73/J73-1,0)</f>
        <v>0.49415942513369</v>
      </c>
      <c r="V73" s="2" t="str">
        <f aca="false">IF(S73&lt;J73,"SIM","NÃO")</f>
        <v>NÃO</v>
      </c>
      <c r="W73" s="2" t="n">
        <v>5</v>
      </c>
      <c r="X73" s="2" t="s">
        <v>156</v>
      </c>
    </row>
    <row r="74" customFormat="false" ht="15" hidden="false" customHeight="false" outlineLevel="0" collapsed="false">
      <c r="A74" s="2" t="n">
        <v>355992436</v>
      </c>
      <c r="B74" s="29" t="n">
        <v>46210.9125231481</v>
      </c>
      <c r="C74" s="2" t="s">
        <v>153</v>
      </c>
      <c r="D74" s="2" t="s">
        <v>246</v>
      </c>
      <c r="E74" s="2" t="s">
        <v>81</v>
      </c>
      <c r="F74" s="2" t="s">
        <v>111</v>
      </c>
      <c r="G74" s="30" t="n">
        <v>71.9</v>
      </c>
      <c r="H74" s="11" t="n">
        <v>736.99</v>
      </c>
      <c r="I74" s="11" t="s">
        <v>155</v>
      </c>
      <c r="J74" s="11" t="n">
        <v>151.52</v>
      </c>
      <c r="K74" s="11" t="n">
        <v>134.39</v>
      </c>
      <c r="L74" s="11" t="n">
        <v>0.737</v>
      </c>
      <c r="M74" s="11" t="n">
        <v>1.474</v>
      </c>
      <c r="N74" s="11" t="n">
        <v>1</v>
      </c>
      <c r="O74" s="11" t="n">
        <v>4.5</v>
      </c>
      <c r="P74" s="11" t="n">
        <v>4.32</v>
      </c>
      <c r="Q74" s="11" t="n">
        <v>32.4</v>
      </c>
      <c r="R74" s="11" t="n">
        <f aca="false">SUM(K74:Q74)</f>
        <v>178.821</v>
      </c>
      <c r="S74" s="11" t="n">
        <f aca="false">R74/(1-Resumo!$C$6)</f>
        <v>203.205681818182</v>
      </c>
      <c r="T74" s="11" t="n">
        <f aca="false">S74-J74</f>
        <v>51.6856818181818</v>
      </c>
      <c r="U74" s="12" t="n">
        <f aca="false">IFERROR(S74/J74-1,0)</f>
        <v>0.341114584333301</v>
      </c>
      <c r="V74" s="2" t="str">
        <f aca="false">IF(S74&lt;J74,"SIM","NÃO")</f>
        <v>NÃO</v>
      </c>
      <c r="W74" s="2" t="n">
        <v>5</v>
      </c>
      <c r="X74" s="2" t="s">
        <v>156</v>
      </c>
    </row>
    <row r="75" customFormat="false" ht="15" hidden="false" customHeight="false" outlineLevel="0" collapsed="false">
      <c r="A75" s="2" t="n">
        <v>356008930</v>
      </c>
      <c r="B75" s="29" t="n">
        <v>46210.9358912037</v>
      </c>
      <c r="C75" s="2" t="s">
        <v>191</v>
      </c>
      <c r="D75" s="2" t="s">
        <v>247</v>
      </c>
      <c r="E75" s="2" t="s">
        <v>78</v>
      </c>
      <c r="F75" s="2" t="s">
        <v>107</v>
      </c>
      <c r="G75" s="30" t="n">
        <v>40</v>
      </c>
      <c r="H75" s="11" t="n">
        <v>479.99</v>
      </c>
      <c r="I75" s="11" t="s">
        <v>155</v>
      </c>
      <c r="J75" s="11" t="n">
        <v>92.16</v>
      </c>
      <c r="K75" s="11" t="n">
        <v>93.97</v>
      </c>
      <c r="L75" s="11" t="n">
        <v>0.48</v>
      </c>
      <c r="M75" s="11" t="n">
        <v>0.96</v>
      </c>
      <c r="N75" s="11" t="n">
        <v>1</v>
      </c>
      <c r="O75" s="11" t="n">
        <v>4.5</v>
      </c>
      <c r="P75" s="11" t="n">
        <v>2.4</v>
      </c>
      <c r="Q75" s="11" t="n">
        <v>18</v>
      </c>
      <c r="R75" s="11" t="n">
        <f aca="false">SUM(K75:Q75)</f>
        <v>121.31</v>
      </c>
      <c r="S75" s="11" t="n">
        <f aca="false">R75/(1-Resumo!$C$6)</f>
        <v>137.852272727273</v>
      </c>
      <c r="T75" s="11" t="n">
        <f aca="false">S75-J75</f>
        <v>45.6922727272727</v>
      </c>
      <c r="U75" s="12" t="n">
        <f aca="false">IFERROR(S75/J75-1,0)</f>
        <v>0.495792889835859</v>
      </c>
      <c r="V75" s="2" t="str">
        <f aca="false">IF(S75&lt;J75,"SIM","NÃO")</f>
        <v>NÃO</v>
      </c>
      <c r="W75" s="2" t="n">
        <v>5</v>
      </c>
      <c r="X75" s="2" t="s">
        <v>156</v>
      </c>
    </row>
    <row r="76" customFormat="false" ht="15" hidden="false" customHeight="false" outlineLevel="0" collapsed="false">
      <c r="A76" s="2" t="n">
        <v>356017356</v>
      </c>
      <c r="B76" s="29" t="n">
        <v>46210.9434259259</v>
      </c>
      <c r="C76" s="2" t="s">
        <v>153</v>
      </c>
      <c r="D76" s="2" t="s">
        <v>248</v>
      </c>
      <c r="E76" s="2" t="s">
        <v>78</v>
      </c>
      <c r="F76" s="2" t="s">
        <v>107</v>
      </c>
      <c r="G76" s="30" t="n">
        <v>39.8</v>
      </c>
      <c r="H76" s="11" t="n">
        <v>449.99</v>
      </c>
      <c r="I76" s="11" t="s">
        <v>155</v>
      </c>
      <c r="J76" s="11" t="n">
        <v>92.01</v>
      </c>
      <c r="K76" s="11" t="n">
        <v>93.97</v>
      </c>
      <c r="L76" s="11" t="n">
        <v>0.45</v>
      </c>
      <c r="M76" s="11" t="n">
        <v>0.9</v>
      </c>
      <c r="N76" s="11" t="n">
        <v>1</v>
      </c>
      <c r="O76" s="11" t="n">
        <v>4.5</v>
      </c>
      <c r="P76" s="11" t="n">
        <v>2.4</v>
      </c>
      <c r="Q76" s="11" t="n">
        <v>18</v>
      </c>
      <c r="R76" s="11" t="n">
        <f aca="false">SUM(K76:Q76)</f>
        <v>121.22</v>
      </c>
      <c r="S76" s="11" t="n">
        <f aca="false">R76/(1-Resumo!$C$6)</f>
        <v>137.75</v>
      </c>
      <c r="T76" s="11" t="n">
        <f aca="false">S76-J76</f>
        <v>45.74</v>
      </c>
      <c r="U76" s="12" t="n">
        <f aca="false">IFERROR(S76/J76-1,0)</f>
        <v>0.497119878274101</v>
      </c>
      <c r="V76" s="2" t="str">
        <f aca="false">IF(S76&lt;J76,"SIM","NÃO")</f>
        <v>NÃO</v>
      </c>
      <c r="W76" s="2" t="n">
        <v>5</v>
      </c>
      <c r="X76" s="2" t="s">
        <v>156</v>
      </c>
    </row>
    <row r="77" customFormat="false" ht="15" hidden="false" customHeight="false" outlineLevel="0" collapsed="false">
      <c r="A77" s="2" t="n">
        <v>356041263</v>
      </c>
      <c r="B77" s="29" t="n">
        <v>46210.9771527778</v>
      </c>
      <c r="C77" s="2" t="s">
        <v>158</v>
      </c>
      <c r="D77" s="2" t="s">
        <v>249</v>
      </c>
      <c r="E77" s="2" t="s">
        <v>78</v>
      </c>
      <c r="F77" s="2" t="s">
        <v>114</v>
      </c>
      <c r="G77" s="30" t="n">
        <v>124.2</v>
      </c>
      <c r="H77" s="11" t="n">
        <v>1799.98</v>
      </c>
      <c r="I77" s="11" t="s">
        <v>155</v>
      </c>
      <c r="J77" s="11" t="n">
        <v>234.92</v>
      </c>
      <c r="K77" s="11" t="n">
        <v>239.25</v>
      </c>
      <c r="L77" s="11" t="n">
        <v>1.8</v>
      </c>
      <c r="M77" s="11" t="n">
        <v>3.6</v>
      </c>
      <c r="N77" s="11" t="n">
        <v>1</v>
      </c>
      <c r="O77" s="11" t="n">
        <v>9</v>
      </c>
      <c r="P77" s="11" t="n">
        <v>7.5</v>
      </c>
      <c r="Q77" s="11" t="n">
        <v>56.25</v>
      </c>
      <c r="R77" s="11" t="n">
        <f aca="false">SUM(K77:Q77)</f>
        <v>318.4</v>
      </c>
      <c r="S77" s="11" t="n">
        <f aca="false">R77/(1-Resumo!$C$6)</f>
        <v>361.818181818182</v>
      </c>
      <c r="T77" s="11" t="n">
        <f aca="false">S77-J77</f>
        <v>126.898181818182</v>
      </c>
      <c r="U77" s="12" t="n">
        <f aca="false">IFERROR(S77/J77-1,0)</f>
        <v>0.540176152810241</v>
      </c>
      <c r="V77" s="2" t="str">
        <f aca="false">IF(S77&lt;J77,"SIM","NÃO")</f>
        <v>NÃO</v>
      </c>
      <c r="W77" s="2" t="n">
        <v>5</v>
      </c>
      <c r="X77" s="2" t="s">
        <v>156</v>
      </c>
    </row>
    <row r="78" customFormat="false" ht="15" hidden="false" customHeight="false" outlineLevel="0" collapsed="false">
      <c r="A78" s="2" t="n">
        <v>356043364</v>
      </c>
      <c r="B78" s="29" t="n">
        <v>46210.9803935185</v>
      </c>
      <c r="C78" s="2" t="s">
        <v>153</v>
      </c>
      <c r="D78" s="2" t="s">
        <v>250</v>
      </c>
      <c r="E78" s="2" t="s">
        <v>90</v>
      </c>
      <c r="F78" s="2" t="s">
        <v>114</v>
      </c>
      <c r="G78" s="30" t="n">
        <v>146</v>
      </c>
      <c r="H78" s="11" t="n">
        <v>2699.99</v>
      </c>
      <c r="I78" s="11" t="s">
        <v>155</v>
      </c>
      <c r="J78" s="11" t="n">
        <v>266.23</v>
      </c>
      <c r="K78" s="11" t="n">
        <v>249.03</v>
      </c>
      <c r="L78" s="11" t="n">
        <v>2.7</v>
      </c>
      <c r="M78" s="11" t="n">
        <v>5.4</v>
      </c>
      <c r="N78" s="11" t="n">
        <v>1</v>
      </c>
      <c r="O78" s="11" t="n">
        <v>9</v>
      </c>
      <c r="P78" s="11" t="n">
        <v>8.76</v>
      </c>
      <c r="Q78" s="11" t="n">
        <v>65.7</v>
      </c>
      <c r="R78" s="11" t="n">
        <f aca="false">SUM(K78:Q78)</f>
        <v>341.59</v>
      </c>
      <c r="S78" s="11" t="n">
        <f aca="false">R78/(1-Resumo!$C$6)</f>
        <v>388.170454545455</v>
      </c>
      <c r="T78" s="11" t="n">
        <f aca="false">S78-J78</f>
        <v>121.940454545454</v>
      </c>
      <c r="U78" s="12" t="n">
        <f aca="false">IFERROR(S78/J78-1,0)</f>
        <v>0.458026723304866</v>
      </c>
      <c r="V78" s="2" t="str">
        <f aca="false">IF(S78&lt;J78,"SIM","NÃO")</f>
        <v>NÃO</v>
      </c>
      <c r="W78" s="2" t="n">
        <v>7</v>
      </c>
      <c r="X78" s="2" t="s">
        <v>156</v>
      </c>
    </row>
    <row r="79" customFormat="false" ht="15" hidden="false" customHeight="false" outlineLevel="0" collapsed="false">
      <c r="A79" s="2" t="n">
        <v>356051131</v>
      </c>
      <c r="B79" s="29" t="n">
        <v>46210.9932060185</v>
      </c>
      <c r="C79" s="2" t="s">
        <v>153</v>
      </c>
      <c r="D79" s="2" t="s">
        <v>251</v>
      </c>
      <c r="E79" s="2" t="s">
        <v>79</v>
      </c>
      <c r="F79" s="2" t="s">
        <v>107</v>
      </c>
      <c r="G79" s="30" t="n">
        <v>39.8</v>
      </c>
      <c r="H79" s="11" t="n">
        <v>449.99</v>
      </c>
      <c r="I79" s="11" t="s">
        <v>155</v>
      </c>
      <c r="J79" s="11" t="n">
        <v>113.11</v>
      </c>
      <c r="K79" s="11" t="n">
        <v>114.95</v>
      </c>
      <c r="L79" s="11" t="n">
        <v>0.45</v>
      </c>
      <c r="M79" s="11" t="n">
        <v>0.9</v>
      </c>
      <c r="N79" s="11" t="n">
        <v>1</v>
      </c>
      <c r="O79" s="11" t="n">
        <v>4.5</v>
      </c>
      <c r="P79" s="11" t="n">
        <v>2.4</v>
      </c>
      <c r="Q79" s="11" t="n">
        <v>18</v>
      </c>
      <c r="R79" s="11" t="n">
        <f aca="false">SUM(K79:Q79)</f>
        <v>142.2</v>
      </c>
      <c r="S79" s="11" t="n">
        <f aca="false">R79/(1-Resumo!$C$6)</f>
        <v>161.590909090909</v>
      </c>
      <c r="T79" s="11" t="n">
        <f aca="false">S79-J79</f>
        <v>48.4809090909091</v>
      </c>
      <c r="U79" s="12" t="n">
        <f aca="false">IFERROR(S79/J79-1,0)</f>
        <v>0.428617355591098</v>
      </c>
      <c r="V79" s="2" t="str">
        <f aca="false">IF(S79&lt;J79,"SIM","NÃO")</f>
        <v>NÃO</v>
      </c>
      <c r="W79" s="2" t="n">
        <v>7</v>
      </c>
      <c r="X79" s="2" t="s">
        <v>156</v>
      </c>
    </row>
    <row r="80" customFormat="false" ht="15" hidden="false" customHeight="false" outlineLevel="0" collapsed="false">
      <c r="A80" s="2" t="n">
        <v>356097974</v>
      </c>
      <c r="B80" s="29" t="n">
        <v>46211.0871412037</v>
      </c>
      <c r="C80" s="2" t="s">
        <v>153</v>
      </c>
      <c r="D80" s="2" t="s">
        <v>252</v>
      </c>
      <c r="E80" s="2" t="s">
        <v>78</v>
      </c>
      <c r="F80" s="2" t="s">
        <v>107</v>
      </c>
      <c r="G80" s="30" t="n">
        <v>35.9</v>
      </c>
      <c r="H80" s="11" t="n">
        <v>504.38</v>
      </c>
      <c r="I80" s="11" t="s">
        <v>155</v>
      </c>
      <c r="J80" s="11" t="n">
        <v>92.27</v>
      </c>
      <c r="K80" s="11" t="n">
        <v>93.97</v>
      </c>
      <c r="L80" s="11" t="n">
        <v>0.5044</v>
      </c>
      <c r="M80" s="11" t="n">
        <v>1.0088</v>
      </c>
      <c r="N80" s="11" t="n">
        <v>1</v>
      </c>
      <c r="O80" s="11" t="n">
        <v>4.5</v>
      </c>
      <c r="P80" s="11" t="n">
        <v>2.16</v>
      </c>
      <c r="Q80" s="11" t="n">
        <v>16.2</v>
      </c>
      <c r="R80" s="11" t="n">
        <f aca="false">SUM(K80:Q80)</f>
        <v>119.3432</v>
      </c>
      <c r="S80" s="11" t="n">
        <f aca="false">R80/(1-Resumo!$C$6)</f>
        <v>135.617272727273</v>
      </c>
      <c r="T80" s="11" t="n">
        <f aca="false">S80-J80</f>
        <v>43.3472727272727</v>
      </c>
      <c r="U80" s="12" t="n">
        <f aca="false">IFERROR(S80/J80-1,0)</f>
        <v>0.469787284353232</v>
      </c>
      <c r="V80" s="2" t="str">
        <f aca="false">IF(S80&lt;J80,"SIM","NÃO")</f>
        <v>NÃO</v>
      </c>
      <c r="W80" s="2" t="n">
        <v>5</v>
      </c>
      <c r="X80" s="2" t="s">
        <v>156</v>
      </c>
    </row>
    <row r="81" customFormat="false" ht="15" hidden="false" customHeight="false" outlineLevel="0" collapsed="false">
      <c r="A81" s="2" t="n">
        <v>356151185</v>
      </c>
      <c r="B81" s="29" t="n">
        <v>46211.261099537</v>
      </c>
      <c r="C81" s="2" t="s">
        <v>153</v>
      </c>
      <c r="D81" s="2" t="s">
        <v>253</v>
      </c>
      <c r="E81" s="2" t="s">
        <v>93</v>
      </c>
      <c r="F81" s="2" t="s">
        <v>108</v>
      </c>
      <c r="G81" s="30" t="n">
        <v>44.5</v>
      </c>
      <c r="H81" s="11" t="n">
        <v>799.99</v>
      </c>
      <c r="I81" s="11" t="s">
        <v>155</v>
      </c>
      <c r="J81" s="11" t="n">
        <v>132</v>
      </c>
      <c r="K81" s="11" t="n">
        <v>114.95</v>
      </c>
      <c r="L81" s="11" t="n">
        <v>0.8</v>
      </c>
      <c r="M81" s="11" t="n">
        <v>1.6</v>
      </c>
      <c r="N81" s="11" t="n">
        <v>1</v>
      </c>
      <c r="O81" s="11" t="n">
        <v>4.5</v>
      </c>
      <c r="P81" s="11" t="n">
        <v>2.7</v>
      </c>
      <c r="Q81" s="11" t="n">
        <v>20.25</v>
      </c>
      <c r="R81" s="11" t="n">
        <f aca="false">SUM(K81:Q81)</f>
        <v>145.8</v>
      </c>
      <c r="S81" s="11" t="n">
        <f aca="false">R81/(1-Resumo!$C$6)</f>
        <v>165.681818181818</v>
      </c>
      <c r="T81" s="11" t="n">
        <f aca="false">S81-J81</f>
        <v>33.6818181818182</v>
      </c>
      <c r="U81" s="12" t="n">
        <f aca="false">IFERROR(S81/J81-1,0)</f>
        <v>0.255165289256198</v>
      </c>
      <c r="V81" s="2" t="str">
        <f aca="false">IF(S81&lt;J81,"SIM","NÃO")</f>
        <v>NÃO</v>
      </c>
      <c r="W81" s="2" t="n">
        <v>7</v>
      </c>
      <c r="X81" s="2" t="s">
        <v>156</v>
      </c>
    </row>
    <row r="82" customFormat="false" ht="15" hidden="false" customHeight="false" outlineLevel="0" collapsed="false">
      <c r="A82" s="2" t="n">
        <v>356183351</v>
      </c>
      <c r="B82" s="29" t="n">
        <v>46211.3439236111</v>
      </c>
      <c r="C82" s="2" t="s">
        <v>191</v>
      </c>
      <c r="D82" s="2" t="s">
        <v>254</v>
      </c>
      <c r="E82" s="2" t="s">
        <v>255</v>
      </c>
      <c r="F82" s="2" t="s">
        <v>108</v>
      </c>
      <c r="G82" s="30" t="n">
        <v>48.3</v>
      </c>
      <c r="H82" s="11" t="n">
        <v>391.99</v>
      </c>
      <c r="I82" s="11" t="s">
        <v>155</v>
      </c>
      <c r="J82" s="11" t="n">
        <v>130.03</v>
      </c>
      <c r="K82" s="11" t="n">
        <v>129.29</v>
      </c>
      <c r="L82" s="11" t="n">
        <v>0.392</v>
      </c>
      <c r="M82" s="11" t="n">
        <v>0.784</v>
      </c>
      <c r="N82" s="11" t="n">
        <v>1</v>
      </c>
      <c r="O82" s="11" t="n">
        <v>4.5</v>
      </c>
      <c r="P82" s="11" t="n">
        <v>2.94</v>
      </c>
      <c r="Q82" s="11" t="n">
        <v>22.05</v>
      </c>
      <c r="R82" s="11" t="n">
        <f aca="false">SUM(K82:Q82)</f>
        <v>160.956</v>
      </c>
      <c r="S82" s="11" t="n">
        <f aca="false">R82/(1-Resumo!$C$6)</f>
        <v>182.904545454545</v>
      </c>
      <c r="T82" s="11" t="n">
        <f aca="false">S82-J82</f>
        <v>52.8745454545455</v>
      </c>
      <c r="U82" s="12" t="n">
        <f aca="false">IFERROR(S82/J82-1,0)</f>
        <v>0.406633434242448</v>
      </c>
      <c r="V82" s="2" t="str">
        <f aca="false">IF(S82&lt;J82,"SIM","NÃO")</f>
        <v>NÃO</v>
      </c>
      <c r="W82" s="2" t="n">
        <v>10</v>
      </c>
      <c r="X82" s="2" t="s">
        <v>161</v>
      </c>
    </row>
    <row r="83" customFormat="false" ht="15" hidden="false" customHeight="false" outlineLevel="0" collapsed="false">
      <c r="A83" s="2" t="n">
        <v>356188469</v>
      </c>
      <c r="B83" s="29" t="n">
        <v>46211.3519444445</v>
      </c>
      <c r="C83" s="2" t="s">
        <v>158</v>
      </c>
      <c r="D83" s="2" t="s">
        <v>248</v>
      </c>
      <c r="E83" s="2" t="s">
        <v>78</v>
      </c>
      <c r="F83" s="2" t="s">
        <v>110</v>
      </c>
      <c r="G83" s="30" t="n">
        <v>67.3</v>
      </c>
      <c r="H83" s="11" t="n">
        <v>899.98</v>
      </c>
      <c r="I83" s="11" t="s">
        <v>155</v>
      </c>
      <c r="J83" s="11" t="n">
        <v>125.52</v>
      </c>
      <c r="K83" s="11" t="n">
        <v>131.02</v>
      </c>
      <c r="L83" s="11" t="n">
        <v>0.9</v>
      </c>
      <c r="M83" s="11" t="n">
        <v>1.8</v>
      </c>
      <c r="N83" s="11" t="n">
        <v>1</v>
      </c>
      <c r="O83" s="11" t="n">
        <v>4.5</v>
      </c>
      <c r="P83" s="11" t="n">
        <v>4.08</v>
      </c>
      <c r="Q83" s="11" t="n">
        <v>30.6</v>
      </c>
      <c r="R83" s="11" t="n">
        <f aca="false">SUM(K83:Q83)</f>
        <v>173.9</v>
      </c>
      <c r="S83" s="11" t="n">
        <f aca="false">R83/(1-Resumo!$C$6)</f>
        <v>197.613636363636</v>
      </c>
      <c r="T83" s="11" t="n">
        <f aca="false">S83-J83</f>
        <v>72.0936363636364</v>
      </c>
      <c r="U83" s="12" t="n">
        <f aca="false">IFERROR(S83/J83-1,0)</f>
        <v>0.574359754331074</v>
      </c>
      <c r="V83" s="2" t="str">
        <f aca="false">IF(S83&lt;J83,"SIM","NÃO")</f>
        <v>NÃO</v>
      </c>
      <c r="W83" s="2" t="n">
        <v>5</v>
      </c>
      <c r="X83" s="2" t="s">
        <v>156</v>
      </c>
    </row>
    <row r="84" customFormat="false" ht="15" hidden="false" customHeight="false" outlineLevel="0" collapsed="false">
      <c r="A84" s="2" t="n">
        <v>356190959</v>
      </c>
      <c r="B84" s="29" t="n">
        <v>46211.3573032407</v>
      </c>
      <c r="C84" s="2" t="s">
        <v>153</v>
      </c>
      <c r="D84" s="2" t="s">
        <v>256</v>
      </c>
      <c r="E84" s="2" t="s">
        <v>88</v>
      </c>
      <c r="F84" s="2" t="s">
        <v>111</v>
      </c>
      <c r="G84" s="30" t="n">
        <v>71.9</v>
      </c>
      <c r="H84" s="11" t="n">
        <v>769.99</v>
      </c>
      <c r="I84" s="11" t="s">
        <v>155</v>
      </c>
      <c r="J84" s="11" t="n">
        <v>168.01</v>
      </c>
      <c r="K84" s="11" t="n">
        <v>157.88</v>
      </c>
      <c r="L84" s="11" t="n">
        <v>0.77</v>
      </c>
      <c r="M84" s="11" t="n">
        <v>1.54</v>
      </c>
      <c r="N84" s="11" t="n">
        <v>1</v>
      </c>
      <c r="O84" s="11" t="n">
        <v>4.5</v>
      </c>
      <c r="P84" s="11" t="n">
        <v>4.32</v>
      </c>
      <c r="Q84" s="11" t="n">
        <v>32.4</v>
      </c>
      <c r="R84" s="11" t="n">
        <f aca="false">SUM(K84:Q84)</f>
        <v>202.41</v>
      </c>
      <c r="S84" s="11" t="n">
        <f aca="false">R84/(1-Resumo!$C$6)</f>
        <v>230.011363636364</v>
      </c>
      <c r="T84" s="11" t="n">
        <f aca="false">S84-J84</f>
        <v>62.0013636363636</v>
      </c>
      <c r="U84" s="12" t="n">
        <f aca="false">IFERROR(S84/J84-1,0)</f>
        <v>0.369033769634924</v>
      </c>
      <c r="V84" s="2" t="str">
        <f aca="false">IF(S84&lt;J84,"SIM","NÃO")</f>
        <v>NÃO</v>
      </c>
      <c r="W84" s="2" t="n">
        <v>10</v>
      </c>
      <c r="X84" s="2" t="s">
        <v>156</v>
      </c>
    </row>
    <row r="85" customFormat="false" ht="15" hidden="false" customHeight="false" outlineLevel="0" collapsed="false">
      <c r="A85" s="2" t="n">
        <v>356226558</v>
      </c>
      <c r="B85" s="29" t="n">
        <v>46211.4185648148</v>
      </c>
      <c r="C85" s="2" t="s">
        <v>153</v>
      </c>
      <c r="D85" s="2" t="s">
        <v>257</v>
      </c>
      <c r="E85" s="2" t="s">
        <v>78</v>
      </c>
      <c r="F85" s="2" t="s">
        <v>108</v>
      </c>
      <c r="G85" s="30" t="n">
        <v>48.3</v>
      </c>
      <c r="H85" s="11" t="n">
        <v>459.99</v>
      </c>
      <c r="I85" s="11" t="s">
        <v>155</v>
      </c>
      <c r="J85" s="11" t="n">
        <v>102.8</v>
      </c>
      <c r="K85" s="11" t="n">
        <v>93.97</v>
      </c>
      <c r="L85" s="11" t="n">
        <v>0.46</v>
      </c>
      <c r="M85" s="11" t="n">
        <v>0.92</v>
      </c>
      <c r="N85" s="11" t="n">
        <v>1</v>
      </c>
      <c r="O85" s="11" t="n">
        <v>4.5</v>
      </c>
      <c r="P85" s="11" t="n">
        <v>2.94</v>
      </c>
      <c r="Q85" s="11" t="n">
        <v>22.05</v>
      </c>
      <c r="R85" s="11" t="n">
        <f aca="false">SUM(K85:Q85)</f>
        <v>125.84</v>
      </c>
      <c r="S85" s="11" t="n">
        <f aca="false">R85/(1-Resumo!$C$6)</f>
        <v>143</v>
      </c>
      <c r="T85" s="11" t="n">
        <f aca="false">S85-J85</f>
        <v>40.2</v>
      </c>
      <c r="U85" s="12" t="n">
        <f aca="false">IFERROR(S85/J85-1,0)</f>
        <v>0.391050583657588</v>
      </c>
      <c r="V85" s="2" t="str">
        <f aca="false">IF(S85&lt;J85,"SIM","NÃO")</f>
        <v>NÃO</v>
      </c>
      <c r="W85" s="2" t="n">
        <v>5</v>
      </c>
      <c r="X85" s="2" t="s">
        <v>156</v>
      </c>
    </row>
    <row r="86" customFormat="false" ht="15" hidden="false" customHeight="false" outlineLevel="0" collapsed="false">
      <c r="A86" s="2" t="n">
        <v>356346705</v>
      </c>
      <c r="B86" s="29" t="n">
        <v>46211.6128356482</v>
      </c>
      <c r="C86" s="2" t="s">
        <v>153</v>
      </c>
      <c r="D86" s="2" t="s">
        <v>258</v>
      </c>
      <c r="E86" s="2" t="s">
        <v>79</v>
      </c>
      <c r="F86" s="2" t="s">
        <v>107</v>
      </c>
      <c r="G86" s="30" t="n">
        <v>37.2</v>
      </c>
      <c r="H86" s="11" t="n">
        <v>399.99</v>
      </c>
      <c r="I86" s="11" t="s">
        <v>155</v>
      </c>
      <c r="J86" s="11" t="n">
        <v>112.88</v>
      </c>
      <c r="K86" s="11" t="n">
        <v>114.95</v>
      </c>
      <c r="L86" s="11" t="n">
        <v>0.4</v>
      </c>
      <c r="M86" s="11" t="n">
        <v>0.8</v>
      </c>
      <c r="N86" s="11" t="n">
        <v>1</v>
      </c>
      <c r="O86" s="11" t="n">
        <v>4.5</v>
      </c>
      <c r="P86" s="11" t="n">
        <v>2.28</v>
      </c>
      <c r="Q86" s="11" t="n">
        <v>17.1</v>
      </c>
      <c r="R86" s="11" t="n">
        <f aca="false">SUM(K86:Q86)</f>
        <v>141.03</v>
      </c>
      <c r="S86" s="11" t="n">
        <f aca="false">R86/(1-Resumo!$C$6)</f>
        <v>160.261363636364</v>
      </c>
      <c r="T86" s="11" t="n">
        <f aca="false">S86-J86</f>
        <v>47.3813636363636</v>
      </c>
      <c r="U86" s="12" t="n">
        <f aca="false">IFERROR(S86/J86-1,0)</f>
        <v>0.419749855035114</v>
      </c>
      <c r="V86" s="2" t="str">
        <f aca="false">IF(S86&lt;J86,"SIM","NÃO")</f>
        <v>NÃO</v>
      </c>
      <c r="W86" s="2" t="n">
        <v>7</v>
      </c>
      <c r="X86" s="2" t="s">
        <v>156</v>
      </c>
    </row>
    <row r="87" customFormat="false" ht="15" hidden="false" customHeight="false" outlineLevel="0" collapsed="false">
      <c r="A87" s="2" t="n">
        <v>356378395</v>
      </c>
      <c r="B87" s="29" t="n">
        <v>46211.6709259259</v>
      </c>
      <c r="C87" s="2" t="s">
        <v>153</v>
      </c>
      <c r="D87" s="2" t="s">
        <v>259</v>
      </c>
      <c r="E87" s="2" t="s">
        <v>260</v>
      </c>
      <c r="F87" s="2" t="s">
        <v>108</v>
      </c>
      <c r="G87" s="30" t="n">
        <v>48.3</v>
      </c>
      <c r="H87" s="11" t="n">
        <v>459.99</v>
      </c>
      <c r="I87" s="11" t="s">
        <v>155</v>
      </c>
      <c r="J87" s="11" t="n">
        <v>130.36</v>
      </c>
      <c r="K87" s="11" t="n">
        <v>135.03</v>
      </c>
      <c r="L87" s="11" t="n">
        <v>0.46</v>
      </c>
      <c r="M87" s="11" t="n">
        <v>0.92</v>
      </c>
      <c r="N87" s="11" t="n">
        <v>1</v>
      </c>
      <c r="O87" s="11" t="n">
        <v>4.5</v>
      </c>
      <c r="P87" s="11" t="n">
        <v>2.94</v>
      </c>
      <c r="Q87" s="11" t="n">
        <v>22.05</v>
      </c>
      <c r="R87" s="11" t="n">
        <f aca="false">SUM(K87:Q87)</f>
        <v>166.9</v>
      </c>
      <c r="S87" s="11" t="n">
        <f aca="false">R87/(1-Resumo!$C$6)</f>
        <v>189.659090909091</v>
      </c>
      <c r="T87" s="11" t="n">
        <f aca="false">S87-J87</f>
        <v>59.2990909090909</v>
      </c>
      <c r="U87" s="12" t="n">
        <f aca="false">IFERROR(S87/J87-1,0)</f>
        <v>0.454887165611314</v>
      </c>
      <c r="V87" s="2" t="str">
        <f aca="false">IF(S87&lt;J87,"SIM","NÃO")</f>
        <v>NÃO</v>
      </c>
      <c r="W87" s="2" t="n">
        <v>10</v>
      </c>
      <c r="X87" s="2" t="s">
        <v>161</v>
      </c>
    </row>
    <row r="88" customFormat="false" ht="15" hidden="false" customHeight="false" outlineLevel="0" collapsed="false">
      <c r="A88" s="2" t="n">
        <v>356418160</v>
      </c>
      <c r="B88" s="29" t="n">
        <v>46211.744212963</v>
      </c>
      <c r="C88" s="2" t="s">
        <v>158</v>
      </c>
      <c r="D88" s="2" t="s">
        <v>261</v>
      </c>
      <c r="E88" s="2" t="s">
        <v>78</v>
      </c>
      <c r="F88" s="2" t="s">
        <v>110</v>
      </c>
      <c r="G88" s="30" t="n">
        <v>66.8</v>
      </c>
      <c r="H88" s="11" t="n">
        <v>679.98</v>
      </c>
      <c r="I88" s="11" t="s">
        <v>155</v>
      </c>
      <c r="J88" s="11" t="n">
        <v>124.47</v>
      </c>
      <c r="K88" s="11" t="n">
        <v>131.02</v>
      </c>
      <c r="L88" s="11" t="n">
        <v>0.68</v>
      </c>
      <c r="M88" s="11" t="n">
        <v>1.36</v>
      </c>
      <c r="N88" s="11" t="n">
        <v>1</v>
      </c>
      <c r="O88" s="11" t="n">
        <v>4.5</v>
      </c>
      <c r="P88" s="11" t="n">
        <v>4.02</v>
      </c>
      <c r="Q88" s="11" t="n">
        <v>30.15</v>
      </c>
      <c r="R88" s="11" t="n">
        <f aca="false">SUM(K88:Q88)</f>
        <v>172.73</v>
      </c>
      <c r="S88" s="11" t="n">
        <f aca="false">R88/(1-Resumo!$C$6)</f>
        <v>196.284090909091</v>
      </c>
      <c r="T88" s="11" t="n">
        <f aca="false">S88-J88</f>
        <v>71.8140909090909</v>
      </c>
      <c r="U88" s="12" t="n">
        <f aca="false">IFERROR(S88/J88-1,0)</f>
        <v>0.576959033575086</v>
      </c>
      <c r="V88" s="2" t="str">
        <f aca="false">IF(S88&lt;J88,"SIM","NÃO")</f>
        <v>NÃO</v>
      </c>
      <c r="W88" s="2" t="n">
        <v>5</v>
      </c>
      <c r="X88" s="2" t="s">
        <v>156</v>
      </c>
    </row>
    <row r="89" customFormat="false" ht="15" hidden="false" customHeight="false" outlineLevel="0" collapsed="false">
      <c r="A89" s="2" t="n">
        <v>356454877</v>
      </c>
      <c r="B89" s="29" t="n">
        <v>46211.8102893519</v>
      </c>
      <c r="C89" s="2" t="s">
        <v>158</v>
      </c>
      <c r="D89" s="2" t="s">
        <v>262</v>
      </c>
      <c r="E89" s="2" t="s">
        <v>87</v>
      </c>
      <c r="F89" s="2" t="s">
        <v>114</v>
      </c>
      <c r="G89" s="30" t="n">
        <v>124.2</v>
      </c>
      <c r="H89" s="11" t="n">
        <v>1611.28</v>
      </c>
      <c r="I89" s="11" t="s">
        <v>155</v>
      </c>
      <c r="J89" s="11" t="n">
        <v>261</v>
      </c>
      <c r="K89" s="11" t="n">
        <v>264.84</v>
      </c>
      <c r="L89" s="11" t="n">
        <v>1.6113</v>
      </c>
      <c r="M89" s="11" t="n">
        <v>3.2226</v>
      </c>
      <c r="N89" s="11" t="n">
        <v>1</v>
      </c>
      <c r="O89" s="11" t="n">
        <v>9</v>
      </c>
      <c r="P89" s="11" t="n">
        <v>7.5</v>
      </c>
      <c r="Q89" s="11" t="n">
        <v>56.25</v>
      </c>
      <c r="R89" s="11" t="n">
        <f aca="false">SUM(K89:Q89)</f>
        <v>343.4239</v>
      </c>
      <c r="S89" s="11" t="n">
        <f aca="false">R89/(1-Resumo!$C$6)</f>
        <v>390.254431818182</v>
      </c>
      <c r="T89" s="11" t="n">
        <f aca="false">S89-J89</f>
        <v>129.254431818182</v>
      </c>
      <c r="U89" s="12" t="n">
        <f aca="false">IFERROR(S89/J89-1,0)</f>
        <v>0.495227708115639</v>
      </c>
      <c r="V89" s="2" t="str">
        <f aca="false">IF(S89&lt;J89,"SIM","NÃO")</f>
        <v>NÃO</v>
      </c>
      <c r="W89" s="2" t="n">
        <v>10</v>
      </c>
      <c r="X89" s="2" t="s">
        <v>156</v>
      </c>
    </row>
    <row r="90" customFormat="false" ht="15" hidden="false" customHeight="false" outlineLevel="0" collapsed="false">
      <c r="A90" s="2" t="n">
        <v>356481638</v>
      </c>
      <c r="B90" s="29" t="n">
        <v>46211.856087963</v>
      </c>
      <c r="C90" s="2" t="s">
        <v>158</v>
      </c>
      <c r="D90" s="2" t="s">
        <v>263</v>
      </c>
      <c r="E90" s="2" t="s">
        <v>84</v>
      </c>
      <c r="F90" s="2" t="s">
        <v>109</v>
      </c>
      <c r="G90" s="30" t="n">
        <v>51.06</v>
      </c>
      <c r="H90" s="11" t="n">
        <v>679.98</v>
      </c>
      <c r="I90" s="11" t="s">
        <v>155</v>
      </c>
      <c r="J90" s="11" t="n">
        <v>128.55</v>
      </c>
      <c r="K90" s="11" t="n">
        <v>112.3</v>
      </c>
      <c r="L90" s="11" t="n">
        <v>0.68</v>
      </c>
      <c r="M90" s="11" t="n">
        <v>1.36</v>
      </c>
      <c r="N90" s="11" t="n">
        <v>1</v>
      </c>
      <c r="O90" s="11" t="n">
        <v>4.5</v>
      </c>
      <c r="P90" s="11" t="n">
        <v>3.12</v>
      </c>
      <c r="Q90" s="11" t="n">
        <v>23.4</v>
      </c>
      <c r="R90" s="11" t="n">
        <f aca="false">SUM(K90:Q90)</f>
        <v>146.36</v>
      </c>
      <c r="S90" s="11" t="n">
        <f aca="false">R90/(1-Resumo!$C$6)</f>
        <v>166.318181818182</v>
      </c>
      <c r="T90" s="11" t="n">
        <f aca="false">S90-J90</f>
        <v>37.7681818181818</v>
      </c>
      <c r="U90" s="12" t="n">
        <f aca="false">IFERROR(S90/J90-1,0)</f>
        <v>0.293801492167886</v>
      </c>
      <c r="V90" s="2" t="str">
        <f aca="false">IF(S90&lt;J90,"SIM","NÃO")</f>
        <v>NÃO</v>
      </c>
      <c r="W90" s="2" t="n">
        <v>5</v>
      </c>
      <c r="X90" s="2" t="s">
        <v>156</v>
      </c>
    </row>
    <row r="91" customFormat="false" ht="15" hidden="false" customHeight="false" outlineLevel="0" collapsed="false">
      <c r="A91" s="2" t="n">
        <v>356517949</v>
      </c>
      <c r="B91" s="29" t="n">
        <v>46211.9269560185</v>
      </c>
      <c r="C91" s="2" t="s">
        <v>178</v>
      </c>
      <c r="D91" s="2" t="s">
        <v>264</v>
      </c>
      <c r="E91" s="2" t="s">
        <v>78</v>
      </c>
      <c r="F91" s="2" t="s">
        <v>107</v>
      </c>
      <c r="G91" s="30" t="n">
        <v>37.2</v>
      </c>
      <c r="H91" s="11" t="n">
        <v>459.99</v>
      </c>
      <c r="I91" s="11" t="s">
        <v>155</v>
      </c>
      <c r="J91" s="11" t="n">
        <v>92.06</v>
      </c>
      <c r="K91" s="11" t="n">
        <v>93.97</v>
      </c>
      <c r="L91" s="11" t="n">
        <v>0.46</v>
      </c>
      <c r="M91" s="11" t="n">
        <v>0.92</v>
      </c>
      <c r="N91" s="11" t="n">
        <v>1</v>
      </c>
      <c r="O91" s="11" t="n">
        <v>4.5</v>
      </c>
      <c r="P91" s="11" t="n">
        <v>2.28</v>
      </c>
      <c r="Q91" s="11" t="n">
        <v>17.1</v>
      </c>
      <c r="R91" s="11" t="n">
        <f aca="false">SUM(K91:Q91)</f>
        <v>120.23</v>
      </c>
      <c r="S91" s="11" t="n">
        <f aca="false">R91/(1-Resumo!$C$6)</f>
        <v>136.625</v>
      </c>
      <c r="T91" s="11" t="n">
        <f aca="false">S91-J91</f>
        <v>44.565</v>
      </c>
      <c r="U91" s="12" t="n">
        <f aca="false">IFERROR(S91/J91-1,0)</f>
        <v>0.484086465348686</v>
      </c>
      <c r="V91" s="2" t="str">
        <f aca="false">IF(S91&lt;J91,"SIM","NÃO")</f>
        <v>NÃO</v>
      </c>
      <c r="W91" s="2" t="n">
        <v>5</v>
      </c>
      <c r="X91" s="2" t="s">
        <v>156</v>
      </c>
    </row>
    <row r="92" customFormat="false" ht="15" hidden="false" customHeight="false" outlineLevel="0" collapsed="false">
      <c r="A92" s="2" t="n">
        <v>356490484</v>
      </c>
      <c r="B92" s="29" t="n">
        <v>46211.9686689815</v>
      </c>
      <c r="C92" s="2" t="s">
        <v>178</v>
      </c>
      <c r="D92" s="2" t="s">
        <v>265</v>
      </c>
      <c r="E92" s="2" t="s">
        <v>186</v>
      </c>
      <c r="F92" s="2" t="s">
        <v>108</v>
      </c>
      <c r="G92" s="30" t="n">
        <v>48.3</v>
      </c>
      <c r="H92" s="11" t="n">
        <v>499.99</v>
      </c>
      <c r="I92" s="11" t="s">
        <v>155</v>
      </c>
      <c r="J92" s="11" t="n">
        <v>130.56</v>
      </c>
      <c r="K92" s="11" t="n">
        <v>93.97</v>
      </c>
      <c r="L92" s="11" t="n">
        <v>0.5</v>
      </c>
      <c r="M92" s="11" t="n">
        <v>1</v>
      </c>
      <c r="N92" s="11" t="n">
        <v>1</v>
      </c>
      <c r="O92" s="11" t="n">
        <v>4.5</v>
      </c>
      <c r="P92" s="11" t="n">
        <v>2.94</v>
      </c>
      <c r="Q92" s="11" t="n">
        <v>22.05</v>
      </c>
      <c r="R92" s="11" t="n">
        <f aca="false">SUM(K92:Q92)</f>
        <v>125.96</v>
      </c>
      <c r="S92" s="11" t="n">
        <f aca="false">R92/(1-Resumo!$C$6)</f>
        <v>143.136363636364</v>
      </c>
      <c r="T92" s="11" t="n">
        <f aca="false">S92-J92</f>
        <v>12.5763636363636</v>
      </c>
      <c r="U92" s="12" t="n">
        <f aca="false">IFERROR(S92/J92-1,0)</f>
        <v>0.0963263146167557</v>
      </c>
      <c r="V92" s="2" t="str">
        <f aca="false">IF(S92&lt;J92,"SIM","NÃO")</f>
        <v>NÃO</v>
      </c>
      <c r="W92" s="2" t="n">
        <v>5</v>
      </c>
      <c r="X92" s="2" t="s">
        <v>161</v>
      </c>
    </row>
    <row r="93" customFormat="false" ht="15" hidden="false" customHeight="false" outlineLevel="0" collapsed="false">
      <c r="A93" s="2" t="n">
        <v>356556476</v>
      </c>
      <c r="B93" s="29" t="n">
        <v>46212.0133217593</v>
      </c>
      <c r="C93" s="2" t="s">
        <v>153</v>
      </c>
      <c r="D93" s="2" t="s">
        <v>266</v>
      </c>
      <c r="E93" s="2" t="s">
        <v>93</v>
      </c>
      <c r="F93" s="2" t="s">
        <v>108</v>
      </c>
      <c r="G93" s="30" t="n">
        <v>46.8</v>
      </c>
      <c r="H93" s="11" t="n">
        <v>556.99</v>
      </c>
      <c r="I93" s="11" t="s">
        <v>155</v>
      </c>
      <c r="J93" s="11" t="n">
        <v>130.82</v>
      </c>
      <c r="K93" s="11" t="n">
        <v>114.95</v>
      </c>
      <c r="L93" s="11" t="n">
        <v>0.557</v>
      </c>
      <c r="M93" s="11" t="n">
        <v>1.114</v>
      </c>
      <c r="N93" s="11" t="n">
        <v>1</v>
      </c>
      <c r="O93" s="11" t="n">
        <v>4.5</v>
      </c>
      <c r="P93" s="11" t="n">
        <v>2.82</v>
      </c>
      <c r="Q93" s="11" t="n">
        <v>21.15</v>
      </c>
      <c r="R93" s="11" t="n">
        <f aca="false">SUM(K93:Q93)</f>
        <v>146.091</v>
      </c>
      <c r="S93" s="11" t="n">
        <f aca="false">R93/(1-Resumo!$C$6)</f>
        <v>166.0125</v>
      </c>
      <c r="T93" s="11" t="n">
        <f aca="false">S93-J93</f>
        <v>35.1925</v>
      </c>
      <c r="U93" s="12" t="n">
        <f aca="false">IFERROR(S93/J93-1,0)</f>
        <v>0.269014676654946</v>
      </c>
      <c r="V93" s="2" t="str">
        <f aca="false">IF(S93&lt;J93,"SIM","NÃO")</f>
        <v>NÃO</v>
      </c>
      <c r="W93" s="2" t="n">
        <v>7</v>
      </c>
      <c r="X93" s="2" t="s">
        <v>156</v>
      </c>
    </row>
    <row r="94" customFormat="false" ht="15" hidden="false" customHeight="false" outlineLevel="0" collapsed="false">
      <c r="A94" s="2" t="n">
        <v>356708076</v>
      </c>
      <c r="B94" s="29" t="n">
        <v>46212.4535069445</v>
      </c>
      <c r="C94" s="2" t="s">
        <v>153</v>
      </c>
      <c r="D94" s="2" t="s">
        <v>267</v>
      </c>
      <c r="E94" s="2" t="s">
        <v>78</v>
      </c>
      <c r="F94" s="2" t="s">
        <v>105</v>
      </c>
      <c r="G94" s="30" t="n">
        <v>15.05</v>
      </c>
      <c r="H94" s="11" t="n">
        <v>239.99</v>
      </c>
      <c r="I94" s="11" t="s">
        <v>155</v>
      </c>
      <c r="J94" s="11" t="n">
        <v>64.36</v>
      </c>
      <c r="K94" s="11" t="n">
        <v>46.98</v>
      </c>
      <c r="L94" s="11" t="n">
        <v>0.24</v>
      </c>
      <c r="M94" s="11" t="n">
        <v>0.48</v>
      </c>
      <c r="N94" s="11" t="n">
        <v>1</v>
      </c>
      <c r="O94" s="11" t="n">
        <v>4.5</v>
      </c>
      <c r="P94" s="11" t="n">
        <v>0.96</v>
      </c>
      <c r="Q94" s="11" t="n">
        <v>7.2</v>
      </c>
      <c r="R94" s="11" t="n">
        <f aca="false">SUM(K94:Q94)</f>
        <v>61.36</v>
      </c>
      <c r="S94" s="11" t="n">
        <f aca="false">R94/(1-Resumo!$C$6)</f>
        <v>69.7272727272727</v>
      </c>
      <c r="T94" s="11" t="n">
        <f aca="false">S94-J94</f>
        <v>5.36727272727272</v>
      </c>
      <c r="U94" s="12" t="n">
        <f aca="false">IFERROR(S94/J94-1,0)</f>
        <v>0.0833945420645232</v>
      </c>
      <c r="V94" s="2" t="str">
        <f aca="false">IF(S94&lt;J94,"SIM","NÃO")</f>
        <v>NÃO</v>
      </c>
      <c r="W94" s="2" t="n">
        <v>5</v>
      </c>
      <c r="X94" s="2" t="s">
        <v>156</v>
      </c>
    </row>
    <row r="95" customFormat="false" ht="15" hidden="false" customHeight="false" outlineLevel="0" collapsed="false">
      <c r="A95" s="2" t="n">
        <v>356734261</v>
      </c>
      <c r="B95" s="29" t="n">
        <v>46212.5090277778</v>
      </c>
      <c r="C95" s="2" t="s">
        <v>158</v>
      </c>
      <c r="D95" s="2" t="s">
        <v>268</v>
      </c>
      <c r="E95" s="2" t="s">
        <v>81</v>
      </c>
      <c r="F95" s="2" t="s">
        <v>110</v>
      </c>
      <c r="G95" s="30" t="n">
        <v>69.15</v>
      </c>
      <c r="H95" s="11" t="n">
        <v>721.99</v>
      </c>
      <c r="I95" s="11" t="s">
        <v>155</v>
      </c>
      <c r="J95" s="11" t="n">
        <v>139.89</v>
      </c>
      <c r="K95" s="11" t="n">
        <v>131.02</v>
      </c>
      <c r="L95" s="11" t="n">
        <v>0.722</v>
      </c>
      <c r="M95" s="11" t="n">
        <v>1.444</v>
      </c>
      <c r="N95" s="11" t="n">
        <v>1</v>
      </c>
      <c r="O95" s="11" t="n">
        <v>4.5</v>
      </c>
      <c r="P95" s="11" t="n">
        <v>4.2</v>
      </c>
      <c r="Q95" s="11" t="n">
        <v>31.5</v>
      </c>
      <c r="R95" s="11" t="n">
        <f aca="false">SUM(K95:Q95)</f>
        <v>174.386</v>
      </c>
      <c r="S95" s="11" t="n">
        <f aca="false">R95/(1-Resumo!$C$6)</f>
        <v>198.165909090909</v>
      </c>
      <c r="T95" s="11" t="n">
        <f aca="false">S95-J95</f>
        <v>58.2759090909091</v>
      </c>
      <c r="U95" s="12" t="n">
        <f aca="false">IFERROR(S95/J95-1,0)</f>
        <v>0.416583809356703</v>
      </c>
      <c r="V95" s="2" t="str">
        <f aca="false">IF(S95&lt;J95,"SIM","NÃO")</f>
        <v>NÃO</v>
      </c>
      <c r="W95" s="2" t="n">
        <v>5</v>
      </c>
      <c r="X95" s="2" t="s">
        <v>156</v>
      </c>
    </row>
    <row r="96" customFormat="false" ht="15" hidden="false" customHeight="false" outlineLevel="0" collapsed="false">
      <c r="A96" s="2" t="n">
        <v>356745748</v>
      </c>
      <c r="B96" s="29" t="n">
        <v>46212.5322800926</v>
      </c>
      <c r="C96" s="2" t="s">
        <v>153</v>
      </c>
      <c r="D96" s="2" t="s">
        <v>269</v>
      </c>
      <c r="E96" s="2" t="s">
        <v>95</v>
      </c>
      <c r="F96" s="2" t="s">
        <v>108</v>
      </c>
      <c r="G96" s="30" t="n">
        <v>46.8</v>
      </c>
      <c r="H96" s="11" t="n">
        <v>556.99</v>
      </c>
      <c r="I96" s="11" t="s">
        <v>155</v>
      </c>
      <c r="J96" s="11" t="n">
        <v>130.82</v>
      </c>
      <c r="K96" s="11" t="n">
        <v>117.23</v>
      </c>
      <c r="L96" s="11" t="n">
        <v>0.557</v>
      </c>
      <c r="M96" s="11" t="n">
        <v>1.114</v>
      </c>
      <c r="N96" s="11" t="n">
        <v>1</v>
      </c>
      <c r="O96" s="11" t="n">
        <v>4.5</v>
      </c>
      <c r="P96" s="11" t="n">
        <v>2.82</v>
      </c>
      <c r="Q96" s="11" t="n">
        <v>21.15</v>
      </c>
      <c r="R96" s="11" t="n">
        <f aca="false">SUM(K96:Q96)</f>
        <v>148.371</v>
      </c>
      <c r="S96" s="11" t="n">
        <f aca="false">R96/(1-Resumo!$C$6)</f>
        <v>168.603409090909</v>
      </c>
      <c r="T96" s="11" t="n">
        <f aca="false">S96-J96</f>
        <v>37.7834090909091</v>
      </c>
      <c r="U96" s="12" t="n">
        <f aca="false">IFERROR(S96/J96-1,0)</f>
        <v>0.288819821823185</v>
      </c>
      <c r="V96" s="2" t="str">
        <f aca="false">IF(S96&lt;J96,"SIM","NÃO")</f>
        <v>NÃO</v>
      </c>
      <c r="W96" s="2" t="n">
        <v>6</v>
      </c>
      <c r="X96" s="2" t="s">
        <v>156</v>
      </c>
    </row>
    <row r="97" customFormat="false" ht="15" hidden="false" customHeight="false" outlineLevel="0" collapsed="false">
      <c r="A97" s="2" t="n">
        <v>356785525</v>
      </c>
      <c r="B97" s="29" t="n">
        <v>46212.6134837963</v>
      </c>
      <c r="C97" s="2" t="s">
        <v>153</v>
      </c>
      <c r="D97" s="2" t="s">
        <v>270</v>
      </c>
      <c r="E97" s="2" t="s">
        <v>80</v>
      </c>
      <c r="F97" s="2" t="s">
        <v>109</v>
      </c>
      <c r="G97" s="30" t="n">
        <v>52.3</v>
      </c>
      <c r="H97" s="11" t="n">
        <v>643.99</v>
      </c>
      <c r="I97" s="11" t="s">
        <v>155</v>
      </c>
      <c r="J97" s="11" t="n">
        <v>128.38</v>
      </c>
      <c r="K97" s="11" t="n">
        <v>112.3</v>
      </c>
      <c r="L97" s="11" t="n">
        <v>0.644</v>
      </c>
      <c r="M97" s="11" t="n">
        <v>1.288</v>
      </c>
      <c r="N97" s="11" t="n">
        <v>1</v>
      </c>
      <c r="O97" s="11" t="n">
        <v>4.5</v>
      </c>
      <c r="P97" s="11" t="n">
        <v>3.18</v>
      </c>
      <c r="Q97" s="11" t="n">
        <v>23.85</v>
      </c>
      <c r="R97" s="11" t="n">
        <f aca="false">SUM(K97:Q97)</f>
        <v>146.762</v>
      </c>
      <c r="S97" s="11" t="n">
        <f aca="false">R97/(1-Resumo!$C$6)</f>
        <v>166.775</v>
      </c>
      <c r="T97" s="11" t="n">
        <f aca="false">S97-J97</f>
        <v>38.395</v>
      </c>
      <c r="U97" s="12" t="n">
        <f aca="false">IFERROR(S97/J97-1,0)</f>
        <v>0.29907306434024</v>
      </c>
      <c r="V97" s="2" t="str">
        <f aca="false">IF(S97&lt;J97,"SIM","NÃO")</f>
        <v>NÃO</v>
      </c>
      <c r="W97" s="2" t="n">
        <v>5</v>
      </c>
      <c r="X97" s="2" t="s">
        <v>156</v>
      </c>
    </row>
    <row r="98" customFormat="false" ht="15" hidden="false" customHeight="false" outlineLevel="0" collapsed="false">
      <c r="A98" s="2" t="n">
        <v>356789417</v>
      </c>
      <c r="B98" s="29" t="n">
        <v>46212.6219097222</v>
      </c>
      <c r="C98" s="2" t="s">
        <v>153</v>
      </c>
      <c r="D98" s="2" t="s">
        <v>271</v>
      </c>
      <c r="E98" s="2" t="s">
        <v>78</v>
      </c>
      <c r="F98" s="2" t="s">
        <v>108</v>
      </c>
      <c r="G98" s="30" t="n">
        <v>48</v>
      </c>
      <c r="H98" s="11" t="n">
        <v>827.99</v>
      </c>
      <c r="I98" s="11" t="s">
        <v>155</v>
      </c>
      <c r="J98" s="11" t="n">
        <v>104.57</v>
      </c>
      <c r="K98" s="11" t="n">
        <v>93.97</v>
      </c>
      <c r="L98" s="11" t="n">
        <v>0.828</v>
      </c>
      <c r="M98" s="11" t="n">
        <v>1.656</v>
      </c>
      <c r="N98" s="11" t="n">
        <v>1</v>
      </c>
      <c r="O98" s="11" t="n">
        <v>4.5</v>
      </c>
      <c r="P98" s="11" t="n">
        <v>2.88</v>
      </c>
      <c r="Q98" s="11" t="n">
        <v>21.6</v>
      </c>
      <c r="R98" s="11" t="n">
        <f aca="false">SUM(K98:Q98)</f>
        <v>126.434</v>
      </c>
      <c r="S98" s="11" t="n">
        <f aca="false">R98/(1-Resumo!$C$6)</f>
        <v>143.675</v>
      </c>
      <c r="T98" s="11" t="n">
        <f aca="false">S98-J98</f>
        <v>39.105</v>
      </c>
      <c r="U98" s="12" t="n">
        <f aca="false">IFERROR(S98/J98-1,0)</f>
        <v>0.373960026776322</v>
      </c>
      <c r="V98" s="2" t="str">
        <f aca="false">IF(S98&lt;J98,"SIM","NÃO")</f>
        <v>NÃO</v>
      </c>
      <c r="W98" s="2" t="n">
        <v>5</v>
      </c>
      <c r="X98" s="2" t="s">
        <v>156</v>
      </c>
    </row>
    <row r="99" customFormat="false" ht="15" hidden="false" customHeight="false" outlineLevel="0" collapsed="false">
      <c r="A99" s="2" t="n">
        <v>356792563</v>
      </c>
      <c r="B99" s="29" t="n">
        <v>46212.6292708333</v>
      </c>
      <c r="C99" s="2" t="s">
        <v>153</v>
      </c>
      <c r="D99" s="2" t="s">
        <v>272</v>
      </c>
      <c r="E99" s="2" t="s">
        <v>78</v>
      </c>
      <c r="F99" s="2" t="s">
        <v>107</v>
      </c>
      <c r="G99" s="30" t="n">
        <v>37.2</v>
      </c>
      <c r="H99" s="11" t="n">
        <v>359.99</v>
      </c>
      <c r="I99" s="11" t="s">
        <v>155</v>
      </c>
      <c r="J99" s="11" t="n">
        <v>91.58</v>
      </c>
      <c r="K99" s="11" t="n">
        <v>93.97</v>
      </c>
      <c r="L99" s="11" t="n">
        <v>0.36</v>
      </c>
      <c r="M99" s="11" t="n">
        <v>0.72</v>
      </c>
      <c r="N99" s="11" t="n">
        <v>1</v>
      </c>
      <c r="O99" s="11" t="n">
        <v>4.5</v>
      </c>
      <c r="P99" s="11" t="n">
        <v>2.28</v>
      </c>
      <c r="Q99" s="11" t="n">
        <v>17.1</v>
      </c>
      <c r="R99" s="11" t="n">
        <f aca="false">SUM(K99:Q99)</f>
        <v>119.93</v>
      </c>
      <c r="S99" s="11" t="n">
        <f aca="false">R99/(1-Resumo!$C$6)</f>
        <v>136.284090909091</v>
      </c>
      <c r="T99" s="11" t="n">
        <f aca="false">S99-J99</f>
        <v>44.7040909090909</v>
      </c>
      <c r="U99" s="12" t="n">
        <f aca="false">IFERROR(S99/J99-1,0)</f>
        <v>0.488142508288828</v>
      </c>
      <c r="V99" s="2" t="str">
        <f aca="false">IF(S99&lt;J99,"SIM","NÃO")</f>
        <v>NÃO</v>
      </c>
      <c r="W99" s="2" t="n">
        <v>5</v>
      </c>
      <c r="X99" s="2" t="s">
        <v>156</v>
      </c>
    </row>
    <row r="100" customFormat="false" ht="15" hidden="false" customHeight="false" outlineLevel="0" collapsed="false">
      <c r="A100" s="2" t="n">
        <v>356797870</v>
      </c>
      <c r="B100" s="29" t="n">
        <v>46212.6403587963</v>
      </c>
      <c r="C100" s="2" t="s">
        <v>153</v>
      </c>
      <c r="D100" s="2" t="s">
        <v>273</v>
      </c>
      <c r="E100" s="2" t="s">
        <v>78</v>
      </c>
      <c r="F100" s="2" t="s">
        <v>108</v>
      </c>
      <c r="G100" s="30" t="n">
        <v>41</v>
      </c>
      <c r="H100" s="11" t="n">
        <v>515.19</v>
      </c>
      <c r="I100" s="11" t="s">
        <v>155</v>
      </c>
      <c r="J100" s="11" t="n">
        <v>103.06</v>
      </c>
      <c r="K100" s="11" t="n">
        <v>93.97</v>
      </c>
      <c r="L100" s="11" t="n">
        <v>0.5152</v>
      </c>
      <c r="M100" s="11" t="n">
        <v>1.0304</v>
      </c>
      <c r="N100" s="11" t="n">
        <v>1</v>
      </c>
      <c r="O100" s="11" t="n">
        <v>4.5</v>
      </c>
      <c r="P100" s="11" t="n">
        <v>2.46</v>
      </c>
      <c r="Q100" s="11" t="n">
        <v>18.45</v>
      </c>
      <c r="R100" s="11" t="n">
        <f aca="false">SUM(K100:Q100)</f>
        <v>121.9256</v>
      </c>
      <c r="S100" s="11" t="n">
        <f aca="false">R100/(1-Resumo!$C$6)</f>
        <v>138.551818181818</v>
      </c>
      <c r="T100" s="11" t="n">
        <f aca="false">S100-J100</f>
        <v>35.4918181818182</v>
      </c>
      <c r="U100" s="12" t="n">
        <f aca="false">IFERROR(S100/J100-1,0)</f>
        <v>0.344380149251098</v>
      </c>
      <c r="V100" s="2" t="str">
        <f aca="false">IF(S100&lt;J100,"SIM","NÃO")</f>
        <v>NÃO</v>
      </c>
      <c r="W100" s="2" t="n">
        <v>5</v>
      </c>
      <c r="X100" s="2" t="s">
        <v>156</v>
      </c>
    </row>
    <row r="101" customFormat="false" ht="15" hidden="false" customHeight="false" outlineLevel="0" collapsed="false">
      <c r="A101" s="2" t="n">
        <v>356878458</v>
      </c>
      <c r="B101" s="29" t="n">
        <v>46212.7845023148</v>
      </c>
      <c r="C101" s="2" t="s">
        <v>158</v>
      </c>
      <c r="D101" s="2" t="s">
        <v>274</v>
      </c>
      <c r="E101" s="2" t="s">
        <v>78</v>
      </c>
      <c r="F101" s="2" t="s">
        <v>110</v>
      </c>
      <c r="G101" s="30" t="n">
        <v>66.8</v>
      </c>
      <c r="H101" s="11" t="n">
        <v>606.87</v>
      </c>
      <c r="I101" s="11" t="s">
        <v>155</v>
      </c>
      <c r="J101" s="11" t="n">
        <v>124.1</v>
      </c>
      <c r="K101" s="11" t="n">
        <v>131.02</v>
      </c>
      <c r="L101" s="11" t="n">
        <v>0.6069</v>
      </c>
      <c r="M101" s="11" t="n">
        <v>1.2137</v>
      </c>
      <c r="N101" s="11" t="n">
        <v>1</v>
      </c>
      <c r="O101" s="11" t="n">
        <v>4.5</v>
      </c>
      <c r="P101" s="11" t="n">
        <v>4.02</v>
      </c>
      <c r="Q101" s="11" t="n">
        <v>30.15</v>
      </c>
      <c r="R101" s="11" t="n">
        <f aca="false">SUM(K101:Q101)</f>
        <v>172.5106</v>
      </c>
      <c r="S101" s="11" t="n">
        <f aca="false">R101/(1-Resumo!$C$6)</f>
        <v>196.034772727273</v>
      </c>
      <c r="T101" s="11" t="n">
        <f aca="false">S101-J101</f>
        <v>71.9347727272728</v>
      </c>
      <c r="U101" s="12" t="n">
        <f aca="false">IFERROR(S101/J101-1,0)</f>
        <v>0.579651673870046</v>
      </c>
      <c r="V101" s="2" t="str">
        <f aca="false">IF(S101&lt;J101,"SIM","NÃO")</f>
        <v>NÃO</v>
      </c>
      <c r="W101" s="2" t="n">
        <v>5</v>
      </c>
      <c r="X101" s="2" t="s">
        <v>156</v>
      </c>
    </row>
    <row r="102" customFormat="false" ht="15" hidden="false" customHeight="false" outlineLevel="0" collapsed="false">
      <c r="A102" s="2" t="n">
        <v>356879520</v>
      </c>
      <c r="B102" s="29" t="n">
        <v>46212.7866782407</v>
      </c>
      <c r="C102" s="2" t="s">
        <v>153</v>
      </c>
      <c r="D102" s="2" t="s">
        <v>275</v>
      </c>
      <c r="E102" s="2" t="s">
        <v>260</v>
      </c>
      <c r="F102" s="2" t="s">
        <v>106</v>
      </c>
      <c r="G102" s="30" t="n">
        <v>34.4</v>
      </c>
      <c r="H102" s="11" t="n">
        <v>404.99</v>
      </c>
      <c r="I102" s="11" t="s">
        <v>155</v>
      </c>
      <c r="J102" s="11" t="n">
        <v>109.13</v>
      </c>
      <c r="K102" s="11" t="n">
        <v>120.78</v>
      </c>
      <c r="L102" s="11" t="n">
        <v>0.405</v>
      </c>
      <c r="M102" s="11" t="n">
        <v>0.81</v>
      </c>
      <c r="N102" s="11" t="n">
        <v>1</v>
      </c>
      <c r="O102" s="11" t="n">
        <v>4.5</v>
      </c>
      <c r="P102" s="11" t="n">
        <v>2.1</v>
      </c>
      <c r="Q102" s="11" t="n">
        <v>15.75</v>
      </c>
      <c r="R102" s="11" t="n">
        <f aca="false">SUM(K102:Q102)</f>
        <v>145.345</v>
      </c>
      <c r="S102" s="11" t="n">
        <f aca="false">R102/(1-Resumo!$C$6)</f>
        <v>165.164772727273</v>
      </c>
      <c r="T102" s="11" t="n">
        <f aca="false">S102-J102</f>
        <v>56.0347727272727</v>
      </c>
      <c r="U102" s="12" t="n">
        <f aca="false">IFERROR(S102/J102-1,0)</f>
        <v>0.513468090600868</v>
      </c>
      <c r="V102" s="2" t="str">
        <f aca="false">IF(S102&lt;J102,"SIM","NÃO")</f>
        <v>NÃO</v>
      </c>
      <c r="W102" s="2" t="n">
        <v>10</v>
      </c>
      <c r="X102" s="2" t="s">
        <v>161</v>
      </c>
    </row>
    <row r="103" customFormat="false" ht="15" hidden="false" customHeight="false" outlineLevel="0" collapsed="false">
      <c r="A103" s="2" t="n">
        <v>356921852</v>
      </c>
      <c r="B103" s="29" t="n">
        <v>46212.8819907407</v>
      </c>
      <c r="C103" s="2" t="s">
        <v>191</v>
      </c>
      <c r="D103" s="2" t="s">
        <v>276</v>
      </c>
      <c r="E103" s="2" t="s">
        <v>78</v>
      </c>
      <c r="F103" s="2" t="s">
        <v>108</v>
      </c>
      <c r="G103" s="30" t="n">
        <v>44.5</v>
      </c>
      <c r="H103" s="11" t="n">
        <v>819.99</v>
      </c>
      <c r="I103" s="11" t="s">
        <v>155</v>
      </c>
      <c r="J103" s="11" t="n">
        <v>104.51</v>
      </c>
      <c r="K103" s="11" t="n">
        <v>93.97</v>
      </c>
      <c r="L103" s="11" t="n">
        <v>0.82</v>
      </c>
      <c r="M103" s="11" t="n">
        <v>1.64</v>
      </c>
      <c r="N103" s="11" t="n">
        <v>1</v>
      </c>
      <c r="O103" s="11" t="n">
        <v>4.5</v>
      </c>
      <c r="P103" s="11" t="n">
        <v>2.7</v>
      </c>
      <c r="Q103" s="11" t="n">
        <v>20.25</v>
      </c>
      <c r="R103" s="11" t="n">
        <f aca="false">SUM(K103:Q103)</f>
        <v>124.88</v>
      </c>
      <c r="S103" s="11" t="n">
        <f aca="false">R103/(1-Resumo!$C$6)</f>
        <v>141.909090909091</v>
      </c>
      <c r="T103" s="11" t="n">
        <f aca="false">S103-J103</f>
        <v>37.3990909090909</v>
      </c>
      <c r="U103" s="12" t="n">
        <f aca="false">IFERROR(S103/J103-1,0)</f>
        <v>0.35785179321683</v>
      </c>
      <c r="V103" s="2" t="str">
        <f aca="false">IF(S103&lt;J103,"SIM","NÃO")</f>
        <v>NÃO</v>
      </c>
      <c r="W103" s="2" t="n">
        <v>5</v>
      </c>
      <c r="X103" s="2" t="s">
        <v>156</v>
      </c>
    </row>
    <row r="104" customFormat="false" ht="15" hidden="false" customHeight="false" outlineLevel="0" collapsed="false">
      <c r="A104" s="2" t="n">
        <v>356924121</v>
      </c>
      <c r="B104" s="29" t="n">
        <v>46212.8863194444</v>
      </c>
      <c r="C104" s="2" t="s">
        <v>153</v>
      </c>
      <c r="D104" s="2" t="s">
        <v>277</v>
      </c>
      <c r="E104" s="2" t="s">
        <v>79</v>
      </c>
      <c r="F104" s="2" t="s">
        <v>110</v>
      </c>
      <c r="G104" s="30" t="n">
        <v>66.8</v>
      </c>
      <c r="H104" s="11" t="n">
        <v>643.99</v>
      </c>
      <c r="I104" s="11" t="s">
        <v>155</v>
      </c>
      <c r="J104" s="11" t="n">
        <v>139.52</v>
      </c>
      <c r="K104" s="11" t="n">
        <v>149.5</v>
      </c>
      <c r="L104" s="11" t="n">
        <v>0.644</v>
      </c>
      <c r="M104" s="11" t="n">
        <v>1.288</v>
      </c>
      <c r="N104" s="11" t="n">
        <v>1</v>
      </c>
      <c r="O104" s="11" t="n">
        <v>4.5</v>
      </c>
      <c r="P104" s="11" t="n">
        <v>4.02</v>
      </c>
      <c r="Q104" s="11" t="n">
        <v>30.15</v>
      </c>
      <c r="R104" s="11" t="n">
        <f aca="false">SUM(K104:Q104)</f>
        <v>191.102</v>
      </c>
      <c r="S104" s="11" t="n">
        <f aca="false">R104/(1-Resumo!$C$6)</f>
        <v>217.161363636364</v>
      </c>
      <c r="T104" s="11" t="n">
        <f aca="false">S104-J104</f>
        <v>77.6413636363636</v>
      </c>
      <c r="U104" s="12" t="n">
        <f aca="false">IFERROR(S104/J104-1,0)</f>
        <v>0.556489131567973</v>
      </c>
      <c r="V104" s="2" t="str">
        <f aca="false">IF(S104&lt;J104,"SIM","NÃO")</f>
        <v>NÃO</v>
      </c>
      <c r="W104" s="2" t="n">
        <v>7</v>
      </c>
      <c r="X104" s="2" t="s">
        <v>156</v>
      </c>
    </row>
    <row r="105" customFormat="false" ht="15" hidden="false" customHeight="false" outlineLevel="0" collapsed="false">
      <c r="A105" s="2" t="n">
        <v>356923422</v>
      </c>
      <c r="B105" s="29" t="n">
        <v>46212.8879513889</v>
      </c>
      <c r="C105" s="2" t="s">
        <v>178</v>
      </c>
      <c r="D105" s="2" t="s">
        <v>278</v>
      </c>
      <c r="E105" s="2" t="s">
        <v>82</v>
      </c>
      <c r="F105" s="2" t="s">
        <v>110</v>
      </c>
      <c r="G105" s="30" t="n">
        <v>69</v>
      </c>
      <c r="H105" s="11" t="n">
        <v>859.99</v>
      </c>
      <c r="I105" s="11" t="s">
        <v>155</v>
      </c>
      <c r="J105" s="11" t="n">
        <v>140.56</v>
      </c>
      <c r="K105" s="11" t="n">
        <v>149.5</v>
      </c>
      <c r="L105" s="11" t="n">
        <v>0.86</v>
      </c>
      <c r="M105" s="11" t="n">
        <v>1.72</v>
      </c>
      <c r="N105" s="11" t="n">
        <v>1</v>
      </c>
      <c r="O105" s="11" t="n">
        <v>4.5</v>
      </c>
      <c r="P105" s="11" t="n">
        <v>4.14</v>
      </c>
      <c r="Q105" s="11" t="n">
        <v>31.05</v>
      </c>
      <c r="R105" s="11" t="n">
        <f aca="false">SUM(K105:Q105)</f>
        <v>192.77</v>
      </c>
      <c r="S105" s="11" t="n">
        <f aca="false">R105/(1-Resumo!$C$6)</f>
        <v>219.056818181818</v>
      </c>
      <c r="T105" s="11" t="n">
        <f aca="false">S105-J105</f>
        <v>78.4968181818182</v>
      </c>
      <c r="U105" s="12" t="n">
        <f aca="false">IFERROR(S105/J105-1,0)</f>
        <v>0.558457727531433</v>
      </c>
      <c r="V105" s="2" t="str">
        <f aca="false">IF(S105&lt;J105,"SIM","NÃO")</f>
        <v>NÃO</v>
      </c>
      <c r="W105" s="2" t="n">
        <v>7</v>
      </c>
      <c r="X105" s="2" t="s">
        <v>156</v>
      </c>
    </row>
    <row r="106" customFormat="false" ht="15" hidden="false" customHeight="false" outlineLevel="0" collapsed="false">
      <c r="A106" s="2" t="n">
        <v>356938911</v>
      </c>
      <c r="B106" s="29" t="n">
        <v>46212.9213657407</v>
      </c>
      <c r="C106" s="2" t="s">
        <v>153</v>
      </c>
      <c r="D106" s="2" t="s">
        <v>279</v>
      </c>
      <c r="E106" s="2" t="s">
        <v>280</v>
      </c>
      <c r="F106" s="2" t="s">
        <v>109</v>
      </c>
      <c r="G106" s="30" t="n">
        <v>52.3</v>
      </c>
      <c r="H106" s="11" t="n">
        <v>643.99</v>
      </c>
      <c r="I106" s="11" t="s">
        <v>155</v>
      </c>
      <c r="J106" s="11" t="n">
        <v>142.76</v>
      </c>
      <c r="K106" s="11" t="n">
        <v>142.32</v>
      </c>
      <c r="L106" s="11" t="n">
        <v>0.644</v>
      </c>
      <c r="M106" s="11" t="n">
        <v>1.288</v>
      </c>
      <c r="N106" s="11" t="n">
        <v>1</v>
      </c>
      <c r="O106" s="11" t="n">
        <v>4.5</v>
      </c>
      <c r="P106" s="11" t="n">
        <v>3.18</v>
      </c>
      <c r="Q106" s="11" t="n">
        <v>23.85</v>
      </c>
      <c r="R106" s="11" t="n">
        <f aca="false">SUM(K106:Q106)</f>
        <v>176.782</v>
      </c>
      <c r="S106" s="11" t="n">
        <f aca="false">R106/(1-Resumo!$C$6)</f>
        <v>200.888636363636</v>
      </c>
      <c r="T106" s="11" t="n">
        <f aca="false">S106-J106</f>
        <v>58.1286363636364</v>
      </c>
      <c r="U106" s="12" t="n">
        <f aca="false">IFERROR(S106/J106-1,0)</f>
        <v>0.407177335133345</v>
      </c>
      <c r="V106" s="2" t="str">
        <f aca="false">IF(S106&lt;J106,"SIM","NÃO")</f>
        <v>NÃO</v>
      </c>
      <c r="W106" s="2" t="n">
        <v>10</v>
      </c>
      <c r="X106" s="2" t="s">
        <v>161</v>
      </c>
    </row>
    <row r="107" customFormat="false" ht="15" hidden="false" customHeight="false" outlineLevel="0" collapsed="false">
      <c r="A107" s="2" t="n">
        <v>356958229</v>
      </c>
      <c r="B107" s="29" t="n">
        <v>46212.9667939815</v>
      </c>
      <c r="C107" s="2" t="s">
        <v>153</v>
      </c>
      <c r="D107" s="2" t="s">
        <v>281</v>
      </c>
      <c r="E107" s="2" t="s">
        <v>78</v>
      </c>
      <c r="F107" s="2" t="s">
        <v>109</v>
      </c>
      <c r="G107" s="30" t="n">
        <v>52.3</v>
      </c>
      <c r="H107" s="11" t="n">
        <v>643.99</v>
      </c>
      <c r="I107" s="11" t="s">
        <v>155</v>
      </c>
      <c r="J107" s="11" t="n">
        <v>114.24</v>
      </c>
      <c r="K107" s="11" t="n">
        <v>112.3</v>
      </c>
      <c r="L107" s="11" t="n">
        <v>0.644</v>
      </c>
      <c r="M107" s="11" t="n">
        <v>1.288</v>
      </c>
      <c r="N107" s="11" t="n">
        <v>1</v>
      </c>
      <c r="O107" s="11" t="n">
        <v>4.5</v>
      </c>
      <c r="P107" s="11" t="n">
        <v>3.18</v>
      </c>
      <c r="Q107" s="11" t="n">
        <v>23.85</v>
      </c>
      <c r="R107" s="11" t="n">
        <f aca="false">SUM(K107:Q107)</f>
        <v>146.762</v>
      </c>
      <c r="S107" s="11" t="n">
        <f aca="false">R107/(1-Resumo!$C$6)</f>
        <v>166.775</v>
      </c>
      <c r="T107" s="11" t="n">
        <f aca="false">S107-J107</f>
        <v>52.535</v>
      </c>
      <c r="U107" s="12" t="n">
        <f aca="false">IFERROR(S107/J107-1,0)</f>
        <v>0.459865196078431</v>
      </c>
      <c r="V107" s="2" t="str">
        <f aca="false">IF(S107&lt;J107,"SIM","NÃO")</f>
        <v>NÃO</v>
      </c>
      <c r="W107" s="2" t="n">
        <v>5</v>
      </c>
      <c r="X107" s="2" t="s">
        <v>156</v>
      </c>
    </row>
    <row r="108" customFormat="false" ht="15" hidden="false" customHeight="false" outlineLevel="0" collapsed="false">
      <c r="A108" s="2" t="n">
        <v>356962698</v>
      </c>
      <c r="B108" s="29" t="n">
        <v>46212.9798611111</v>
      </c>
      <c r="C108" s="2" t="s">
        <v>153</v>
      </c>
      <c r="D108" s="2" t="s">
        <v>282</v>
      </c>
      <c r="E108" s="2" t="s">
        <v>283</v>
      </c>
      <c r="F108" s="2" t="s">
        <v>107</v>
      </c>
      <c r="G108" s="30" t="n">
        <v>40</v>
      </c>
      <c r="H108" s="11" t="n">
        <v>599.99</v>
      </c>
      <c r="I108" s="11" t="s">
        <v>155</v>
      </c>
      <c r="J108" s="11" t="n">
        <v>123.13</v>
      </c>
      <c r="K108" s="11" t="n">
        <v>143.04</v>
      </c>
      <c r="L108" s="11" t="n">
        <v>0.6</v>
      </c>
      <c r="M108" s="11" t="n">
        <v>1.2</v>
      </c>
      <c r="N108" s="11" t="n">
        <v>1</v>
      </c>
      <c r="O108" s="11" t="n">
        <v>4.5</v>
      </c>
      <c r="P108" s="11" t="n">
        <v>2.4</v>
      </c>
      <c r="Q108" s="11" t="n">
        <v>18</v>
      </c>
      <c r="R108" s="11" t="n">
        <f aca="false">SUM(K108:Q108)</f>
        <v>170.74</v>
      </c>
      <c r="S108" s="11" t="n">
        <f aca="false">R108/(1-Resumo!$C$6)</f>
        <v>194.022727272727</v>
      </c>
      <c r="T108" s="11" t="n">
        <f aca="false">S108-J108</f>
        <v>70.8927272727273</v>
      </c>
      <c r="U108" s="12" t="n">
        <f aca="false">IFERROR(S108/J108-1,0)</f>
        <v>0.575755114697696</v>
      </c>
      <c r="V108" s="2" t="str">
        <f aca="false">IF(S108&lt;J108,"SIM","NÃO")</f>
        <v>NÃO</v>
      </c>
      <c r="W108" s="2" t="n">
        <v>11</v>
      </c>
      <c r="X108" s="2" t="s">
        <v>161</v>
      </c>
    </row>
    <row r="109" customFormat="false" ht="15" hidden="false" customHeight="false" outlineLevel="0" collapsed="false">
      <c r="A109" s="2" t="n">
        <v>356972163</v>
      </c>
      <c r="B109" s="29" t="n">
        <v>46213.0104166667</v>
      </c>
      <c r="C109" s="2" t="s">
        <v>158</v>
      </c>
      <c r="D109" s="2" t="s">
        <v>284</v>
      </c>
      <c r="E109" s="2" t="s">
        <v>80</v>
      </c>
      <c r="F109" s="2" t="s">
        <v>108</v>
      </c>
      <c r="G109" s="30" t="n">
        <v>48</v>
      </c>
      <c r="H109" s="11" t="n">
        <v>899.98</v>
      </c>
      <c r="I109" s="11" t="s">
        <v>155</v>
      </c>
      <c r="J109" s="11" t="n">
        <v>118.39</v>
      </c>
      <c r="K109" s="11" t="n">
        <v>93.97</v>
      </c>
      <c r="L109" s="11" t="n">
        <v>0.9</v>
      </c>
      <c r="M109" s="11" t="n">
        <v>1.8</v>
      </c>
      <c r="N109" s="11" t="n">
        <v>1</v>
      </c>
      <c r="O109" s="11" t="n">
        <v>4.5</v>
      </c>
      <c r="P109" s="11" t="n">
        <v>2.88</v>
      </c>
      <c r="Q109" s="11" t="n">
        <v>21.6</v>
      </c>
      <c r="R109" s="11" t="n">
        <f aca="false">SUM(K109:Q109)</f>
        <v>126.65</v>
      </c>
      <c r="S109" s="11" t="n">
        <f aca="false">R109/(1-Resumo!$C$6)</f>
        <v>143.920454545455</v>
      </c>
      <c r="T109" s="11" t="n">
        <f aca="false">S109-J109</f>
        <v>25.5304545454546</v>
      </c>
      <c r="U109" s="12" t="n">
        <f aca="false">IFERROR(S109/J109-1,0)</f>
        <v>0.215647052499827</v>
      </c>
      <c r="V109" s="2" t="str">
        <f aca="false">IF(S109&lt;J109,"SIM","NÃO")</f>
        <v>NÃO</v>
      </c>
      <c r="W109" s="2" t="n">
        <v>5</v>
      </c>
      <c r="X109" s="2" t="s">
        <v>156</v>
      </c>
    </row>
    <row r="110" customFormat="false" ht="15" hidden="false" customHeight="false" outlineLevel="0" collapsed="false">
      <c r="A110" s="2" t="n">
        <v>357062226</v>
      </c>
      <c r="B110" s="29" t="n">
        <v>46213.0746527778</v>
      </c>
      <c r="C110" s="2" t="s">
        <v>191</v>
      </c>
      <c r="D110" s="2" t="s">
        <v>285</v>
      </c>
      <c r="E110" s="2" t="s">
        <v>78</v>
      </c>
      <c r="F110" s="2" t="s">
        <v>110</v>
      </c>
      <c r="G110" s="30" t="n">
        <v>69</v>
      </c>
      <c r="H110" s="11" t="n">
        <v>695.99</v>
      </c>
      <c r="I110" s="11" t="s">
        <v>155</v>
      </c>
      <c r="J110" s="11" t="n">
        <v>124.53</v>
      </c>
      <c r="K110" s="11" t="n">
        <v>131.02</v>
      </c>
      <c r="L110" s="11" t="n">
        <v>0.696</v>
      </c>
      <c r="M110" s="11" t="n">
        <v>1.392</v>
      </c>
      <c r="N110" s="11" t="n">
        <v>1</v>
      </c>
      <c r="O110" s="11" t="n">
        <v>4.5</v>
      </c>
      <c r="P110" s="11" t="n">
        <v>4.14</v>
      </c>
      <c r="Q110" s="11" t="n">
        <v>31.05</v>
      </c>
      <c r="R110" s="11" t="n">
        <f aca="false">SUM(K110:Q110)</f>
        <v>173.798</v>
      </c>
      <c r="S110" s="11" t="n">
        <f aca="false">R110/(1-Resumo!$C$6)</f>
        <v>197.497727272727</v>
      </c>
      <c r="T110" s="11" t="n">
        <f aca="false">S110-J110</f>
        <v>72.9677272727273</v>
      </c>
      <c r="U110" s="12" t="n">
        <f aca="false">IFERROR(S110/J110-1,0)</f>
        <v>0.585944971273808</v>
      </c>
      <c r="V110" s="2" t="str">
        <f aca="false">IF(S110&lt;J110,"SIM","NÃO")</f>
        <v>NÃO</v>
      </c>
      <c r="W110" s="2" t="n">
        <v>5</v>
      </c>
      <c r="X110" s="2" t="s">
        <v>156</v>
      </c>
    </row>
    <row r="111" customFormat="false" ht="15" hidden="false" customHeight="false" outlineLevel="0" collapsed="false">
      <c r="A111" s="2" t="n">
        <v>357029130</v>
      </c>
      <c r="B111" s="29" t="n">
        <v>46213.2619560185</v>
      </c>
      <c r="C111" s="2" t="s">
        <v>158</v>
      </c>
      <c r="D111" s="2" t="s">
        <v>286</v>
      </c>
      <c r="E111" s="2" t="s">
        <v>203</v>
      </c>
      <c r="F111" s="2" t="s">
        <v>109</v>
      </c>
      <c r="G111" s="30" t="n">
        <v>52.3</v>
      </c>
      <c r="H111" s="11" t="n">
        <v>644.83</v>
      </c>
      <c r="I111" s="11" t="s">
        <v>155</v>
      </c>
      <c r="J111" s="11" t="n">
        <v>142.76</v>
      </c>
      <c r="K111" s="11" t="n">
        <v>122.3</v>
      </c>
      <c r="L111" s="11" t="n">
        <v>0.6448</v>
      </c>
      <c r="M111" s="11" t="n">
        <v>1.2897</v>
      </c>
      <c r="N111" s="11" t="n">
        <v>1</v>
      </c>
      <c r="O111" s="11" t="n">
        <v>4.5</v>
      </c>
      <c r="P111" s="11" t="n">
        <v>3.18</v>
      </c>
      <c r="Q111" s="11" t="n">
        <v>23.85</v>
      </c>
      <c r="R111" s="11" t="n">
        <f aca="false">SUM(K111:Q111)</f>
        <v>156.7645</v>
      </c>
      <c r="S111" s="11" t="n">
        <f aca="false">R111/(1-Resumo!$C$6)</f>
        <v>178.141477272727</v>
      </c>
      <c r="T111" s="11" t="n">
        <f aca="false">S111-J111</f>
        <v>35.3814772727273</v>
      </c>
      <c r="U111" s="12" t="n">
        <f aca="false">IFERROR(S111/J111-1,0)</f>
        <v>0.247838871341603</v>
      </c>
      <c r="V111" s="2" t="str">
        <f aca="false">IF(S111&lt;J111,"SIM","NÃO")</f>
        <v>NÃO</v>
      </c>
      <c r="W111" s="2" t="n">
        <v>5</v>
      </c>
      <c r="X111" s="2" t="s">
        <v>161</v>
      </c>
    </row>
    <row r="112" customFormat="false" ht="15" hidden="false" customHeight="false" outlineLevel="0" collapsed="false">
      <c r="A112" s="2" t="n">
        <v>357055154</v>
      </c>
      <c r="B112" s="29" t="n">
        <v>46213.3598032407</v>
      </c>
      <c r="C112" s="2" t="s">
        <v>158</v>
      </c>
      <c r="D112" s="2" t="s">
        <v>287</v>
      </c>
      <c r="E112" s="2" t="s">
        <v>92</v>
      </c>
      <c r="F112" s="2" t="s">
        <v>110</v>
      </c>
      <c r="G112" s="30" t="n">
        <v>66.8</v>
      </c>
      <c r="H112" s="11" t="n">
        <v>888.88</v>
      </c>
      <c r="I112" s="11" t="s">
        <v>155</v>
      </c>
      <c r="J112" s="11" t="n">
        <v>156.28</v>
      </c>
      <c r="K112" s="11" t="n">
        <v>166.05</v>
      </c>
      <c r="L112" s="11" t="n">
        <v>0.8889</v>
      </c>
      <c r="M112" s="11" t="n">
        <v>1.7778</v>
      </c>
      <c r="N112" s="11" t="n">
        <v>1</v>
      </c>
      <c r="O112" s="11" t="n">
        <v>4.5</v>
      </c>
      <c r="P112" s="11" t="n">
        <v>4.02</v>
      </c>
      <c r="Q112" s="11" t="n">
        <v>30.15</v>
      </c>
      <c r="R112" s="11" t="n">
        <f aca="false">SUM(K112:Q112)</f>
        <v>208.3867</v>
      </c>
      <c r="S112" s="11" t="n">
        <f aca="false">R112/(1-Resumo!$C$6)</f>
        <v>236.803068181818</v>
      </c>
      <c r="T112" s="11" t="n">
        <f aca="false">S112-J112</f>
        <v>80.5230681818182</v>
      </c>
      <c r="U112" s="12" t="n">
        <f aca="false">IFERROR(S112/J112-1,0)</f>
        <v>0.515248708611583</v>
      </c>
      <c r="V112" s="2" t="str">
        <f aca="false">IF(S112&lt;J112,"SIM","NÃO")</f>
        <v>NÃO</v>
      </c>
      <c r="W112" s="2" t="n">
        <v>10</v>
      </c>
      <c r="X112" s="2" t="s">
        <v>156</v>
      </c>
    </row>
    <row r="113" customFormat="false" ht="15" hidden="false" customHeight="false" outlineLevel="0" collapsed="false">
      <c r="A113" s="2" t="n">
        <v>357065213</v>
      </c>
      <c r="B113" s="29" t="n">
        <v>46213.3848726852</v>
      </c>
      <c r="C113" s="2" t="s">
        <v>158</v>
      </c>
      <c r="D113" s="2" t="s">
        <v>288</v>
      </c>
      <c r="E113" s="2" t="s">
        <v>79</v>
      </c>
      <c r="F113" s="2" t="s">
        <v>108</v>
      </c>
      <c r="G113" s="30" t="n">
        <v>48</v>
      </c>
      <c r="H113" s="11" t="n">
        <v>939.98</v>
      </c>
      <c r="I113" s="11" t="s">
        <v>155</v>
      </c>
      <c r="J113" s="11" t="n">
        <v>118.58</v>
      </c>
      <c r="K113" s="11" t="n">
        <v>114.95</v>
      </c>
      <c r="L113" s="11" t="n">
        <v>0.94</v>
      </c>
      <c r="M113" s="11" t="n">
        <v>1.88</v>
      </c>
      <c r="N113" s="11" t="n">
        <v>1</v>
      </c>
      <c r="O113" s="11" t="n">
        <v>4.5</v>
      </c>
      <c r="P113" s="11" t="n">
        <v>2.88</v>
      </c>
      <c r="Q113" s="11" t="n">
        <v>21.6</v>
      </c>
      <c r="R113" s="11" t="n">
        <f aca="false">SUM(K113:Q113)</f>
        <v>147.75</v>
      </c>
      <c r="S113" s="11" t="n">
        <f aca="false">R113/(1-Resumo!$C$6)</f>
        <v>167.897727272727</v>
      </c>
      <c r="T113" s="11" t="n">
        <f aca="false">S113-J113</f>
        <v>49.3177272727273</v>
      </c>
      <c r="U113" s="12" t="n">
        <f aca="false">IFERROR(S113/J113-1,0)</f>
        <v>0.415902574403165</v>
      </c>
      <c r="V113" s="2" t="str">
        <f aca="false">IF(S113&lt;J113,"SIM","NÃO")</f>
        <v>NÃO</v>
      </c>
      <c r="W113" s="2" t="n">
        <v>7</v>
      </c>
      <c r="X113" s="2" t="s">
        <v>156</v>
      </c>
    </row>
    <row r="114" customFormat="false" ht="15" hidden="false" customHeight="false" outlineLevel="0" collapsed="false">
      <c r="A114" s="2" t="n">
        <v>357100369</v>
      </c>
      <c r="B114" s="29" t="n">
        <v>46213.4549305556</v>
      </c>
      <c r="C114" s="2" t="s">
        <v>153</v>
      </c>
      <c r="D114" s="2" t="s">
        <v>289</v>
      </c>
      <c r="E114" s="2" t="s">
        <v>80</v>
      </c>
      <c r="F114" s="2" t="s">
        <v>109</v>
      </c>
      <c r="G114" s="30" t="n">
        <v>52.3</v>
      </c>
      <c r="H114" s="11" t="n">
        <v>643.99</v>
      </c>
      <c r="I114" s="11" t="s">
        <v>155</v>
      </c>
      <c r="J114" s="11" t="n">
        <v>128.38</v>
      </c>
      <c r="K114" s="11" t="n">
        <v>112.3</v>
      </c>
      <c r="L114" s="11" t="n">
        <v>0.644</v>
      </c>
      <c r="M114" s="11" t="n">
        <v>1.288</v>
      </c>
      <c r="N114" s="11" t="n">
        <v>1</v>
      </c>
      <c r="O114" s="11" t="n">
        <v>4.5</v>
      </c>
      <c r="P114" s="11" t="n">
        <v>3.18</v>
      </c>
      <c r="Q114" s="11" t="n">
        <v>23.85</v>
      </c>
      <c r="R114" s="11" t="n">
        <f aca="false">SUM(K114:Q114)</f>
        <v>146.762</v>
      </c>
      <c r="S114" s="11" t="n">
        <f aca="false">R114/(1-Resumo!$C$6)</f>
        <v>166.775</v>
      </c>
      <c r="T114" s="11" t="n">
        <f aca="false">S114-J114</f>
        <v>38.395</v>
      </c>
      <c r="U114" s="12" t="n">
        <f aca="false">IFERROR(S114/J114-1,0)</f>
        <v>0.29907306434024</v>
      </c>
      <c r="V114" s="2" t="str">
        <f aca="false">IF(S114&lt;J114,"SIM","NÃO")</f>
        <v>NÃO</v>
      </c>
      <c r="W114" s="2" t="n">
        <v>5</v>
      </c>
      <c r="X114" s="2" t="s">
        <v>156</v>
      </c>
    </row>
    <row r="115" customFormat="false" ht="15" hidden="false" customHeight="false" outlineLevel="0" collapsed="false">
      <c r="A115" s="2" t="n">
        <v>357101191</v>
      </c>
      <c r="B115" s="29" t="n">
        <v>46213.4567939815</v>
      </c>
      <c r="C115" s="2" t="s">
        <v>153</v>
      </c>
      <c r="D115" s="2" t="s">
        <v>290</v>
      </c>
      <c r="E115" s="2" t="s">
        <v>83</v>
      </c>
      <c r="F115" s="2" t="s">
        <v>109</v>
      </c>
      <c r="G115" s="30" t="n">
        <v>52.3</v>
      </c>
      <c r="H115" s="11" t="n">
        <v>644.99</v>
      </c>
      <c r="I115" s="11" t="s">
        <v>155</v>
      </c>
      <c r="J115" s="11" t="n">
        <v>142.76</v>
      </c>
      <c r="K115" s="11" t="n">
        <v>162.04</v>
      </c>
      <c r="L115" s="11" t="n">
        <v>0.645</v>
      </c>
      <c r="M115" s="11" t="n">
        <v>1.29</v>
      </c>
      <c r="N115" s="11" t="n">
        <v>1</v>
      </c>
      <c r="O115" s="11" t="n">
        <v>4.5</v>
      </c>
      <c r="P115" s="11" t="n">
        <v>3.18</v>
      </c>
      <c r="Q115" s="11" t="n">
        <v>23.85</v>
      </c>
      <c r="R115" s="11" t="n">
        <f aca="false">SUM(K115:Q115)</f>
        <v>196.505</v>
      </c>
      <c r="S115" s="11" t="n">
        <f aca="false">R115/(1-Resumo!$C$6)</f>
        <v>223.301136363636</v>
      </c>
      <c r="T115" s="11" t="n">
        <f aca="false">S115-J115</f>
        <v>80.5411363636364</v>
      </c>
      <c r="U115" s="12" t="n">
        <f aca="false">IFERROR(S115/J115-1,0)</f>
        <v>0.564171591227489</v>
      </c>
      <c r="V115" s="2" t="str">
        <f aca="false">IF(S115&lt;J115,"SIM","NÃO")</f>
        <v>NÃO</v>
      </c>
      <c r="W115" s="2" t="n">
        <v>11</v>
      </c>
      <c r="X115" s="2" t="s">
        <v>156</v>
      </c>
    </row>
    <row r="116" customFormat="false" ht="15" hidden="false" customHeight="false" outlineLevel="0" collapsed="false">
      <c r="A116" s="2" t="n">
        <v>357104488</v>
      </c>
      <c r="B116" s="29" t="n">
        <v>46213.4639814815</v>
      </c>
      <c r="C116" s="2" t="s">
        <v>158</v>
      </c>
      <c r="D116" s="2" t="s">
        <v>291</v>
      </c>
      <c r="E116" s="2" t="s">
        <v>82</v>
      </c>
      <c r="F116" s="2" t="s">
        <v>110</v>
      </c>
      <c r="G116" s="30" t="n">
        <v>66.8</v>
      </c>
      <c r="H116" s="11" t="n">
        <v>630.3</v>
      </c>
      <c r="I116" s="11" t="s">
        <v>155</v>
      </c>
      <c r="J116" s="11" t="n">
        <v>139.45</v>
      </c>
      <c r="K116" s="11" t="n">
        <v>149.5</v>
      </c>
      <c r="L116" s="11" t="n">
        <v>0.6303</v>
      </c>
      <c r="M116" s="11" t="n">
        <v>1.2606</v>
      </c>
      <c r="N116" s="11" t="n">
        <v>1</v>
      </c>
      <c r="O116" s="11" t="n">
        <v>4.5</v>
      </c>
      <c r="P116" s="11" t="n">
        <v>4.02</v>
      </c>
      <c r="Q116" s="11" t="n">
        <v>30.15</v>
      </c>
      <c r="R116" s="11" t="n">
        <f aca="false">SUM(K116:Q116)</f>
        <v>191.0609</v>
      </c>
      <c r="S116" s="11" t="n">
        <f aca="false">R116/(1-Resumo!$C$6)</f>
        <v>217.114659090909</v>
      </c>
      <c r="T116" s="11" t="n">
        <f aca="false">S116-J116</f>
        <v>77.6646590909091</v>
      </c>
      <c r="U116" s="12" t="n">
        <f aca="false">IFERROR(S116/J116-1,0)</f>
        <v>0.556935525929789</v>
      </c>
      <c r="V116" s="2" t="str">
        <f aca="false">IF(S116&lt;J116,"SIM","NÃO")</f>
        <v>NÃO</v>
      </c>
      <c r="W116" s="2" t="n">
        <v>7</v>
      </c>
      <c r="X116" s="2" t="s">
        <v>156</v>
      </c>
    </row>
    <row r="117" customFormat="false" ht="15" hidden="false" customHeight="false" outlineLevel="0" collapsed="false">
      <c r="A117" s="2" t="n">
        <v>357105227</v>
      </c>
      <c r="B117" s="29" t="n">
        <v>46213.4656712963</v>
      </c>
      <c r="C117" s="2" t="s">
        <v>153</v>
      </c>
      <c r="D117" s="2" t="s">
        <v>292</v>
      </c>
      <c r="E117" s="2" t="s">
        <v>293</v>
      </c>
      <c r="F117" s="2" t="s">
        <v>108</v>
      </c>
      <c r="G117" s="30" t="n">
        <v>41</v>
      </c>
      <c r="H117" s="11" t="n">
        <v>515.19</v>
      </c>
      <c r="I117" s="11" t="s">
        <v>155</v>
      </c>
      <c r="J117" s="11" t="n">
        <v>130.62</v>
      </c>
      <c r="K117" s="11" t="n">
        <v>152.54</v>
      </c>
      <c r="L117" s="11" t="n">
        <v>0.5152</v>
      </c>
      <c r="M117" s="11" t="n">
        <v>1.0304</v>
      </c>
      <c r="N117" s="11" t="n">
        <v>1</v>
      </c>
      <c r="O117" s="11" t="n">
        <v>4.5</v>
      </c>
      <c r="P117" s="11" t="n">
        <v>2.46</v>
      </c>
      <c r="Q117" s="11" t="n">
        <v>18.45</v>
      </c>
      <c r="R117" s="11" t="n">
        <f aca="false">SUM(K117:Q117)</f>
        <v>180.4956</v>
      </c>
      <c r="S117" s="11" t="n">
        <f aca="false">R117/(1-Resumo!$C$6)</f>
        <v>205.108636363636</v>
      </c>
      <c r="T117" s="11" t="n">
        <f aca="false">S117-J117</f>
        <v>74.4886363636363</v>
      </c>
      <c r="U117" s="12" t="n">
        <f aca="false">IFERROR(S117/J117-1,0)</f>
        <v>0.570269762391949</v>
      </c>
      <c r="V117" s="2" t="str">
        <f aca="false">IF(S117&lt;J117,"SIM","NÃO")</f>
        <v>NÃO</v>
      </c>
      <c r="W117" s="2" t="n">
        <v>11</v>
      </c>
      <c r="X117" s="2" t="s">
        <v>161</v>
      </c>
    </row>
    <row r="118" customFormat="false" ht="15" hidden="false" customHeight="false" outlineLevel="0" collapsed="false">
      <c r="A118" s="2" t="n">
        <v>357142328</v>
      </c>
      <c r="B118" s="29" t="n">
        <v>46213.5474305556</v>
      </c>
      <c r="C118" s="2" t="s">
        <v>153</v>
      </c>
      <c r="D118" s="2" t="s">
        <v>294</v>
      </c>
      <c r="E118" s="2" t="s">
        <v>78</v>
      </c>
      <c r="F118" s="2" t="s">
        <v>107</v>
      </c>
      <c r="G118" s="30" t="n">
        <v>37.2</v>
      </c>
      <c r="H118" s="11" t="n">
        <v>359.99</v>
      </c>
      <c r="I118" s="11" t="s">
        <v>155</v>
      </c>
      <c r="J118" s="11" t="n">
        <v>91.58</v>
      </c>
      <c r="K118" s="11" t="n">
        <v>93.97</v>
      </c>
      <c r="L118" s="11" t="n">
        <v>0.36</v>
      </c>
      <c r="M118" s="11" t="n">
        <v>0.72</v>
      </c>
      <c r="N118" s="11" t="n">
        <v>1</v>
      </c>
      <c r="O118" s="11" t="n">
        <v>4.5</v>
      </c>
      <c r="P118" s="11" t="n">
        <v>2.28</v>
      </c>
      <c r="Q118" s="11" t="n">
        <v>17.1</v>
      </c>
      <c r="R118" s="11" t="n">
        <f aca="false">SUM(K118:Q118)</f>
        <v>119.93</v>
      </c>
      <c r="S118" s="11" t="n">
        <f aca="false">R118/(1-Resumo!$C$6)</f>
        <v>136.284090909091</v>
      </c>
      <c r="T118" s="11" t="n">
        <f aca="false">S118-J118</f>
        <v>44.7040909090909</v>
      </c>
      <c r="U118" s="12" t="n">
        <f aca="false">IFERROR(S118/J118-1,0)</f>
        <v>0.488142508288828</v>
      </c>
      <c r="V118" s="2" t="str">
        <f aca="false">IF(S118&lt;J118,"SIM","NÃO")</f>
        <v>NÃO</v>
      </c>
      <c r="W118" s="2" t="n">
        <v>5</v>
      </c>
      <c r="X118" s="2" t="s">
        <v>156</v>
      </c>
    </row>
    <row r="119" customFormat="false" ht="15" hidden="false" customHeight="false" outlineLevel="0" collapsed="false">
      <c r="A119" s="2" t="n">
        <v>357151739</v>
      </c>
      <c r="B119" s="29" t="n">
        <v>46213.5684027778</v>
      </c>
      <c r="C119" s="2" t="s">
        <v>153</v>
      </c>
      <c r="D119" s="2" t="s">
        <v>295</v>
      </c>
      <c r="E119" s="2" t="s">
        <v>78</v>
      </c>
      <c r="F119" s="2" t="s">
        <v>109</v>
      </c>
      <c r="G119" s="30" t="n">
        <v>52.3</v>
      </c>
      <c r="H119" s="11" t="n">
        <v>643.99</v>
      </c>
      <c r="I119" s="11" t="s">
        <v>155</v>
      </c>
      <c r="J119" s="11" t="n">
        <v>114.24</v>
      </c>
      <c r="K119" s="11" t="n">
        <v>112.3</v>
      </c>
      <c r="L119" s="11" t="n">
        <v>0.644</v>
      </c>
      <c r="M119" s="11" t="n">
        <v>1.288</v>
      </c>
      <c r="N119" s="11" t="n">
        <v>1</v>
      </c>
      <c r="O119" s="11" t="n">
        <v>4.5</v>
      </c>
      <c r="P119" s="11" t="n">
        <v>3.18</v>
      </c>
      <c r="Q119" s="11" t="n">
        <v>23.85</v>
      </c>
      <c r="R119" s="11" t="n">
        <f aca="false">SUM(K119:Q119)</f>
        <v>146.762</v>
      </c>
      <c r="S119" s="11" t="n">
        <f aca="false">R119/(1-Resumo!$C$6)</f>
        <v>166.775</v>
      </c>
      <c r="T119" s="11" t="n">
        <f aca="false">S119-J119</f>
        <v>52.535</v>
      </c>
      <c r="U119" s="12" t="n">
        <f aca="false">IFERROR(S119/J119-1,0)</f>
        <v>0.459865196078431</v>
      </c>
      <c r="V119" s="2" t="str">
        <f aca="false">IF(S119&lt;J119,"SIM","NÃO")</f>
        <v>NÃO</v>
      </c>
      <c r="W119" s="2" t="n">
        <v>5</v>
      </c>
      <c r="X119" s="2" t="s">
        <v>156</v>
      </c>
    </row>
    <row r="120" customFormat="false" ht="15" hidden="false" customHeight="false" outlineLevel="0" collapsed="false">
      <c r="A120" s="2" t="n">
        <v>357155407</v>
      </c>
      <c r="B120" s="29" t="n">
        <v>46213.5761574074</v>
      </c>
      <c r="C120" s="2" t="s">
        <v>153</v>
      </c>
      <c r="D120" s="2" t="s">
        <v>296</v>
      </c>
      <c r="E120" s="2" t="s">
        <v>80</v>
      </c>
      <c r="F120" s="2" t="s">
        <v>110</v>
      </c>
      <c r="G120" s="30" t="n">
        <v>63.9</v>
      </c>
      <c r="H120" s="11" t="n">
        <v>799.99</v>
      </c>
      <c r="I120" s="11" t="s">
        <v>155</v>
      </c>
      <c r="J120" s="11" t="n">
        <v>140.27</v>
      </c>
      <c r="K120" s="11" t="n">
        <v>131.02</v>
      </c>
      <c r="L120" s="11" t="n">
        <v>0.8</v>
      </c>
      <c r="M120" s="11" t="n">
        <v>1.6</v>
      </c>
      <c r="N120" s="11" t="n">
        <v>1</v>
      </c>
      <c r="O120" s="11" t="n">
        <v>4.5</v>
      </c>
      <c r="P120" s="11" t="n">
        <v>3.84</v>
      </c>
      <c r="Q120" s="11" t="n">
        <v>28.8</v>
      </c>
      <c r="R120" s="11" t="n">
        <f aca="false">SUM(K120:Q120)</f>
        <v>171.56</v>
      </c>
      <c r="S120" s="11" t="n">
        <f aca="false">R120/(1-Resumo!$C$6)</f>
        <v>194.954545454546</v>
      </c>
      <c r="T120" s="11" t="n">
        <f aca="false">S120-J120</f>
        <v>54.6845454545455</v>
      </c>
      <c r="U120" s="12" t="n">
        <f aca="false">IFERROR(S120/J120-1,0)</f>
        <v>0.38985203860088</v>
      </c>
      <c r="V120" s="2" t="str">
        <f aca="false">IF(S120&lt;J120,"SIM","NÃO")</f>
        <v>NÃO</v>
      </c>
      <c r="W120" s="2" t="n">
        <v>5</v>
      </c>
      <c r="X120" s="2" t="s">
        <v>156</v>
      </c>
    </row>
    <row r="121" customFormat="false" ht="15" hidden="false" customHeight="false" outlineLevel="0" collapsed="false">
      <c r="A121" s="2" t="n">
        <v>357200311</v>
      </c>
      <c r="B121" s="29" t="n">
        <v>46213.687974537</v>
      </c>
      <c r="C121" s="2" t="s">
        <v>153</v>
      </c>
      <c r="D121" s="2" t="s">
        <v>297</v>
      </c>
      <c r="E121" s="2" t="s">
        <v>78</v>
      </c>
      <c r="F121" s="2" t="s">
        <v>108</v>
      </c>
      <c r="G121" s="30" t="n">
        <v>41</v>
      </c>
      <c r="H121" s="11" t="n">
        <v>515.19</v>
      </c>
      <c r="I121" s="11" t="s">
        <v>155</v>
      </c>
      <c r="J121" s="11" t="n">
        <v>103.06</v>
      </c>
      <c r="K121" s="11" t="n">
        <v>93.97</v>
      </c>
      <c r="L121" s="11" t="n">
        <v>0.5152</v>
      </c>
      <c r="M121" s="11" t="n">
        <v>1.0304</v>
      </c>
      <c r="N121" s="11" t="n">
        <v>1</v>
      </c>
      <c r="O121" s="11" t="n">
        <v>4.5</v>
      </c>
      <c r="P121" s="11" t="n">
        <v>2.46</v>
      </c>
      <c r="Q121" s="11" t="n">
        <v>18.45</v>
      </c>
      <c r="R121" s="11" t="n">
        <f aca="false">SUM(K121:Q121)</f>
        <v>121.9256</v>
      </c>
      <c r="S121" s="11" t="n">
        <f aca="false">R121/(1-Resumo!$C$6)</f>
        <v>138.551818181818</v>
      </c>
      <c r="T121" s="11" t="n">
        <f aca="false">S121-J121</f>
        <v>35.4918181818182</v>
      </c>
      <c r="U121" s="12" t="n">
        <f aca="false">IFERROR(S121/J121-1,0)</f>
        <v>0.344380149251098</v>
      </c>
      <c r="V121" s="2" t="str">
        <f aca="false">IF(S121&lt;J121,"SIM","NÃO")</f>
        <v>NÃO</v>
      </c>
      <c r="W121" s="2" t="n">
        <v>5</v>
      </c>
      <c r="X121" s="2" t="s">
        <v>156</v>
      </c>
    </row>
    <row r="122" customFormat="false" ht="15" hidden="false" customHeight="false" outlineLevel="0" collapsed="false">
      <c r="A122" s="2" t="n">
        <v>357230817</v>
      </c>
      <c r="B122" s="29" t="n">
        <v>46213.7650694445</v>
      </c>
      <c r="C122" s="2" t="s">
        <v>153</v>
      </c>
      <c r="D122" s="2" t="s">
        <v>298</v>
      </c>
      <c r="E122" s="2" t="s">
        <v>78</v>
      </c>
      <c r="F122" s="2" t="s">
        <v>108</v>
      </c>
      <c r="G122" s="30" t="n">
        <v>46.8</v>
      </c>
      <c r="H122" s="11" t="n">
        <v>556.99</v>
      </c>
      <c r="I122" s="11" t="s">
        <v>155</v>
      </c>
      <c r="J122" s="11" t="n">
        <v>103.25</v>
      </c>
      <c r="K122" s="11" t="n">
        <v>93.97</v>
      </c>
      <c r="L122" s="11" t="n">
        <v>0.557</v>
      </c>
      <c r="M122" s="11" t="n">
        <v>1.114</v>
      </c>
      <c r="N122" s="11" t="n">
        <v>1</v>
      </c>
      <c r="O122" s="11" t="n">
        <v>4.5</v>
      </c>
      <c r="P122" s="11" t="n">
        <v>2.82</v>
      </c>
      <c r="Q122" s="11" t="n">
        <v>21.15</v>
      </c>
      <c r="R122" s="11" t="n">
        <f aca="false">SUM(K122:Q122)</f>
        <v>125.111</v>
      </c>
      <c r="S122" s="11" t="n">
        <f aca="false">R122/(1-Resumo!$C$6)</f>
        <v>142.171590909091</v>
      </c>
      <c r="T122" s="11" t="n">
        <f aca="false">S122-J122</f>
        <v>38.9215909090909</v>
      </c>
      <c r="U122" s="12" t="n">
        <f aca="false">IFERROR(S122/J122-1,0)</f>
        <v>0.376964560862866</v>
      </c>
      <c r="V122" s="2" t="str">
        <f aca="false">IF(S122&lt;J122,"SIM","NÃO")</f>
        <v>NÃO</v>
      </c>
      <c r="W122" s="2" t="n">
        <v>5</v>
      </c>
      <c r="X122" s="2" t="s">
        <v>156</v>
      </c>
    </row>
    <row r="123" customFormat="false" ht="15" hidden="false" customHeight="false" outlineLevel="0" collapsed="false">
      <c r="A123" s="2" t="n">
        <v>357239929</v>
      </c>
      <c r="B123" s="29" t="n">
        <v>46213.7881597222</v>
      </c>
      <c r="C123" s="2" t="s">
        <v>153</v>
      </c>
      <c r="D123" s="2" t="s">
        <v>299</v>
      </c>
      <c r="E123" s="2" t="s">
        <v>82</v>
      </c>
      <c r="F123" s="2" t="s">
        <v>109</v>
      </c>
      <c r="G123" s="30" t="n">
        <v>52.3</v>
      </c>
      <c r="H123" s="11" t="n">
        <v>644.99</v>
      </c>
      <c r="I123" s="11" t="s">
        <v>155</v>
      </c>
      <c r="J123" s="11" t="n">
        <v>128.38</v>
      </c>
      <c r="K123" s="11" t="n">
        <v>128.14</v>
      </c>
      <c r="L123" s="11" t="n">
        <v>0.645</v>
      </c>
      <c r="M123" s="11" t="n">
        <v>1.29</v>
      </c>
      <c r="N123" s="11" t="n">
        <v>1</v>
      </c>
      <c r="O123" s="11" t="n">
        <v>4.5</v>
      </c>
      <c r="P123" s="11" t="n">
        <v>3.18</v>
      </c>
      <c r="Q123" s="11" t="n">
        <v>23.85</v>
      </c>
      <c r="R123" s="11" t="n">
        <f aca="false">SUM(K123:Q123)</f>
        <v>162.605</v>
      </c>
      <c r="S123" s="11" t="n">
        <f aca="false">R123/(1-Resumo!$C$6)</f>
        <v>184.778409090909</v>
      </c>
      <c r="T123" s="11" t="n">
        <f aca="false">S123-J123</f>
        <v>56.3984090909091</v>
      </c>
      <c r="U123" s="12" t="n">
        <f aca="false">IFERROR(S123/J123-1,0)</f>
        <v>0.439308374286564</v>
      </c>
      <c r="V123" s="2" t="str">
        <f aca="false">IF(S123&lt;J123,"SIM","NÃO")</f>
        <v>NÃO</v>
      </c>
      <c r="W123" s="2" t="n">
        <v>7</v>
      </c>
      <c r="X123" s="2" t="s">
        <v>156</v>
      </c>
    </row>
    <row r="124" customFormat="false" ht="15" hidden="false" customHeight="false" outlineLevel="0" collapsed="false">
      <c r="A124" s="2" t="n">
        <v>357250472</v>
      </c>
      <c r="B124" s="29" t="n">
        <v>46213.8119444445</v>
      </c>
      <c r="C124" s="2" t="s">
        <v>191</v>
      </c>
      <c r="D124" s="2" t="s">
        <v>300</v>
      </c>
      <c r="E124" s="2" t="s">
        <v>84</v>
      </c>
      <c r="F124" s="2" t="s">
        <v>109</v>
      </c>
      <c r="G124" s="30" t="n">
        <v>52.3</v>
      </c>
      <c r="H124" s="11" t="n">
        <v>688.24</v>
      </c>
      <c r="I124" s="11" t="s">
        <v>155</v>
      </c>
      <c r="J124" s="11" t="n">
        <v>128.59</v>
      </c>
      <c r="K124" s="11" t="n">
        <v>112.3</v>
      </c>
      <c r="L124" s="11" t="n">
        <v>0.6882</v>
      </c>
      <c r="M124" s="11" t="n">
        <v>1.3765</v>
      </c>
      <c r="N124" s="11" t="n">
        <v>1</v>
      </c>
      <c r="O124" s="11" t="n">
        <v>4.5</v>
      </c>
      <c r="P124" s="11" t="n">
        <v>3.18</v>
      </c>
      <c r="Q124" s="11" t="n">
        <v>23.85</v>
      </c>
      <c r="R124" s="11" t="n">
        <f aca="false">SUM(K124:Q124)</f>
        <v>146.8947</v>
      </c>
      <c r="S124" s="11" t="n">
        <f aca="false">R124/(1-Resumo!$C$6)</f>
        <v>166.925795454545</v>
      </c>
      <c r="T124" s="11" t="n">
        <f aca="false">S124-J124</f>
        <v>38.3357954545455</v>
      </c>
      <c r="U124" s="12" t="n">
        <f aca="false">IFERROR(S124/J124-1,0)</f>
        <v>0.298124235590213</v>
      </c>
      <c r="V124" s="2" t="str">
        <f aca="false">IF(S124&lt;J124,"SIM","NÃO")</f>
        <v>NÃO</v>
      </c>
      <c r="W124" s="2" t="n">
        <v>5</v>
      </c>
      <c r="X124" s="2" t="s">
        <v>156</v>
      </c>
    </row>
    <row r="125" customFormat="false" ht="15" hidden="false" customHeight="false" outlineLevel="0" collapsed="false">
      <c r="A125" s="2" t="n">
        <v>357267368</v>
      </c>
      <c r="B125" s="29" t="n">
        <v>46213.8514814815</v>
      </c>
      <c r="C125" s="2" t="s">
        <v>153</v>
      </c>
      <c r="D125" s="2" t="s">
        <v>301</v>
      </c>
      <c r="E125" s="2" t="s">
        <v>78</v>
      </c>
      <c r="F125" s="2" t="s">
        <v>105</v>
      </c>
      <c r="G125" s="30" t="n">
        <v>19.5</v>
      </c>
      <c r="H125" s="11" t="n">
        <v>369.99</v>
      </c>
      <c r="I125" s="11" t="s">
        <v>155</v>
      </c>
      <c r="J125" s="11" t="n">
        <v>64.99</v>
      </c>
      <c r="K125" s="11" t="n">
        <v>46.98</v>
      </c>
      <c r="L125" s="11" t="n">
        <v>0.37</v>
      </c>
      <c r="M125" s="11" t="n">
        <v>0.74</v>
      </c>
      <c r="N125" s="11" t="n">
        <v>1</v>
      </c>
      <c r="O125" s="11" t="n">
        <v>4.5</v>
      </c>
      <c r="P125" s="11" t="n">
        <v>1.2</v>
      </c>
      <c r="Q125" s="11" t="n">
        <v>9</v>
      </c>
      <c r="R125" s="11" t="n">
        <f aca="false">SUM(K125:Q125)</f>
        <v>63.79</v>
      </c>
      <c r="S125" s="11" t="n">
        <f aca="false">R125/(1-Resumo!$C$6)</f>
        <v>72.4886363636364</v>
      </c>
      <c r="T125" s="11" t="n">
        <f aca="false">S125-J125</f>
        <v>7.49863636363637</v>
      </c>
      <c r="U125" s="12" t="n">
        <f aca="false">IFERROR(S125/J125-1,0)</f>
        <v>0.115381387346305</v>
      </c>
      <c r="V125" s="2" t="str">
        <f aca="false">IF(S125&lt;J125,"SIM","NÃO")</f>
        <v>NÃO</v>
      </c>
      <c r="W125" s="2" t="n">
        <v>5</v>
      </c>
      <c r="X125" s="2" t="s">
        <v>156</v>
      </c>
    </row>
    <row r="126" customFormat="false" ht="15" hidden="false" customHeight="false" outlineLevel="0" collapsed="false">
      <c r="A126" s="2" t="n">
        <v>357280161</v>
      </c>
      <c r="B126" s="29" t="n">
        <v>46213.8809953704</v>
      </c>
      <c r="C126" s="2" t="s">
        <v>153</v>
      </c>
      <c r="D126" s="2" t="s">
        <v>302</v>
      </c>
      <c r="E126" s="2" t="s">
        <v>78</v>
      </c>
      <c r="F126" s="2" t="s">
        <v>110</v>
      </c>
      <c r="G126" s="30" t="n">
        <v>69</v>
      </c>
      <c r="H126" s="11" t="n">
        <v>735.99</v>
      </c>
      <c r="I126" s="11" t="s">
        <v>155</v>
      </c>
      <c r="J126" s="11" t="n">
        <v>124.73</v>
      </c>
      <c r="K126" s="11" t="n">
        <v>131.02</v>
      </c>
      <c r="L126" s="11" t="n">
        <v>0.736</v>
      </c>
      <c r="M126" s="11" t="n">
        <v>1.472</v>
      </c>
      <c r="N126" s="11" t="n">
        <v>1</v>
      </c>
      <c r="O126" s="11" t="n">
        <v>4.5</v>
      </c>
      <c r="P126" s="11" t="n">
        <v>4.14</v>
      </c>
      <c r="Q126" s="11" t="n">
        <v>31.05</v>
      </c>
      <c r="R126" s="11" t="n">
        <f aca="false">SUM(K126:Q126)</f>
        <v>173.918</v>
      </c>
      <c r="S126" s="11" t="n">
        <f aca="false">R126/(1-Resumo!$C$6)</f>
        <v>197.634090909091</v>
      </c>
      <c r="T126" s="11" t="n">
        <f aca="false">S126-J126</f>
        <v>72.904090909091</v>
      </c>
      <c r="U126" s="12" t="n">
        <f aca="false">IFERROR(S126/J126-1,0)</f>
        <v>0.584495236984614</v>
      </c>
      <c r="V126" s="2" t="str">
        <f aca="false">IF(S126&lt;J126,"SIM","NÃO")</f>
        <v>NÃO</v>
      </c>
      <c r="W126" s="2" t="n">
        <v>5</v>
      </c>
      <c r="X126" s="2" t="s">
        <v>156</v>
      </c>
    </row>
    <row r="127" customFormat="false" ht="15" hidden="false" customHeight="false" outlineLevel="0" collapsed="false">
      <c r="A127" s="2" t="n">
        <v>357283208</v>
      </c>
      <c r="B127" s="29" t="n">
        <v>46213.8882291667</v>
      </c>
      <c r="C127" s="2" t="s">
        <v>158</v>
      </c>
      <c r="D127" s="2" t="s">
        <v>303</v>
      </c>
      <c r="E127" s="2" t="s">
        <v>78</v>
      </c>
      <c r="F127" s="2" t="s">
        <v>106</v>
      </c>
      <c r="G127" s="30" t="n">
        <v>21.55</v>
      </c>
      <c r="H127" s="11" t="n">
        <v>252.68</v>
      </c>
      <c r="I127" s="11" t="s">
        <v>155</v>
      </c>
      <c r="J127" s="11" t="n">
        <v>81.55</v>
      </c>
      <c r="K127" s="11" t="n">
        <v>82.21</v>
      </c>
      <c r="L127" s="11" t="n">
        <v>0.2527</v>
      </c>
      <c r="M127" s="11" t="n">
        <v>0.5054</v>
      </c>
      <c r="N127" s="11" t="n">
        <v>1</v>
      </c>
      <c r="O127" s="11" t="n">
        <v>4.5</v>
      </c>
      <c r="P127" s="11" t="n">
        <v>1.32</v>
      </c>
      <c r="Q127" s="11" t="n">
        <v>9.9</v>
      </c>
      <c r="R127" s="11" t="n">
        <f aca="false">SUM(K127:Q127)</f>
        <v>99.6881</v>
      </c>
      <c r="S127" s="11" t="n">
        <f aca="false">R127/(1-Resumo!$C$6)</f>
        <v>113.281931818182</v>
      </c>
      <c r="T127" s="11" t="n">
        <f aca="false">S127-J127</f>
        <v>31.7319318181818</v>
      </c>
      <c r="U127" s="12" t="n">
        <f aca="false">IFERROR(S127/J127-1,0)</f>
        <v>0.389110138788251</v>
      </c>
      <c r="V127" s="2" t="str">
        <f aca="false">IF(S127&lt;J127,"SIM","NÃO")</f>
        <v>NÃO</v>
      </c>
      <c r="W127" s="2" t="n">
        <v>5</v>
      </c>
      <c r="X127" s="2" t="s">
        <v>156</v>
      </c>
    </row>
    <row r="128" customFormat="false" ht="15" hidden="false" customHeight="false" outlineLevel="0" collapsed="false">
      <c r="A128" s="2" t="n">
        <v>357306703</v>
      </c>
      <c r="B128" s="29" t="n">
        <v>46213.9472916667</v>
      </c>
      <c r="C128" s="2" t="s">
        <v>153</v>
      </c>
      <c r="D128" s="2" t="s">
        <v>304</v>
      </c>
      <c r="E128" s="2" t="s">
        <v>78</v>
      </c>
      <c r="F128" s="2" t="s">
        <v>108</v>
      </c>
      <c r="G128" s="30" t="n">
        <v>48.3</v>
      </c>
      <c r="H128" s="11" t="n">
        <v>413.99</v>
      </c>
      <c r="I128" s="11" t="s">
        <v>155</v>
      </c>
      <c r="J128" s="11" t="n">
        <v>102.58</v>
      </c>
      <c r="K128" s="11" t="n">
        <v>93.97</v>
      </c>
      <c r="L128" s="11" t="n">
        <v>0.414</v>
      </c>
      <c r="M128" s="11" t="n">
        <v>0.828</v>
      </c>
      <c r="N128" s="11" t="n">
        <v>1</v>
      </c>
      <c r="O128" s="11" t="n">
        <v>4.5</v>
      </c>
      <c r="P128" s="11" t="n">
        <v>2.94</v>
      </c>
      <c r="Q128" s="11" t="n">
        <v>22.05</v>
      </c>
      <c r="R128" s="11" t="n">
        <f aca="false">SUM(K128:Q128)</f>
        <v>125.702</v>
      </c>
      <c r="S128" s="11" t="n">
        <f aca="false">R128/(1-Resumo!$C$6)</f>
        <v>142.843181818182</v>
      </c>
      <c r="T128" s="11" t="n">
        <f aca="false">S128-J128</f>
        <v>40.2631818181818</v>
      </c>
      <c r="U128" s="12" t="n">
        <f aca="false">IFERROR(S128/J128-1,0)</f>
        <v>0.392505184423687</v>
      </c>
      <c r="V128" s="2" t="str">
        <f aca="false">IF(S128&lt;J128,"SIM","NÃO")</f>
        <v>NÃO</v>
      </c>
      <c r="W128" s="2" t="n">
        <v>5</v>
      </c>
      <c r="X128" s="2" t="s">
        <v>156</v>
      </c>
    </row>
    <row r="129" customFormat="false" ht="15" hidden="false" customHeight="false" outlineLevel="0" collapsed="false">
      <c r="A129" s="2" t="n">
        <v>357310469</v>
      </c>
      <c r="B129" s="29" t="n">
        <v>46213.9580439815</v>
      </c>
      <c r="C129" s="2" t="s">
        <v>153</v>
      </c>
      <c r="D129" s="2" t="s">
        <v>305</v>
      </c>
      <c r="E129" s="2" t="s">
        <v>78</v>
      </c>
      <c r="F129" s="2" t="s">
        <v>109</v>
      </c>
      <c r="G129" s="30" t="n">
        <v>57</v>
      </c>
      <c r="H129" s="11" t="n">
        <v>644.99</v>
      </c>
      <c r="I129" s="11" t="s">
        <v>155</v>
      </c>
      <c r="J129" s="11" t="n">
        <v>114.24</v>
      </c>
      <c r="K129" s="11" t="n">
        <v>112.3</v>
      </c>
      <c r="L129" s="11" t="n">
        <v>0.645</v>
      </c>
      <c r="M129" s="11" t="n">
        <v>1.29</v>
      </c>
      <c r="N129" s="11" t="n">
        <v>1</v>
      </c>
      <c r="O129" s="11" t="n">
        <v>4.5</v>
      </c>
      <c r="P129" s="11" t="n">
        <v>3.42</v>
      </c>
      <c r="Q129" s="11" t="n">
        <v>25.65</v>
      </c>
      <c r="R129" s="11" t="n">
        <f aca="false">SUM(K129:Q129)</f>
        <v>148.805</v>
      </c>
      <c r="S129" s="11" t="n">
        <f aca="false">R129/(1-Resumo!$C$6)</f>
        <v>169.096590909091</v>
      </c>
      <c r="T129" s="11" t="n">
        <f aca="false">S129-J129</f>
        <v>54.8565909090909</v>
      </c>
      <c r="U129" s="12" t="n">
        <f aca="false">IFERROR(S129/J129-1,0)</f>
        <v>0.480187245352687</v>
      </c>
      <c r="V129" s="2" t="str">
        <f aca="false">IF(S129&lt;J129,"SIM","NÃO")</f>
        <v>NÃO</v>
      </c>
      <c r="W129" s="2" t="n">
        <v>5</v>
      </c>
      <c r="X129" s="2" t="s">
        <v>156</v>
      </c>
    </row>
    <row r="130" customFormat="false" ht="15" hidden="false" customHeight="false" outlineLevel="0" collapsed="false">
      <c r="A130" s="2" t="n">
        <v>357393773</v>
      </c>
      <c r="B130" s="29" t="n">
        <v>46214.295462963</v>
      </c>
      <c r="C130" s="2" t="s">
        <v>153</v>
      </c>
      <c r="D130" s="2" t="s">
        <v>306</v>
      </c>
      <c r="E130" s="2" t="s">
        <v>81</v>
      </c>
      <c r="F130" s="2" t="s">
        <v>108</v>
      </c>
      <c r="G130" s="30" t="n">
        <v>48.3</v>
      </c>
      <c r="H130" s="11" t="n">
        <v>413.99</v>
      </c>
      <c r="I130" s="11" t="s">
        <v>155</v>
      </c>
      <c r="J130" s="11" t="n">
        <v>116.06</v>
      </c>
      <c r="K130" s="11" t="n">
        <v>93.97</v>
      </c>
      <c r="L130" s="11" t="n">
        <v>0.414</v>
      </c>
      <c r="M130" s="11" t="n">
        <v>0.828</v>
      </c>
      <c r="N130" s="11" t="n">
        <v>1</v>
      </c>
      <c r="O130" s="11" t="n">
        <v>4.5</v>
      </c>
      <c r="P130" s="11" t="n">
        <v>2.94</v>
      </c>
      <c r="Q130" s="11" t="n">
        <v>22.05</v>
      </c>
      <c r="R130" s="11" t="n">
        <f aca="false">SUM(K130:Q130)</f>
        <v>125.702</v>
      </c>
      <c r="S130" s="11" t="n">
        <f aca="false">R130/(1-Resumo!$C$6)</f>
        <v>142.843181818182</v>
      </c>
      <c r="T130" s="11" t="n">
        <f aca="false">S130-J130</f>
        <v>26.7831818181818</v>
      </c>
      <c r="U130" s="12" t="n">
        <f aca="false">IFERROR(S130/J130-1,0)</f>
        <v>0.230770134569893</v>
      </c>
      <c r="V130" s="2" t="str">
        <f aca="false">IF(S130&lt;J130,"SIM","NÃO")</f>
        <v>NÃO</v>
      </c>
      <c r="W130" s="2" t="n">
        <v>5</v>
      </c>
      <c r="X130" s="2" t="s">
        <v>156</v>
      </c>
    </row>
    <row r="131" customFormat="false" ht="15" hidden="false" customHeight="false" outlineLevel="0" collapsed="false">
      <c r="A131" s="2" t="n">
        <v>357432346</v>
      </c>
      <c r="B131" s="29" t="n">
        <v>46214.4187615741</v>
      </c>
      <c r="C131" s="2" t="s">
        <v>153</v>
      </c>
      <c r="D131" s="2" t="s">
        <v>307</v>
      </c>
      <c r="E131" s="2" t="s">
        <v>78</v>
      </c>
      <c r="F131" s="2" t="s">
        <v>109</v>
      </c>
      <c r="G131" s="30" t="n">
        <v>52.3</v>
      </c>
      <c r="H131" s="11" t="n">
        <v>644.99</v>
      </c>
      <c r="I131" s="11" t="s">
        <v>155</v>
      </c>
      <c r="J131" s="11" t="n">
        <v>114.24</v>
      </c>
      <c r="K131" s="11" t="n">
        <v>112.3</v>
      </c>
      <c r="L131" s="11" t="n">
        <v>0.645</v>
      </c>
      <c r="M131" s="11" t="n">
        <v>1.29</v>
      </c>
      <c r="N131" s="11" t="n">
        <v>1</v>
      </c>
      <c r="O131" s="11" t="n">
        <v>4.5</v>
      </c>
      <c r="P131" s="11" t="n">
        <v>3.18</v>
      </c>
      <c r="Q131" s="11" t="n">
        <v>23.85</v>
      </c>
      <c r="R131" s="11" t="n">
        <f aca="false">SUM(K131:Q131)</f>
        <v>146.765</v>
      </c>
      <c r="S131" s="11" t="n">
        <f aca="false">R131/(1-Resumo!$C$6)</f>
        <v>166.778409090909</v>
      </c>
      <c r="T131" s="11" t="n">
        <f aca="false">S131-J131</f>
        <v>52.5384090909091</v>
      </c>
      <c r="U131" s="12" t="n">
        <f aca="false">IFERROR(S131/J131-1,0)</f>
        <v>0.459895037560479</v>
      </c>
      <c r="V131" s="2" t="str">
        <f aca="false">IF(S131&lt;J131,"SIM","NÃO")</f>
        <v>NÃO</v>
      </c>
      <c r="W131" s="2" t="n">
        <v>5</v>
      </c>
      <c r="X131" s="2" t="s">
        <v>156</v>
      </c>
    </row>
    <row r="132" customFormat="false" ht="15" hidden="false" customHeight="false" outlineLevel="0" collapsed="false">
      <c r="A132" s="2" t="n">
        <v>357438567</v>
      </c>
      <c r="B132" s="29" t="n">
        <v>46214.4345949074</v>
      </c>
      <c r="C132" s="2" t="s">
        <v>153</v>
      </c>
      <c r="D132" s="2" t="s">
        <v>308</v>
      </c>
      <c r="E132" s="2" t="s">
        <v>90</v>
      </c>
      <c r="F132" s="2" t="s">
        <v>109</v>
      </c>
      <c r="G132" s="30" t="n">
        <v>52.3</v>
      </c>
      <c r="H132" s="11" t="n">
        <v>644.99</v>
      </c>
      <c r="I132" s="11" t="s">
        <v>155</v>
      </c>
      <c r="J132" s="11" t="n">
        <v>142.76</v>
      </c>
      <c r="K132" s="11" t="n">
        <v>128.14</v>
      </c>
      <c r="L132" s="11" t="n">
        <v>0.645</v>
      </c>
      <c r="M132" s="11" t="n">
        <v>1.29</v>
      </c>
      <c r="N132" s="11" t="n">
        <v>1</v>
      </c>
      <c r="O132" s="11" t="n">
        <v>4.5</v>
      </c>
      <c r="P132" s="11" t="n">
        <v>3.18</v>
      </c>
      <c r="Q132" s="11" t="n">
        <v>23.85</v>
      </c>
      <c r="R132" s="11" t="n">
        <f aca="false">SUM(K132:Q132)</f>
        <v>162.605</v>
      </c>
      <c r="S132" s="11" t="n">
        <f aca="false">R132/(1-Resumo!$C$6)</f>
        <v>184.778409090909</v>
      </c>
      <c r="T132" s="11" t="n">
        <f aca="false">S132-J132</f>
        <v>42.0184090909091</v>
      </c>
      <c r="U132" s="12" t="n">
        <f aca="false">IFERROR(S132/J132-1,0)</f>
        <v>0.294329007361369</v>
      </c>
      <c r="V132" s="2" t="str">
        <f aca="false">IF(S132&lt;J132,"SIM","NÃO")</f>
        <v>NÃO</v>
      </c>
      <c r="W132" s="2" t="n">
        <v>7</v>
      </c>
      <c r="X132" s="2" t="s">
        <v>156</v>
      </c>
    </row>
    <row r="133" customFormat="false" ht="15" hidden="false" customHeight="false" outlineLevel="0" collapsed="false">
      <c r="A133" s="2" t="n">
        <v>357439354</v>
      </c>
      <c r="B133" s="29" t="n">
        <v>46214.4365393519</v>
      </c>
      <c r="C133" s="2" t="s">
        <v>153</v>
      </c>
      <c r="D133" s="2" t="s">
        <v>309</v>
      </c>
      <c r="E133" s="2" t="s">
        <v>81</v>
      </c>
      <c r="F133" s="2" t="s">
        <v>105</v>
      </c>
      <c r="G133" s="30" t="n">
        <v>19.5</v>
      </c>
      <c r="H133" s="11" t="n">
        <v>369.99</v>
      </c>
      <c r="I133" s="11" t="s">
        <v>155</v>
      </c>
      <c r="J133" s="11" t="n">
        <v>75.61</v>
      </c>
      <c r="K133" s="11" t="n">
        <v>46.98</v>
      </c>
      <c r="L133" s="11" t="n">
        <v>0.37</v>
      </c>
      <c r="M133" s="11" t="n">
        <v>0.74</v>
      </c>
      <c r="N133" s="11" t="n">
        <v>1</v>
      </c>
      <c r="O133" s="11" t="n">
        <v>4.5</v>
      </c>
      <c r="P133" s="11" t="n">
        <v>1.2</v>
      </c>
      <c r="Q133" s="11" t="n">
        <v>9</v>
      </c>
      <c r="R133" s="11" t="n">
        <f aca="false">SUM(K133:Q133)</f>
        <v>63.79</v>
      </c>
      <c r="S133" s="11" t="n">
        <f aca="false">R133/(1-Resumo!$C$6)</f>
        <v>72.4886363636364</v>
      </c>
      <c r="T133" s="11" t="n">
        <f aca="false">S133-J133</f>
        <v>-3.12136363636364</v>
      </c>
      <c r="U133" s="12" t="n">
        <f aca="false">IFERROR(S133/J133-1,0)</f>
        <v>-0.0412824181505573</v>
      </c>
      <c r="V133" s="2" t="str">
        <f aca="false">IF(S133&lt;J133,"SIM","NÃO")</f>
        <v>SIM</v>
      </c>
      <c r="W133" s="2" t="n">
        <v>5</v>
      </c>
      <c r="X133" s="2" t="s">
        <v>156</v>
      </c>
    </row>
    <row r="134" customFormat="false" ht="15" hidden="false" customHeight="false" outlineLevel="0" collapsed="false">
      <c r="A134" s="2" t="n">
        <v>357441927</v>
      </c>
      <c r="B134" s="29" t="n">
        <v>46214.4428240741</v>
      </c>
      <c r="C134" s="2" t="s">
        <v>153</v>
      </c>
      <c r="D134" s="2" t="s">
        <v>275</v>
      </c>
      <c r="E134" s="2" t="s">
        <v>260</v>
      </c>
      <c r="F134" s="2" t="s">
        <v>105</v>
      </c>
      <c r="G134" s="30" t="n">
        <v>17.2</v>
      </c>
      <c r="H134" s="11" t="n">
        <v>224.99</v>
      </c>
      <c r="I134" s="11" t="s">
        <v>155</v>
      </c>
      <c r="J134" s="11" t="n">
        <v>79.74</v>
      </c>
      <c r="K134" s="11" t="n">
        <v>106.53</v>
      </c>
      <c r="L134" s="11" t="n">
        <v>0.225</v>
      </c>
      <c r="M134" s="11" t="n">
        <v>0.45</v>
      </c>
      <c r="N134" s="11" t="n">
        <v>1</v>
      </c>
      <c r="O134" s="11" t="n">
        <v>4.5</v>
      </c>
      <c r="P134" s="11" t="n">
        <v>1.08</v>
      </c>
      <c r="Q134" s="11" t="n">
        <v>8.1</v>
      </c>
      <c r="R134" s="11" t="n">
        <f aca="false">SUM(K134:Q134)</f>
        <v>121.885</v>
      </c>
      <c r="S134" s="11" t="n">
        <f aca="false">R134/(1-Resumo!$C$6)</f>
        <v>138.505681818182</v>
      </c>
      <c r="T134" s="11" t="n">
        <f aca="false">S134-J134</f>
        <v>58.7656818181818</v>
      </c>
      <c r="U134" s="12" t="n">
        <f aca="false">IFERROR(S134/J134-1,0)</f>
        <v>0.736966162756231</v>
      </c>
      <c r="V134" s="2" t="str">
        <f aca="false">IF(S134&lt;J134,"SIM","NÃO")</f>
        <v>NÃO</v>
      </c>
      <c r="W134" s="2" t="n">
        <v>10</v>
      </c>
      <c r="X134" s="2" t="s">
        <v>161</v>
      </c>
    </row>
    <row r="135" customFormat="false" ht="15" hidden="false" customHeight="false" outlineLevel="0" collapsed="false">
      <c r="A135" s="2" t="n">
        <v>357459131</v>
      </c>
      <c r="B135" s="29" t="n">
        <v>46214.4823611111</v>
      </c>
      <c r="C135" s="2" t="s">
        <v>153</v>
      </c>
      <c r="D135" s="2" t="s">
        <v>310</v>
      </c>
      <c r="E135" s="2" t="s">
        <v>87</v>
      </c>
      <c r="F135" s="2" t="s">
        <v>108</v>
      </c>
      <c r="G135" s="30" t="n">
        <v>41</v>
      </c>
      <c r="H135" s="11" t="n">
        <v>515.19</v>
      </c>
      <c r="I135" s="11" t="s">
        <v>155</v>
      </c>
      <c r="J135" s="11" t="n">
        <v>130.62</v>
      </c>
      <c r="K135" s="11" t="n">
        <v>124.38</v>
      </c>
      <c r="L135" s="11" t="n">
        <v>0.5152</v>
      </c>
      <c r="M135" s="11" t="n">
        <v>1.0304</v>
      </c>
      <c r="N135" s="11" t="n">
        <v>1</v>
      </c>
      <c r="O135" s="11" t="n">
        <v>4.5</v>
      </c>
      <c r="P135" s="11" t="n">
        <v>2.46</v>
      </c>
      <c r="Q135" s="11" t="n">
        <v>18.45</v>
      </c>
      <c r="R135" s="11" t="n">
        <f aca="false">SUM(K135:Q135)</f>
        <v>152.3356</v>
      </c>
      <c r="S135" s="11" t="n">
        <f aca="false">R135/(1-Resumo!$C$6)</f>
        <v>173.108636363636</v>
      </c>
      <c r="T135" s="11" t="n">
        <f aca="false">S135-J135</f>
        <v>42.4886363636363</v>
      </c>
      <c r="U135" s="12" t="n">
        <f aca="false">IFERROR(S135/J135-1,0)</f>
        <v>0.325284308403279</v>
      </c>
      <c r="V135" s="2" t="str">
        <f aca="false">IF(S135&lt;J135,"SIM","NÃO")</f>
        <v>NÃO</v>
      </c>
      <c r="W135" s="2" t="n">
        <v>10</v>
      </c>
      <c r="X135" s="2" t="s">
        <v>156</v>
      </c>
    </row>
    <row r="136" customFormat="false" ht="15" hidden="false" customHeight="false" outlineLevel="0" collapsed="false">
      <c r="A136" s="2" t="n">
        <v>357476100</v>
      </c>
      <c r="B136" s="29" t="n">
        <v>46214.517662037</v>
      </c>
      <c r="C136" s="2" t="s">
        <v>153</v>
      </c>
      <c r="D136" s="2" t="s">
        <v>311</v>
      </c>
      <c r="E136" s="2" t="s">
        <v>164</v>
      </c>
      <c r="F136" s="2" t="s">
        <v>110</v>
      </c>
      <c r="G136" s="30" t="n">
        <v>63.73</v>
      </c>
      <c r="H136" s="11" t="n">
        <v>879.99</v>
      </c>
      <c r="I136" s="11" t="s">
        <v>155</v>
      </c>
      <c r="J136" s="11" t="n">
        <v>140.65</v>
      </c>
      <c r="K136" s="11" t="n">
        <v>131.02</v>
      </c>
      <c r="L136" s="11" t="n">
        <v>0.88</v>
      </c>
      <c r="M136" s="11" t="n">
        <v>1.76</v>
      </c>
      <c r="N136" s="11" t="n">
        <v>1</v>
      </c>
      <c r="O136" s="11" t="n">
        <v>4.5</v>
      </c>
      <c r="P136" s="11" t="n">
        <v>3.84</v>
      </c>
      <c r="Q136" s="11" t="n">
        <v>28.8</v>
      </c>
      <c r="R136" s="11" t="n">
        <f aca="false">SUM(K136:Q136)</f>
        <v>171.8</v>
      </c>
      <c r="S136" s="11" t="n">
        <f aca="false">R136/(1-Resumo!$C$6)</f>
        <v>195.227272727273</v>
      </c>
      <c r="T136" s="11" t="n">
        <f aca="false">S136-J136</f>
        <v>54.5772727272727</v>
      </c>
      <c r="U136" s="12" t="n">
        <f aca="false">IFERROR(S136/J136-1,0)</f>
        <v>0.388036066315483</v>
      </c>
      <c r="V136" s="2" t="str">
        <f aca="false">IF(S136&lt;J136,"SIM","NÃO")</f>
        <v>NÃO</v>
      </c>
      <c r="W136" s="2" t="n">
        <v>5</v>
      </c>
      <c r="X136" s="2" t="s">
        <v>161</v>
      </c>
    </row>
    <row r="137" customFormat="false" ht="15" hidden="false" customHeight="false" outlineLevel="0" collapsed="false">
      <c r="A137" s="2" t="n">
        <v>357485689</v>
      </c>
      <c r="B137" s="29" t="n">
        <v>46214.5383449074</v>
      </c>
      <c r="C137" s="2" t="s">
        <v>153</v>
      </c>
      <c r="D137" s="2" t="s">
        <v>312</v>
      </c>
      <c r="E137" s="2" t="s">
        <v>186</v>
      </c>
      <c r="F137" s="2" t="s">
        <v>107</v>
      </c>
      <c r="G137" s="30" t="n">
        <v>39.8</v>
      </c>
      <c r="H137" s="11" t="n">
        <v>519.99</v>
      </c>
      <c r="I137" s="11" t="s">
        <v>155</v>
      </c>
      <c r="J137" s="11" t="n">
        <v>122.74</v>
      </c>
      <c r="K137" s="11" t="n">
        <v>93.97</v>
      </c>
      <c r="L137" s="11" t="n">
        <v>0.52</v>
      </c>
      <c r="M137" s="11" t="n">
        <v>1.04</v>
      </c>
      <c r="N137" s="11" t="n">
        <v>1</v>
      </c>
      <c r="O137" s="11" t="n">
        <v>4.5</v>
      </c>
      <c r="P137" s="11" t="n">
        <v>2.4</v>
      </c>
      <c r="Q137" s="11" t="n">
        <v>18</v>
      </c>
      <c r="R137" s="11" t="n">
        <f aca="false">SUM(K137:Q137)</f>
        <v>121.43</v>
      </c>
      <c r="S137" s="11" t="n">
        <f aca="false">R137/(1-Resumo!$C$6)</f>
        <v>137.988636363636</v>
      </c>
      <c r="T137" s="11" t="n">
        <f aca="false">S137-J137</f>
        <v>15.2486363636364</v>
      </c>
      <c r="U137" s="12" t="n">
        <f aca="false">IFERROR(S137/J137-1,0)</f>
        <v>0.12423526449109</v>
      </c>
      <c r="V137" s="2" t="str">
        <f aca="false">IF(S137&lt;J137,"SIM","NÃO")</f>
        <v>NÃO</v>
      </c>
      <c r="W137" s="2" t="n">
        <v>5</v>
      </c>
      <c r="X137" s="2" t="s">
        <v>161</v>
      </c>
    </row>
    <row r="138" customFormat="false" ht="15" hidden="false" customHeight="false" outlineLevel="0" collapsed="false">
      <c r="A138" s="2" t="n">
        <v>357488369</v>
      </c>
      <c r="B138" s="29" t="n">
        <v>46214.5443055556</v>
      </c>
      <c r="C138" s="2" t="s">
        <v>158</v>
      </c>
      <c r="D138" s="2" t="s">
        <v>313</v>
      </c>
      <c r="E138" s="2" t="s">
        <v>79</v>
      </c>
      <c r="F138" s="2" t="s">
        <v>113</v>
      </c>
      <c r="G138" s="30" t="n">
        <v>109.7</v>
      </c>
      <c r="H138" s="11" t="n">
        <v>1225.68</v>
      </c>
      <c r="I138" s="11" t="s">
        <v>155</v>
      </c>
      <c r="J138" s="11" t="n">
        <v>195.7</v>
      </c>
      <c r="K138" s="11" t="n">
        <v>214.11</v>
      </c>
      <c r="L138" s="11" t="n">
        <v>1.2257</v>
      </c>
      <c r="M138" s="11" t="n">
        <v>2.4514</v>
      </c>
      <c r="N138" s="11" t="n">
        <v>1</v>
      </c>
      <c r="O138" s="11" t="n">
        <v>9</v>
      </c>
      <c r="P138" s="11" t="n">
        <v>6.6</v>
      </c>
      <c r="Q138" s="11" t="n">
        <v>49.5</v>
      </c>
      <c r="R138" s="11" t="n">
        <f aca="false">SUM(K138:Q138)</f>
        <v>283.8871</v>
      </c>
      <c r="S138" s="11" t="n">
        <f aca="false">R138/(1-Resumo!$C$6)</f>
        <v>322.598977272727</v>
      </c>
      <c r="T138" s="11" t="n">
        <f aca="false">S138-J138</f>
        <v>126.898977272727</v>
      </c>
      <c r="U138" s="12" t="n">
        <f aca="false">IFERROR(S138/J138-1,0)</f>
        <v>0.648436266084453</v>
      </c>
      <c r="V138" s="2" t="str">
        <f aca="false">IF(S138&lt;J138,"SIM","NÃO")</f>
        <v>NÃO</v>
      </c>
      <c r="W138" s="2" t="n">
        <v>7</v>
      </c>
      <c r="X138" s="2" t="s">
        <v>156</v>
      </c>
    </row>
    <row r="139" customFormat="false" ht="15" hidden="false" customHeight="false" outlineLevel="0" collapsed="false">
      <c r="A139" s="2" t="n">
        <v>357497532</v>
      </c>
      <c r="B139" s="29" t="n">
        <v>46214.5646759259</v>
      </c>
      <c r="C139" s="2" t="s">
        <v>153</v>
      </c>
      <c r="D139" s="2" t="s">
        <v>314</v>
      </c>
      <c r="E139" s="2" t="s">
        <v>85</v>
      </c>
      <c r="F139" s="2" t="s">
        <v>109</v>
      </c>
      <c r="G139" s="30" t="n">
        <v>52.3</v>
      </c>
      <c r="H139" s="11" t="n">
        <v>644.99</v>
      </c>
      <c r="I139" s="11" t="s">
        <v>155</v>
      </c>
      <c r="J139" s="11" t="n">
        <v>142.76</v>
      </c>
      <c r="K139" s="11" t="n">
        <v>162.04</v>
      </c>
      <c r="L139" s="11" t="n">
        <v>0.645</v>
      </c>
      <c r="M139" s="11" t="n">
        <v>1.29</v>
      </c>
      <c r="N139" s="11" t="n">
        <v>1</v>
      </c>
      <c r="O139" s="11" t="n">
        <v>4.5</v>
      </c>
      <c r="P139" s="11" t="n">
        <v>3.18</v>
      </c>
      <c r="Q139" s="11" t="n">
        <v>23.85</v>
      </c>
      <c r="R139" s="11" t="n">
        <f aca="false">SUM(K139:Q139)</f>
        <v>196.505</v>
      </c>
      <c r="S139" s="11" t="n">
        <f aca="false">R139/(1-Resumo!$C$6)</f>
        <v>223.301136363636</v>
      </c>
      <c r="T139" s="11" t="n">
        <f aca="false">S139-J139</f>
        <v>80.5411363636364</v>
      </c>
      <c r="U139" s="12" t="n">
        <f aca="false">IFERROR(S139/J139-1,0)</f>
        <v>0.564171591227489</v>
      </c>
      <c r="V139" s="2" t="str">
        <f aca="false">IF(S139&lt;J139,"SIM","NÃO")</f>
        <v>NÃO</v>
      </c>
      <c r="W139" s="2" t="n">
        <v>11</v>
      </c>
      <c r="X139" s="2" t="s">
        <v>156</v>
      </c>
    </row>
    <row r="140" customFormat="false" ht="15" hidden="false" customHeight="false" outlineLevel="0" collapsed="false">
      <c r="A140" s="2" t="n">
        <v>357517179</v>
      </c>
      <c r="B140" s="29" t="n">
        <v>46214.6078472222</v>
      </c>
      <c r="C140" s="2" t="s">
        <v>153</v>
      </c>
      <c r="D140" s="2" t="s">
        <v>315</v>
      </c>
      <c r="E140" s="2" t="s">
        <v>316</v>
      </c>
      <c r="F140" s="2" t="s">
        <v>110</v>
      </c>
      <c r="G140" s="30" t="n">
        <v>68.7</v>
      </c>
      <c r="H140" s="11" t="n">
        <v>839.99</v>
      </c>
      <c r="I140" s="11" t="s">
        <v>155</v>
      </c>
      <c r="J140" s="11" t="n">
        <v>156.05</v>
      </c>
      <c r="K140" s="11" t="n">
        <v>166.05</v>
      </c>
      <c r="L140" s="11" t="n">
        <v>0.84</v>
      </c>
      <c r="M140" s="11" t="n">
        <v>1.68</v>
      </c>
      <c r="N140" s="11" t="n">
        <v>1</v>
      </c>
      <c r="O140" s="11" t="n">
        <v>4.5</v>
      </c>
      <c r="P140" s="11" t="n">
        <v>4.14</v>
      </c>
      <c r="Q140" s="11" t="n">
        <v>31.05</v>
      </c>
      <c r="R140" s="11" t="n">
        <f aca="false">SUM(K140:Q140)</f>
        <v>209.26</v>
      </c>
      <c r="S140" s="11" t="n">
        <f aca="false">R140/(1-Resumo!$C$6)</f>
        <v>237.795454545455</v>
      </c>
      <c r="T140" s="11" t="n">
        <f aca="false">S140-J140</f>
        <v>81.7454545454546</v>
      </c>
      <c r="U140" s="12" t="n">
        <f aca="false">IFERROR(S140/J140-1,0)</f>
        <v>0.523841426116338</v>
      </c>
      <c r="V140" s="2" t="str">
        <f aca="false">IF(S140&lt;J140,"SIM","NÃO")</f>
        <v>NÃO</v>
      </c>
      <c r="W140" s="2" t="n">
        <v>10</v>
      </c>
      <c r="X140" s="2" t="s">
        <v>161</v>
      </c>
    </row>
    <row r="141" customFormat="false" ht="15" hidden="false" customHeight="false" outlineLevel="0" collapsed="false">
      <c r="A141" s="2" t="n">
        <v>357521139</v>
      </c>
      <c r="B141" s="29" t="n">
        <v>46214.6166203704</v>
      </c>
      <c r="C141" s="2" t="s">
        <v>153</v>
      </c>
      <c r="D141" s="2" t="s">
        <v>317</v>
      </c>
      <c r="E141" s="2" t="s">
        <v>78</v>
      </c>
      <c r="F141" s="2" t="s">
        <v>109</v>
      </c>
      <c r="G141" s="30" t="n">
        <v>52.3</v>
      </c>
      <c r="H141" s="11" t="n">
        <v>643.99</v>
      </c>
      <c r="I141" s="11" t="s">
        <v>155</v>
      </c>
      <c r="J141" s="11" t="n">
        <v>114.24</v>
      </c>
      <c r="K141" s="11" t="n">
        <v>112.3</v>
      </c>
      <c r="L141" s="11" t="n">
        <v>0.644</v>
      </c>
      <c r="M141" s="11" t="n">
        <v>1.288</v>
      </c>
      <c r="N141" s="11" t="n">
        <v>1</v>
      </c>
      <c r="O141" s="11" t="n">
        <v>4.5</v>
      </c>
      <c r="P141" s="11" t="n">
        <v>3.18</v>
      </c>
      <c r="Q141" s="11" t="n">
        <v>23.85</v>
      </c>
      <c r="R141" s="11" t="n">
        <f aca="false">SUM(K141:Q141)</f>
        <v>146.762</v>
      </c>
      <c r="S141" s="11" t="n">
        <f aca="false">R141/(1-Resumo!$C$6)</f>
        <v>166.775</v>
      </c>
      <c r="T141" s="11" t="n">
        <f aca="false">S141-J141</f>
        <v>52.535</v>
      </c>
      <c r="U141" s="12" t="n">
        <f aca="false">IFERROR(S141/J141-1,0)</f>
        <v>0.459865196078431</v>
      </c>
      <c r="V141" s="2" t="str">
        <f aca="false">IF(S141&lt;J141,"SIM","NÃO")</f>
        <v>NÃO</v>
      </c>
      <c r="W141" s="2" t="n">
        <v>5</v>
      </c>
      <c r="X141" s="2" t="s">
        <v>156</v>
      </c>
    </row>
    <row r="142" customFormat="false" ht="15" hidden="false" customHeight="false" outlineLevel="0" collapsed="false">
      <c r="A142" s="2" t="n">
        <v>357528509</v>
      </c>
      <c r="B142" s="29" t="n">
        <v>46214.6337037037</v>
      </c>
      <c r="C142" s="2" t="s">
        <v>153</v>
      </c>
      <c r="D142" s="2" t="s">
        <v>318</v>
      </c>
      <c r="E142" s="2" t="s">
        <v>78</v>
      </c>
      <c r="F142" s="2" t="s">
        <v>107</v>
      </c>
      <c r="G142" s="30" t="n">
        <v>37.2</v>
      </c>
      <c r="H142" s="11" t="n">
        <v>359.99</v>
      </c>
      <c r="I142" s="11" t="s">
        <v>155</v>
      </c>
      <c r="J142" s="11" t="n">
        <v>91.58</v>
      </c>
      <c r="K142" s="11" t="n">
        <v>93.97</v>
      </c>
      <c r="L142" s="11" t="n">
        <v>0.36</v>
      </c>
      <c r="M142" s="11" t="n">
        <v>0.72</v>
      </c>
      <c r="N142" s="11" t="n">
        <v>1</v>
      </c>
      <c r="O142" s="11" t="n">
        <v>4.5</v>
      </c>
      <c r="P142" s="11" t="n">
        <v>2.28</v>
      </c>
      <c r="Q142" s="11" t="n">
        <v>17.1</v>
      </c>
      <c r="R142" s="11" t="n">
        <f aca="false">SUM(K142:Q142)</f>
        <v>119.93</v>
      </c>
      <c r="S142" s="11" t="n">
        <f aca="false">R142/(1-Resumo!$C$6)</f>
        <v>136.284090909091</v>
      </c>
      <c r="T142" s="11" t="n">
        <f aca="false">S142-J142</f>
        <v>44.7040909090909</v>
      </c>
      <c r="U142" s="12" t="n">
        <f aca="false">IFERROR(S142/J142-1,0)</f>
        <v>0.488142508288828</v>
      </c>
      <c r="V142" s="2" t="str">
        <f aca="false">IF(S142&lt;J142,"SIM","NÃO")</f>
        <v>NÃO</v>
      </c>
      <c r="W142" s="2" t="n">
        <v>5</v>
      </c>
      <c r="X142" s="2" t="s">
        <v>156</v>
      </c>
    </row>
    <row r="143" customFormat="false" ht="15" hidden="false" customHeight="false" outlineLevel="0" collapsed="false">
      <c r="A143" s="2" t="n">
        <v>357529698</v>
      </c>
      <c r="B143" s="29" t="n">
        <v>46214.6365277778</v>
      </c>
      <c r="C143" s="2" t="s">
        <v>153</v>
      </c>
      <c r="D143" s="2" t="s">
        <v>319</v>
      </c>
      <c r="E143" s="2" t="s">
        <v>78</v>
      </c>
      <c r="F143" s="2" t="s">
        <v>108</v>
      </c>
      <c r="G143" s="30" t="n">
        <v>46.8</v>
      </c>
      <c r="H143" s="11" t="n">
        <v>556.99</v>
      </c>
      <c r="I143" s="11" t="s">
        <v>155</v>
      </c>
      <c r="J143" s="11" t="n">
        <v>103.25</v>
      </c>
      <c r="K143" s="11" t="n">
        <v>93.97</v>
      </c>
      <c r="L143" s="11" t="n">
        <v>0.557</v>
      </c>
      <c r="M143" s="11" t="n">
        <v>1.114</v>
      </c>
      <c r="N143" s="11" t="n">
        <v>1</v>
      </c>
      <c r="O143" s="11" t="n">
        <v>4.5</v>
      </c>
      <c r="P143" s="11" t="n">
        <v>2.82</v>
      </c>
      <c r="Q143" s="11" t="n">
        <v>21.15</v>
      </c>
      <c r="R143" s="11" t="n">
        <f aca="false">SUM(K143:Q143)</f>
        <v>125.111</v>
      </c>
      <c r="S143" s="11" t="n">
        <f aca="false">R143/(1-Resumo!$C$6)</f>
        <v>142.171590909091</v>
      </c>
      <c r="T143" s="11" t="n">
        <f aca="false">S143-J143</f>
        <v>38.9215909090909</v>
      </c>
      <c r="U143" s="12" t="n">
        <f aca="false">IFERROR(S143/J143-1,0)</f>
        <v>0.376964560862866</v>
      </c>
      <c r="V143" s="2" t="str">
        <f aca="false">IF(S143&lt;J143,"SIM","NÃO")</f>
        <v>NÃO</v>
      </c>
      <c r="W143" s="2" t="n">
        <v>5</v>
      </c>
      <c r="X143" s="2" t="s">
        <v>156</v>
      </c>
    </row>
    <row r="144" customFormat="false" ht="15" hidden="false" customHeight="false" outlineLevel="0" collapsed="false">
      <c r="A144" s="2" t="n">
        <v>357528110</v>
      </c>
      <c r="B144" s="29" t="n">
        <v>46214.6434722222</v>
      </c>
      <c r="C144" s="2" t="s">
        <v>178</v>
      </c>
      <c r="D144" s="2" t="s">
        <v>320</v>
      </c>
      <c r="E144" s="2" t="s">
        <v>78</v>
      </c>
      <c r="F144" s="2" t="s">
        <v>106</v>
      </c>
      <c r="G144" s="30" t="n">
        <v>33</v>
      </c>
      <c r="H144" s="11" t="n">
        <v>459.99</v>
      </c>
      <c r="I144" s="11" t="s">
        <v>155</v>
      </c>
      <c r="J144" s="11" t="n">
        <v>82.53</v>
      </c>
      <c r="K144" s="11" t="n">
        <v>82.21</v>
      </c>
      <c r="L144" s="11" t="n">
        <v>0.46</v>
      </c>
      <c r="M144" s="11" t="n">
        <v>0.92</v>
      </c>
      <c r="N144" s="11" t="n">
        <v>1</v>
      </c>
      <c r="O144" s="11" t="n">
        <v>4.5</v>
      </c>
      <c r="P144" s="11" t="n">
        <v>1.98</v>
      </c>
      <c r="Q144" s="11" t="n">
        <v>14.85</v>
      </c>
      <c r="R144" s="11" t="n">
        <f aca="false">SUM(K144:Q144)</f>
        <v>105.92</v>
      </c>
      <c r="S144" s="11" t="n">
        <f aca="false">R144/(1-Resumo!$C$6)</f>
        <v>120.363636363636</v>
      </c>
      <c r="T144" s="11" t="n">
        <f aca="false">S144-J144</f>
        <v>37.8336363636363</v>
      </c>
      <c r="U144" s="12" t="n">
        <f aca="false">IFERROR(S144/J144-1,0)</f>
        <v>0.458422832468634</v>
      </c>
      <c r="V144" s="2" t="str">
        <f aca="false">IF(S144&lt;J144,"SIM","NÃO")</f>
        <v>NÃO</v>
      </c>
      <c r="W144" s="2" t="n">
        <v>5</v>
      </c>
      <c r="X144" s="2" t="s">
        <v>156</v>
      </c>
    </row>
    <row r="145" customFormat="false" ht="15" hidden="false" customHeight="false" outlineLevel="0" collapsed="false">
      <c r="A145" s="2" t="n">
        <v>357541829</v>
      </c>
      <c r="B145" s="29" t="n">
        <v>46214.6625231481</v>
      </c>
      <c r="C145" s="2" t="s">
        <v>153</v>
      </c>
      <c r="D145" s="2" t="s">
        <v>321</v>
      </c>
      <c r="E145" s="2" t="s">
        <v>84</v>
      </c>
      <c r="F145" s="2" t="s">
        <v>113</v>
      </c>
      <c r="G145" s="30" t="n">
        <v>117.5</v>
      </c>
      <c r="H145" s="11" t="n">
        <v>1273.97</v>
      </c>
      <c r="I145" s="11" t="s">
        <v>155</v>
      </c>
      <c r="J145" s="11" t="n">
        <v>195.94</v>
      </c>
      <c r="K145" s="11" t="n">
        <v>201.59</v>
      </c>
      <c r="L145" s="11" t="n">
        <v>1.274</v>
      </c>
      <c r="M145" s="11" t="n">
        <v>2.5479</v>
      </c>
      <c r="N145" s="11" t="n">
        <v>1</v>
      </c>
      <c r="O145" s="11" t="n">
        <v>9</v>
      </c>
      <c r="P145" s="11" t="n">
        <v>7.08</v>
      </c>
      <c r="Q145" s="11" t="n">
        <v>53.1</v>
      </c>
      <c r="R145" s="11" t="n">
        <f aca="false">SUM(K145:Q145)</f>
        <v>275.5919</v>
      </c>
      <c r="S145" s="11" t="n">
        <f aca="false">R145/(1-Resumo!$C$6)</f>
        <v>313.172613636364</v>
      </c>
      <c r="T145" s="11" t="n">
        <f aca="false">S145-J145</f>
        <v>117.232613636364</v>
      </c>
      <c r="U145" s="12" t="n">
        <f aca="false">IFERROR(S145/J145-1,0)</f>
        <v>0.598308735512727</v>
      </c>
      <c r="V145" s="2" t="str">
        <f aca="false">IF(S145&lt;J145,"SIM","NÃO")</f>
        <v>NÃO</v>
      </c>
      <c r="W145" s="2" t="n">
        <v>5</v>
      </c>
      <c r="X145" s="2" t="s">
        <v>156</v>
      </c>
    </row>
    <row r="146" customFormat="false" ht="15" hidden="false" customHeight="false" outlineLevel="0" collapsed="false">
      <c r="A146" s="2" t="n">
        <v>357657857</v>
      </c>
      <c r="B146" s="29" t="n">
        <v>46214.8718634259</v>
      </c>
      <c r="C146" s="2" t="s">
        <v>158</v>
      </c>
      <c r="D146" s="2" t="s">
        <v>322</v>
      </c>
      <c r="E146" s="2" t="s">
        <v>80</v>
      </c>
      <c r="F146" s="2" t="s">
        <v>110</v>
      </c>
      <c r="G146" s="30" t="n">
        <v>66.8</v>
      </c>
      <c r="H146" s="11" t="n">
        <v>630.3</v>
      </c>
      <c r="I146" s="11" t="s">
        <v>155</v>
      </c>
      <c r="J146" s="11" t="n">
        <v>139.45</v>
      </c>
      <c r="K146" s="11" t="n">
        <v>131.02</v>
      </c>
      <c r="L146" s="11" t="n">
        <v>0.6303</v>
      </c>
      <c r="M146" s="11" t="n">
        <v>1.2606</v>
      </c>
      <c r="N146" s="11" t="n">
        <v>1</v>
      </c>
      <c r="O146" s="11" t="n">
        <v>4.5</v>
      </c>
      <c r="P146" s="11" t="n">
        <v>4.02</v>
      </c>
      <c r="Q146" s="11" t="n">
        <v>30.15</v>
      </c>
      <c r="R146" s="11" t="n">
        <f aca="false">SUM(K146:Q146)</f>
        <v>172.5809</v>
      </c>
      <c r="S146" s="11" t="n">
        <f aca="false">R146/(1-Resumo!$C$6)</f>
        <v>196.114659090909</v>
      </c>
      <c r="T146" s="11" t="n">
        <f aca="false">S146-J146</f>
        <v>56.6646590909091</v>
      </c>
      <c r="U146" s="12" t="n">
        <f aca="false">IFERROR(S146/J146-1,0)</f>
        <v>0.406343916033769</v>
      </c>
      <c r="V146" s="2" t="str">
        <f aca="false">IF(S146&lt;J146,"SIM","NÃO")</f>
        <v>NÃO</v>
      </c>
      <c r="W146" s="2" t="n">
        <v>5</v>
      </c>
      <c r="X146" s="2" t="s">
        <v>156</v>
      </c>
    </row>
    <row r="147" customFormat="false" ht="15" hidden="false" customHeight="false" outlineLevel="0" collapsed="false">
      <c r="A147" s="2" t="n">
        <v>357704496</v>
      </c>
      <c r="B147" s="29" t="n">
        <v>46214.9575115741</v>
      </c>
      <c r="C147" s="2" t="s">
        <v>153</v>
      </c>
      <c r="D147" s="2" t="s">
        <v>323</v>
      </c>
      <c r="E147" s="2" t="s">
        <v>82</v>
      </c>
      <c r="F147" s="2" t="s">
        <v>109</v>
      </c>
      <c r="G147" s="30" t="n">
        <v>52.3</v>
      </c>
      <c r="H147" s="11" t="n">
        <v>643.99</v>
      </c>
      <c r="I147" s="11" t="s">
        <v>155</v>
      </c>
      <c r="J147" s="11" t="n">
        <v>128.38</v>
      </c>
      <c r="K147" s="11" t="n">
        <v>128.14</v>
      </c>
      <c r="L147" s="11" t="n">
        <v>0.644</v>
      </c>
      <c r="M147" s="11" t="n">
        <v>1.288</v>
      </c>
      <c r="N147" s="11" t="n">
        <v>1</v>
      </c>
      <c r="O147" s="11" t="n">
        <v>4.5</v>
      </c>
      <c r="P147" s="11" t="n">
        <v>3.18</v>
      </c>
      <c r="Q147" s="11" t="n">
        <v>23.85</v>
      </c>
      <c r="R147" s="11" t="n">
        <f aca="false">SUM(K147:Q147)</f>
        <v>162.602</v>
      </c>
      <c r="S147" s="11" t="n">
        <f aca="false">R147/(1-Resumo!$C$6)</f>
        <v>184.775</v>
      </c>
      <c r="T147" s="11" t="n">
        <f aca="false">S147-J147</f>
        <v>56.395</v>
      </c>
      <c r="U147" s="12" t="n">
        <f aca="false">IFERROR(S147/J147-1,0)</f>
        <v>0.439281819598068</v>
      </c>
      <c r="V147" s="2" t="str">
        <f aca="false">IF(S147&lt;J147,"SIM","NÃO")</f>
        <v>NÃO</v>
      </c>
      <c r="W147" s="2" t="n">
        <v>7</v>
      </c>
      <c r="X147" s="2" t="s">
        <v>156</v>
      </c>
    </row>
    <row r="148" customFormat="false" ht="15" hidden="false" customHeight="false" outlineLevel="0" collapsed="false">
      <c r="A148" s="2" t="n">
        <v>357713521</v>
      </c>
      <c r="B148" s="29" t="n">
        <v>46214.9767824074</v>
      </c>
      <c r="C148" s="2" t="s">
        <v>153</v>
      </c>
      <c r="D148" s="2" t="s">
        <v>324</v>
      </c>
      <c r="E148" s="2" t="s">
        <v>82</v>
      </c>
      <c r="F148" s="2" t="s">
        <v>106</v>
      </c>
      <c r="G148" s="30" t="n">
        <v>34.4</v>
      </c>
      <c r="H148" s="11" t="n">
        <v>404.99</v>
      </c>
      <c r="I148" s="11" t="s">
        <v>155</v>
      </c>
      <c r="J148" s="11" t="n">
        <v>101.33</v>
      </c>
      <c r="K148" s="11" t="n">
        <v>100.58</v>
      </c>
      <c r="L148" s="11" t="n">
        <v>0.405</v>
      </c>
      <c r="M148" s="11" t="n">
        <v>0.81</v>
      </c>
      <c r="N148" s="11" t="n">
        <v>1</v>
      </c>
      <c r="O148" s="11" t="n">
        <v>4.5</v>
      </c>
      <c r="P148" s="11" t="n">
        <v>2.1</v>
      </c>
      <c r="Q148" s="11" t="n">
        <v>15.75</v>
      </c>
      <c r="R148" s="11" t="n">
        <f aca="false">SUM(K148:Q148)</f>
        <v>125.145</v>
      </c>
      <c r="S148" s="11" t="n">
        <f aca="false">R148/(1-Resumo!$C$6)</f>
        <v>142.210227272727</v>
      </c>
      <c r="T148" s="11" t="n">
        <f aca="false">S148-J148</f>
        <v>40.8802272727273</v>
      </c>
      <c r="U148" s="12" t="n">
        <f aca="false">IFERROR(S148/J148-1,0)</f>
        <v>0.40343656639423</v>
      </c>
      <c r="V148" s="2" t="str">
        <f aca="false">IF(S148&lt;J148,"SIM","NÃO")</f>
        <v>NÃO</v>
      </c>
      <c r="W148" s="2" t="n">
        <v>7</v>
      </c>
      <c r="X148" s="2" t="s">
        <v>156</v>
      </c>
    </row>
    <row r="149" customFormat="false" ht="15" hidden="false" customHeight="false" outlineLevel="0" collapsed="false">
      <c r="A149" s="2" t="n">
        <v>357878945</v>
      </c>
      <c r="B149" s="29" t="n">
        <v>46215.4087731482</v>
      </c>
      <c r="C149" s="2" t="s">
        <v>153</v>
      </c>
      <c r="D149" s="2" t="s">
        <v>325</v>
      </c>
      <c r="E149" s="2" t="s">
        <v>78</v>
      </c>
      <c r="F149" s="2" t="s">
        <v>108</v>
      </c>
      <c r="G149" s="30" t="n">
        <v>41</v>
      </c>
      <c r="H149" s="11" t="n">
        <v>515.19</v>
      </c>
      <c r="I149" s="11" t="s">
        <v>155</v>
      </c>
      <c r="J149" s="11" t="n">
        <v>103.06</v>
      </c>
      <c r="K149" s="11" t="n">
        <v>93.97</v>
      </c>
      <c r="L149" s="11" t="n">
        <v>0.5152</v>
      </c>
      <c r="M149" s="11" t="n">
        <v>1.0304</v>
      </c>
      <c r="N149" s="11" t="n">
        <v>1</v>
      </c>
      <c r="O149" s="11" t="n">
        <v>4.5</v>
      </c>
      <c r="P149" s="11" t="n">
        <v>2.46</v>
      </c>
      <c r="Q149" s="11" t="n">
        <v>18.45</v>
      </c>
      <c r="R149" s="11" t="n">
        <f aca="false">SUM(K149:Q149)</f>
        <v>121.9256</v>
      </c>
      <c r="S149" s="11" t="n">
        <f aca="false">R149/(1-Resumo!$C$6)</f>
        <v>138.551818181818</v>
      </c>
      <c r="T149" s="11" t="n">
        <f aca="false">S149-J149</f>
        <v>35.4918181818182</v>
      </c>
      <c r="U149" s="12" t="n">
        <f aca="false">IFERROR(S149/J149-1,0)</f>
        <v>0.344380149251098</v>
      </c>
      <c r="V149" s="2" t="str">
        <f aca="false">IF(S149&lt;J149,"SIM","NÃO")</f>
        <v>NÃO</v>
      </c>
      <c r="W149" s="2" t="n">
        <v>5</v>
      </c>
      <c r="X149" s="2" t="s">
        <v>156</v>
      </c>
    </row>
    <row r="150" customFormat="false" ht="15" hidden="false" customHeight="false" outlineLevel="0" collapsed="false">
      <c r="A150" s="2" t="n">
        <v>357889796</v>
      </c>
      <c r="B150" s="29" t="n">
        <v>46215.4288657407</v>
      </c>
      <c r="C150" s="2" t="s">
        <v>326</v>
      </c>
      <c r="D150" s="2" t="s">
        <v>327</v>
      </c>
      <c r="E150" s="2" t="s">
        <v>78</v>
      </c>
      <c r="F150" s="2" t="s">
        <v>114</v>
      </c>
      <c r="G150" s="30" t="n">
        <v>124.64</v>
      </c>
      <c r="H150" s="11" t="n">
        <v>1673.96</v>
      </c>
      <c r="I150" s="11" t="s">
        <v>155</v>
      </c>
      <c r="J150" s="11" t="n">
        <v>234.32</v>
      </c>
      <c r="K150" s="11" t="n">
        <v>239.25</v>
      </c>
      <c r="L150" s="11" t="n">
        <v>1.674</v>
      </c>
      <c r="M150" s="11" t="n">
        <v>3.3479</v>
      </c>
      <c r="N150" s="11" t="n">
        <v>1</v>
      </c>
      <c r="O150" s="11" t="n">
        <v>9</v>
      </c>
      <c r="P150" s="11" t="n">
        <v>7.5</v>
      </c>
      <c r="Q150" s="11" t="n">
        <v>56.25</v>
      </c>
      <c r="R150" s="11" t="n">
        <f aca="false">SUM(K150:Q150)</f>
        <v>318.0219</v>
      </c>
      <c r="S150" s="11" t="n">
        <f aca="false">R150/(1-Resumo!$C$6)</f>
        <v>361.388522727273</v>
      </c>
      <c r="T150" s="11" t="n">
        <f aca="false">S150-J150</f>
        <v>127.068522727273</v>
      </c>
      <c r="U150" s="12" t="n">
        <f aca="false">IFERROR(S150/J150-1,0)</f>
        <v>0.542286286818337</v>
      </c>
      <c r="V150" s="2" t="str">
        <f aca="false">IF(S150&lt;J150,"SIM","NÃO")</f>
        <v>NÃO</v>
      </c>
      <c r="W150" s="2" t="n">
        <v>5</v>
      </c>
      <c r="X150" s="2" t="s">
        <v>156</v>
      </c>
    </row>
    <row r="151" customFormat="false" ht="15" hidden="false" customHeight="false" outlineLevel="0" collapsed="false">
      <c r="A151" s="2" t="n">
        <v>357921830</v>
      </c>
      <c r="B151" s="29" t="n">
        <v>46215.4847685185</v>
      </c>
      <c r="C151" s="2" t="s">
        <v>153</v>
      </c>
      <c r="D151" s="2" t="s">
        <v>328</v>
      </c>
      <c r="E151" s="2" t="s">
        <v>93</v>
      </c>
      <c r="F151" s="2" t="s">
        <v>108</v>
      </c>
      <c r="G151" s="30" t="n">
        <v>48</v>
      </c>
      <c r="H151" s="11" t="n">
        <v>827.99</v>
      </c>
      <c r="I151" s="11" t="s">
        <v>155</v>
      </c>
      <c r="J151" s="11" t="n">
        <v>132.14</v>
      </c>
      <c r="K151" s="11" t="n">
        <v>114.95</v>
      </c>
      <c r="L151" s="11" t="n">
        <v>0.828</v>
      </c>
      <c r="M151" s="11" t="n">
        <v>1.656</v>
      </c>
      <c r="N151" s="11" t="n">
        <v>1</v>
      </c>
      <c r="O151" s="11" t="n">
        <v>4.5</v>
      </c>
      <c r="P151" s="11" t="n">
        <v>2.88</v>
      </c>
      <c r="Q151" s="11" t="n">
        <v>21.6</v>
      </c>
      <c r="R151" s="11" t="n">
        <f aca="false">SUM(K151:Q151)</f>
        <v>147.414</v>
      </c>
      <c r="S151" s="11" t="n">
        <f aca="false">R151/(1-Resumo!$C$6)</f>
        <v>167.515909090909</v>
      </c>
      <c r="T151" s="11" t="n">
        <f aca="false">S151-J151</f>
        <v>35.3759090909091</v>
      </c>
      <c r="U151" s="12" t="n">
        <f aca="false">IFERROR(S151/J151-1,0)</f>
        <v>0.267715370750031</v>
      </c>
      <c r="V151" s="2" t="str">
        <f aca="false">IF(S151&lt;J151,"SIM","NÃO")</f>
        <v>NÃO</v>
      </c>
      <c r="W151" s="2" t="n">
        <v>7</v>
      </c>
      <c r="X151" s="2" t="s">
        <v>156</v>
      </c>
    </row>
    <row r="152" customFormat="false" ht="15" hidden="false" customHeight="false" outlineLevel="0" collapsed="false">
      <c r="A152" s="2" t="n">
        <v>357940074</v>
      </c>
      <c r="B152" s="29" t="n">
        <v>46215.5159375</v>
      </c>
      <c r="C152" s="2" t="s">
        <v>153</v>
      </c>
      <c r="D152" s="2" t="s">
        <v>329</v>
      </c>
      <c r="E152" s="2" t="s">
        <v>81</v>
      </c>
      <c r="F152" s="2" t="s">
        <v>109</v>
      </c>
      <c r="G152" s="30" t="n">
        <v>52.3</v>
      </c>
      <c r="H152" s="11" t="n">
        <v>644.99</v>
      </c>
      <c r="I152" s="11" t="s">
        <v>155</v>
      </c>
      <c r="J152" s="11" t="n">
        <v>128.38</v>
      </c>
      <c r="K152" s="11" t="n">
        <v>112.3</v>
      </c>
      <c r="L152" s="11" t="n">
        <v>0.645</v>
      </c>
      <c r="M152" s="11" t="n">
        <v>1.29</v>
      </c>
      <c r="N152" s="11" t="n">
        <v>1</v>
      </c>
      <c r="O152" s="11" t="n">
        <v>4.5</v>
      </c>
      <c r="P152" s="11" t="n">
        <v>3.18</v>
      </c>
      <c r="Q152" s="11" t="n">
        <v>23.85</v>
      </c>
      <c r="R152" s="11" t="n">
        <f aca="false">SUM(K152:Q152)</f>
        <v>146.765</v>
      </c>
      <c r="S152" s="11" t="n">
        <f aca="false">R152/(1-Resumo!$C$6)</f>
        <v>166.778409090909</v>
      </c>
      <c r="T152" s="11" t="n">
        <f aca="false">S152-J152</f>
        <v>38.3984090909091</v>
      </c>
      <c r="U152" s="12" t="n">
        <f aca="false">IFERROR(S152/J152-1,0)</f>
        <v>0.299099619028736</v>
      </c>
      <c r="V152" s="2" t="str">
        <f aca="false">IF(S152&lt;J152,"SIM","NÃO")</f>
        <v>NÃO</v>
      </c>
      <c r="W152" s="2" t="n">
        <v>5</v>
      </c>
      <c r="X152" s="2" t="s">
        <v>156</v>
      </c>
    </row>
    <row r="153" customFormat="false" ht="15" hidden="false" customHeight="false" outlineLevel="0" collapsed="false">
      <c r="A153" s="2" t="n">
        <v>357944516</v>
      </c>
      <c r="B153" s="29" t="n">
        <v>46215.523599537</v>
      </c>
      <c r="C153" s="2" t="s">
        <v>153</v>
      </c>
      <c r="D153" s="2" t="s">
        <v>330</v>
      </c>
      <c r="E153" s="2" t="s">
        <v>92</v>
      </c>
      <c r="F153" s="2" t="s">
        <v>109</v>
      </c>
      <c r="G153" s="30" t="n">
        <v>52.3</v>
      </c>
      <c r="H153" s="11" t="n">
        <v>643.99</v>
      </c>
      <c r="I153" s="11" t="s">
        <v>155</v>
      </c>
      <c r="J153" s="11" t="n">
        <v>142.76</v>
      </c>
      <c r="K153" s="11" t="n">
        <v>142.32</v>
      </c>
      <c r="L153" s="11" t="n">
        <v>0.644</v>
      </c>
      <c r="M153" s="11" t="n">
        <v>1.288</v>
      </c>
      <c r="N153" s="11" t="n">
        <v>1</v>
      </c>
      <c r="O153" s="11" t="n">
        <v>4.5</v>
      </c>
      <c r="P153" s="11" t="n">
        <v>3.18</v>
      </c>
      <c r="Q153" s="11" t="n">
        <v>23.85</v>
      </c>
      <c r="R153" s="11" t="n">
        <f aca="false">SUM(K153:Q153)</f>
        <v>176.782</v>
      </c>
      <c r="S153" s="11" t="n">
        <f aca="false">R153/(1-Resumo!$C$6)</f>
        <v>200.888636363636</v>
      </c>
      <c r="T153" s="11" t="n">
        <f aca="false">S153-J153</f>
        <v>58.1286363636364</v>
      </c>
      <c r="U153" s="12" t="n">
        <f aca="false">IFERROR(S153/J153-1,0)</f>
        <v>0.407177335133345</v>
      </c>
      <c r="V153" s="2" t="str">
        <f aca="false">IF(S153&lt;J153,"SIM","NÃO")</f>
        <v>NÃO</v>
      </c>
      <c r="W153" s="2" t="n">
        <v>10</v>
      </c>
      <c r="X153" s="2" t="s">
        <v>156</v>
      </c>
    </row>
    <row r="154" customFormat="false" ht="15" hidden="false" customHeight="false" outlineLevel="0" collapsed="false">
      <c r="A154" s="2" t="n">
        <v>357959750</v>
      </c>
      <c r="B154" s="29" t="n">
        <v>46215.5479513889</v>
      </c>
      <c r="C154" s="2" t="s">
        <v>153</v>
      </c>
      <c r="D154" s="2" t="s">
        <v>331</v>
      </c>
      <c r="E154" s="2" t="s">
        <v>78</v>
      </c>
      <c r="F154" s="2" t="s">
        <v>108</v>
      </c>
      <c r="G154" s="30" t="n">
        <v>41</v>
      </c>
      <c r="H154" s="11" t="n">
        <v>515.19</v>
      </c>
      <c r="I154" s="11" t="s">
        <v>155</v>
      </c>
      <c r="J154" s="11" t="n">
        <v>103.06</v>
      </c>
      <c r="K154" s="11" t="n">
        <v>93.97</v>
      </c>
      <c r="L154" s="11" t="n">
        <v>0.5152</v>
      </c>
      <c r="M154" s="11" t="n">
        <v>1.0304</v>
      </c>
      <c r="N154" s="11" t="n">
        <v>1</v>
      </c>
      <c r="O154" s="11" t="n">
        <v>4.5</v>
      </c>
      <c r="P154" s="11" t="n">
        <v>2.46</v>
      </c>
      <c r="Q154" s="11" t="n">
        <v>18.45</v>
      </c>
      <c r="R154" s="11" t="n">
        <f aca="false">SUM(K154:Q154)</f>
        <v>121.9256</v>
      </c>
      <c r="S154" s="11" t="n">
        <f aca="false">R154/(1-Resumo!$C$6)</f>
        <v>138.551818181818</v>
      </c>
      <c r="T154" s="11" t="n">
        <f aca="false">S154-J154</f>
        <v>35.4918181818182</v>
      </c>
      <c r="U154" s="12" t="n">
        <f aca="false">IFERROR(S154/J154-1,0)</f>
        <v>0.344380149251098</v>
      </c>
      <c r="V154" s="2" t="str">
        <f aca="false">IF(S154&lt;J154,"SIM","NÃO")</f>
        <v>NÃO</v>
      </c>
      <c r="W154" s="2" t="n">
        <v>5</v>
      </c>
      <c r="X154" s="2" t="s">
        <v>156</v>
      </c>
    </row>
    <row r="155" customFormat="false" ht="15" hidden="false" customHeight="false" outlineLevel="0" collapsed="false">
      <c r="A155" s="2" t="n">
        <v>357973405</v>
      </c>
      <c r="B155" s="29" t="n">
        <v>46215.5688310185</v>
      </c>
      <c r="C155" s="2" t="s">
        <v>158</v>
      </c>
      <c r="D155" s="2" t="s">
        <v>332</v>
      </c>
      <c r="E155" s="2" t="s">
        <v>78</v>
      </c>
      <c r="F155" s="2" t="s">
        <v>110</v>
      </c>
      <c r="G155" s="30" t="n">
        <v>66.8</v>
      </c>
      <c r="H155" s="11" t="n">
        <v>630.3</v>
      </c>
      <c r="I155" s="11" t="s">
        <v>155</v>
      </c>
      <c r="J155" s="11" t="n">
        <v>124.23</v>
      </c>
      <c r="K155" s="11" t="n">
        <v>131.02</v>
      </c>
      <c r="L155" s="11" t="n">
        <v>0.6303</v>
      </c>
      <c r="M155" s="11" t="n">
        <v>1.2606</v>
      </c>
      <c r="N155" s="11" t="n">
        <v>1</v>
      </c>
      <c r="O155" s="11" t="n">
        <v>4.5</v>
      </c>
      <c r="P155" s="11" t="n">
        <v>4.02</v>
      </c>
      <c r="Q155" s="11" t="n">
        <v>30.15</v>
      </c>
      <c r="R155" s="11" t="n">
        <f aca="false">SUM(K155:Q155)</f>
        <v>172.5809</v>
      </c>
      <c r="S155" s="11" t="n">
        <f aca="false">R155/(1-Resumo!$C$6)</f>
        <v>196.114659090909</v>
      </c>
      <c r="T155" s="11" t="n">
        <f aca="false">S155-J155</f>
        <v>71.8846590909091</v>
      </c>
      <c r="U155" s="12" t="n">
        <f aca="false">IFERROR(S155/J155-1,0)</f>
        <v>0.578641705633978</v>
      </c>
      <c r="V155" s="2" t="str">
        <f aca="false">IF(S155&lt;J155,"SIM","NÃO")</f>
        <v>NÃO</v>
      </c>
      <c r="W155" s="2" t="n">
        <v>5</v>
      </c>
      <c r="X155" s="2" t="s">
        <v>156</v>
      </c>
    </row>
    <row r="156" customFormat="false" ht="15" hidden="false" customHeight="false" outlineLevel="0" collapsed="false">
      <c r="A156" s="2" t="n">
        <v>357991954</v>
      </c>
      <c r="B156" s="29" t="n">
        <v>46215.5972337963</v>
      </c>
      <c r="C156" s="2" t="s">
        <v>153</v>
      </c>
      <c r="D156" s="2" t="s">
        <v>333</v>
      </c>
      <c r="E156" s="2" t="s">
        <v>81</v>
      </c>
      <c r="F156" s="2" t="s">
        <v>113</v>
      </c>
      <c r="G156" s="30" t="n">
        <v>117.5</v>
      </c>
      <c r="H156" s="11" t="n">
        <v>1273.97</v>
      </c>
      <c r="I156" s="11" t="s">
        <v>155</v>
      </c>
      <c r="J156" s="11" t="n">
        <v>195.94</v>
      </c>
      <c r="K156" s="11" t="n">
        <v>201.59</v>
      </c>
      <c r="L156" s="11" t="n">
        <v>1.274</v>
      </c>
      <c r="M156" s="11" t="n">
        <v>2.5479</v>
      </c>
      <c r="N156" s="11" t="n">
        <v>1</v>
      </c>
      <c r="O156" s="11" t="n">
        <v>9</v>
      </c>
      <c r="P156" s="11" t="n">
        <v>7.08</v>
      </c>
      <c r="Q156" s="11" t="n">
        <v>53.1</v>
      </c>
      <c r="R156" s="11" t="n">
        <f aca="false">SUM(K156:Q156)</f>
        <v>275.5919</v>
      </c>
      <c r="S156" s="11" t="n">
        <f aca="false">R156/(1-Resumo!$C$6)</f>
        <v>313.172613636364</v>
      </c>
      <c r="T156" s="11" t="n">
        <f aca="false">S156-J156</f>
        <v>117.232613636364</v>
      </c>
      <c r="U156" s="12" t="n">
        <f aca="false">IFERROR(S156/J156-1,0)</f>
        <v>0.598308735512727</v>
      </c>
      <c r="V156" s="2" t="str">
        <f aca="false">IF(S156&lt;J156,"SIM","NÃO")</f>
        <v>NÃO</v>
      </c>
      <c r="W156" s="2" t="n">
        <v>5</v>
      </c>
      <c r="X156" s="2" t="s">
        <v>156</v>
      </c>
    </row>
    <row r="157" customFormat="false" ht="15" hidden="false" customHeight="false" outlineLevel="0" collapsed="false">
      <c r="A157" s="2" t="n">
        <v>358043310</v>
      </c>
      <c r="B157" s="29" t="n">
        <v>46215.6785648148</v>
      </c>
      <c r="C157" s="2" t="s">
        <v>153</v>
      </c>
      <c r="D157" s="2" t="s">
        <v>334</v>
      </c>
      <c r="E157" s="2" t="s">
        <v>78</v>
      </c>
      <c r="F157" s="2" t="s">
        <v>107</v>
      </c>
      <c r="G157" s="30" t="n">
        <v>40</v>
      </c>
      <c r="H157" s="11" t="n">
        <v>619.99</v>
      </c>
      <c r="I157" s="11" t="s">
        <v>155</v>
      </c>
      <c r="J157" s="11" t="n">
        <v>92.83</v>
      </c>
      <c r="K157" s="11" t="n">
        <v>93.97</v>
      </c>
      <c r="L157" s="11" t="n">
        <v>0.62</v>
      </c>
      <c r="M157" s="11" t="n">
        <v>1.24</v>
      </c>
      <c r="N157" s="11" t="n">
        <v>1</v>
      </c>
      <c r="O157" s="11" t="n">
        <v>4.5</v>
      </c>
      <c r="P157" s="11" t="n">
        <v>2.4</v>
      </c>
      <c r="Q157" s="11" t="n">
        <v>18</v>
      </c>
      <c r="R157" s="11" t="n">
        <f aca="false">SUM(K157:Q157)</f>
        <v>121.73</v>
      </c>
      <c r="S157" s="11" t="n">
        <f aca="false">R157/(1-Resumo!$C$6)</f>
        <v>138.329545454545</v>
      </c>
      <c r="T157" s="11" t="n">
        <f aca="false">S157-J157</f>
        <v>45.4995454545455</v>
      </c>
      <c r="U157" s="12" t="n">
        <f aca="false">IFERROR(S157/J157-1,0)</f>
        <v>0.490138376112738</v>
      </c>
      <c r="V157" s="2" t="str">
        <f aca="false">IF(S157&lt;J157,"SIM","NÃO")</f>
        <v>NÃO</v>
      </c>
      <c r="W157" s="2" t="n">
        <v>5</v>
      </c>
      <c r="X157" s="2" t="s">
        <v>156</v>
      </c>
    </row>
    <row r="158" customFormat="false" ht="15" hidden="false" customHeight="false" outlineLevel="0" collapsed="false">
      <c r="A158" s="2" t="n">
        <v>358056810</v>
      </c>
      <c r="B158" s="29" t="n">
        <v>46215.6987615741</v>
      </c>
      <c r="C158" s="2" t="s">
        <v>153</v>
      </c>
      <c r="D158" s="2" t="s">
        <v>335</v>
      </c>
      <c r="E158" s="2" t="s">
        <v>78</v>
      </c>
      <c r="F158" s="2" t="s">
        <v>109</v>
      </c>
      <c r="G158" s="30" t="n">
        <v>52.3</v>
      </c>
      <c r="H158" s="11" t="n">
        <v>644.99</v>
      </c>
      <c r="I158" s="11" t="s">
        <v>155</v>
      </c>
      <c r="J158" s="11" t="n">
        <v>114.24</v>
      </c>
      <c r="K158" s="11" t="n">
        <v>112.3</v>
      </c>
      <c r="L158" s="11" t="n">
        <v>0.645</v>
      </c>
      <c r="M158" s="11" t="n">
        <v>1.29</v>
      </c>
      <c r="N158" s="11" t="n">
        <v>1</v>
      </c>
      <c r="O158" s="11" t="n">
        <v>4.5</v>
      </c>
      <c r="P158" s="11" t="n">
        <v>3.18</v>
      </c>
      <c r="Q158" s="11" t="n">
        <v>23.85</v>
      </c>
      <c r="R158" s="11" t="n">
        <f aca="false">SUM(K158:Q158)</f>
        <v>146.765</v>
      </c>
      <c r="S158" s="11" t="n">
        <f aca="false">R158/(1-Resumo!$C$6)</f>
        <v>166.778409090909</v>
      </c>
      <c r="T158" s="11" t="n">
        <f aca="false">S158-J158</f>
        <v>52.5384090909091</v>
      </c>
      <c r="U158" s="12" t="n">
        <f aca="false">IFERROR(S158/J158-1,0)</f>
        <v>0.459895037560479</v>
      </c>
      <c r="V158" s="2" t="str">
        <f aca="false">IF(S158&lt;J158,"SIM","NÃO")</f>
        <v>NÃO</v>
      </c>
      <c r="W158" s="2" t="n">
        <v>5</v>
      </c>
      <c r="X158" s="2" t="s">
        <v>156</v>
      </c>
    </row>
    <row r="159" customFormat="false" ht="15" hidden="false" customHeight="false" outlineLevel="0" collapsed="false">
      <c r="A159" s="2" t="n">
        <v>358066977</v>
      </c>
      <c r="B159" s="29" t="n">
        <v>46215.7138425926</v>
      </c>
      <c r="C159" s="2" t="s">
        <v>153</v>
      </c>
      <c r="D159" s="2" t="s">
        <v>336</v>
      </c>
      <c r="E159" s="2" t="s">
        <v>203</v>
      </c>
      <c r="F159" s="2" t="s">
        <v>110</v>
      </c>
      <c r="G159" s="30" t="n">
        <v>66.8</v>
      </c>
      <c r="H159" s="11" t="n">
        <v>643.99</v>
      </c>
      <c r="I159" s="11" t="s">
        <v>155</v>
      </c>
      <c r="J159" s="11" t="n">
        <v>155.11</v>
      </c>
      <c r="K159" s="11" t="n">
        <v>141.02</v>
      </c>
      <c r="L159" s="11" t="n">
        <v>0.644</v>
      </c>
      <c r="M159" s="11" t="n">
        <v>1.288</v>
      </c>
      <c r="N159" s="11" t="n">
        <v>1</v>
      </c>
      <c r="O159" s="11" t="n">
        <v>4.5</v>
      </c>
      <c r="P159" s="11" t="n">
        <v>4.02</v>
      </c>
      <c r="Q159" s="11" t="n">
        <v>30.15</v>
      </c>
      <c r="R159" s="11" t="n">
        <f aca="false">SUM(K159:Q159)</f>
        <v>182.622</v>
      </c>
      <c r="S159" s="11" t="n">
        <f aca="false">R159/(1-Resumo!$C$6)</f>
        <v>207.525</v>
      </c>
      <c r="T159" s="11" t="n">
        <f aca="false">S159-J159</f>
        <v>52.415</v>
      </c>
      <c r="U159" s="12" t="n">
        <f aca="false">IFERROR(S159/J159-1,0)</f>
        <v>0.3379214750822</v>
      </c>
      <c r="V159" s="2" t="str">
        <f aca="false">IF(S159&lt;J159,"SIM","NÃO")</f>
        <v>NÃO</v>
      </c>
      <c r="W159" s="2" t="n">
        <v>5</v>
      </c>
      <c r="X159" s="2" t="s">
        <v>161</v>
      </c>
    </row>
    <row r="160" customFormat="false" ht="15" hidden="false" customHeight="false" outlineLevel="0" collapsed="false">
      <c r="A160" s="2" t="n">
        <v>358123675</v>
      </c>
      <c r="B160" s="29" t="n">
        <v>46215.7830902778</v>
      </c>
      <c r="C160" s="2" t="s">
        <v>153</v>
      </c>
      <c r="D160" s="2" t="s">
        <v>337</v>
      </c>
      <c r="E160" s="2" t="s">
        <v>81</v>
      </c>
      <c r="F160" s="2" t="s">
        <v>107</v>
      </c>
      <c r="G160" s="30" t="n">
        <v>37.2</v>
      </c>
      <c r="H160" s="11" t="n">
        <v>359.99</v>
      </c>
      <c r="I160" s="11" t="s">
        <v>155</v>
      </c>
      <c r="J160" s="11" t="n">
        <v>112.68</v>
      </c>
      <c r="K160" s="11" t="n">
        <v>93.97</v>
      </c>
      <c r="L160" s="11" t="n">
        <v>0.36</v>
      </c>
      <c r="M160" s="11" t="n">
        <v>0.72</v>
      </c>
      <c r="N160" s="11" t="n">
        <v>1</v>
      </c>
      <c r="O160" s="11" t="n">
        <v>4.5</v>
      </c>
      <c r="P160" s="11" t="n">
        <v>2.28</v>
      </c>
      <c r="Q160" s="11" t="n">
        <v>17.1</v>
      </c>
      <c r="R160" s="11" t="n">
        <f aca="false">SUM(K160:Q160)</f>
        <v>119.93</v>
      </c>
      <c r="S160" s="11" t="n">
        <f aca="false">R160/(1-Resumo!$C$6)</f>
        <v>136.284090909091</v>
      </c>
      <c r="T160" s="11" t="n">
        <f aca="false">S160-J160</f>
        <v>23.6040909090909</v>
      </c>
      <c r="U160" s="12" t="n">
        <f aca="false">IFERROR(S160/J160-1,0)</f>
        <v>0.209478975054055</v>
      </c>
      <c r="V160" s="2" t="str">
        <f aca="false">IF(S160&lt;J160,"SIM","NÃO")</f>
        <v>NÃO</v>
      </c>
      <c r="W160" s="2" t="n">
        <v>5</v>
      </c>
      <c r="X160" s="2" t="s">
        <v>156</v>
      </c>
    </row>
    <row r="161" customFormat="false" ht="15" hidden="false" customHeight="false" outlineLevel="0" collapsed="false">
      <c r="A161" s="2" t="n">
        <v>358126348</v>
      </c>
      <c r="B161" s="29" t="n">
        <v>46215.7874768519</v>
      </c>
      <c r="C161" s="2" t="s">
        <v>153</v>
      </c>
      <c r="D161" s="2" t="s">
        <v>338</v>
      </c>
      <c r="E161" s="2" t="s">
        <v>79</v>
      </c>
      <c r="F161" s="2" t="s">
        <v>105</v>
      </c>
      <c r="G161" s="30" t="n">
        <v>19.5</v>
      </c>
      <c r="H161" s="11" t="n">
        <v>369.99</v>
      </c>
      <c r="I161" s="11" t="s">
        <v>155</v>
      </c>
      <c r="J161" s="11" t="n">
        <v>75.61</v>
      </c>
      <c r="K161" s="11" t="n">
        <v>57.47</v>
      </c>
      <c r="L161" s="11" t="n">
        <v>0.37</v>
      </c>
      <c r="M161" s="11" t="n">
        <v>0.74</v>
      </c>
      <c r="N161" s="11" t="n">
        <v>1</v>
      </c>
      <c r="O161" s="11" t="n">
        <v>4.5</v>
      </c>
      <c r="P161" s="11" t="n">
        <v>1.2</v>
      </c>
      <c r="Q161" s="11" t="n">
        <v>9</v>
      </c>
      <c r="R161" s="11" t="n">
        <f aca="false">SUM(K161:Q161)</f>
        <v>74.28</v>
      </c>
      <c r="S161" s="11" t="n">
        <f aca="false">R161/(1-Resumo!$C$6)</f>
        <v>84.4090909090909</v>
      </c>
      <c r="T161" s="11" t="n">
        <f aca="false">S161-J161</f>
        <v>8.79909090909091</v>
      </c>
      <c r="U161" s="12" t="n">
        <f aca="false">IFERROR(S161/J161-1,0)</f>
        <v>0.116374697911532</v>
      </c>
      <c r="V161" s="2" t="str">
        <f aca="false">IF(S161&lt;J161,"SIM","NÃO")</f>
        <v>NÃO</v>
      </c>
      <c r="W161" s="2" t="n">
        <v>7</v>
      </c>
      <c r="X161" s="2" t="s">
        <v>156</v>
      </c>
    </row>
    <row r="162" customFormat="false" ht="15" hidden="false" customHeight="false" outlineLevel="0" collapsed="false">
      <c r="A162" s="2" t="n">
        <v>358129527</v>
      </c>
      <c r="B162" s="29" t="n">
        <v>46215.7925925926</v>
      </c>
      <c r="C162" s="2" t="s">
        <v>158</v>
      </c>
      <c r="D162" s="2" t="s">
        <v>339</v>
      </c>
      <c r="E162" s="2" t="s">
        <v>78</v>
      </c>
      <c r="F162" s="2" t="s">
        <v>109</v>
      </c>
      <c r="G162" s="30" t="n">
        <v>52.3</v>
      </c>
      <c r="H162" s="11" t="n">
        <v>650.86</v>
      </c>
      <c r="I162" s="11" t="s">
        <v>155</v>
      </c>
      <c r="J162" s="11" t="n">
        <v>114.26</v>
      </c>
      <c r="K162" s="11" t="n">
        <v>112.3</v>
      </c>
      <c r="L162" s="11" t="n">
        <v>0.6509</v>
      </c>
      <c r="M162" s="11" t="n">
        <v>1.3017</v>
      </c>
      <c r="N162" s="11" t="n">
        <v>1</v>
      </c>
      <c r="O162" s="11" t="n">
        <v>4.5</v>
      </c>
      <c r="P162" s="11" t="n">
        <v>3.18</v>
      </c>
      <c r="Q162" s="11" t="n">
        <v>23.85</v>
      </c>
      <c r="R162" s="11" t="n">
        <f aca="false">SUM(K162:Q162)</f>
        <v>146.7826</v>
      </c>
      <c r="S162" s="11" t="n">
        <f aca="false">R162/(1-Resumo!$C$6)</f>
        <v>166.798409090909</v>
      </c>
      <c r="T162" s="11" t="n">
        <f aca="false">S162-J162</f>
        <v>52.5384090909091</v>
      </c>
      <c r="U162" s="12" t="n">
        <f aca="false">IFERROR(S162/J162-1,0)</f>
        <v>0.459814537816463</v>
      </c>
      <c r="V162" s="2" t="str">
        <f aca="false">IF(S162&lt;J162,"SIM","NÃO")</f>
        <v>NÃO</v>
      </c>
      <c r="W162" s="2" t="n">
        <v>5</v>
      </c>
      <c r="X162" s="2" t="s">
        <v>156</v>
      </c>
    </row>
    <row r="163" customFormat="false" ht="15" hidden="false" customHeight="false" outlineLevel="0" collapsed="false">
      <c r="A163" s="2" t="n">
        <v>358136247</v>
      </c>
      <c r="B163" s="29" t="n">
        <v>46215.8080208333</v>
      </c>
      <c r="C163" s="2" t="s">
        <v>178</v>
      </c>
      <c r="D163" s="2" t="s">
        <v>340</v>
      </c>
      <c r="E163" s="2" t="s">
        <v>203</v>
      </c>
      <c r="F163" s="2" t="s">
        <v>110</v>
      </c>
      <c r="G163" s="30" t="n">
        <v>69</v>
      </c>
      <c r="H163" s="11" t="n">
        <v>859.99</v>
      </c>
      <c r="I163" s="11" t="s">
        <v>155</v>
      </c>
      <c r="J163" s="11" t="n">
        <v>156.14</v>
      </c>
      <c r="K163" s="11" t="n">
        <v>141.02</v>
      </c>
      <c r="L163" s="11" t="n">
        <v>0.86</v>
      </c>
      <c r="M163" s="11" t="n">
        <v>1.72</v>
      </c>
      <c r="N163" s="11" t="n">
        <v>1</v>
      </c>
      <c r="O163" s="11" t="n">
        <v>4.5</v>
      </c>
      <c r="P163" s="11" t="n">
        <v>4.14</v>
      </c>
      <c r="Q163" s="11" t="n">
        <v>31.05</v>
      </c>
      <c r="R163" s="11" t="n">
        <f aca="false">SUM(K163:Q163)</f>
        <v>184.29</v>
      </c>
      <c r="S163" s="11" t="n">
        <f aca="false">R163/(1-Resumo!$C$6)</f>
        <v>209.420454545455</v>
      </c>
      <c r="T163" s="11" t="n">
        <f aca="false">S163-J163</f>
        <v>53.2804545454546</v>
      </c>
      <c r="U163" s="12" t="n">
        <f aca="false">IFERROR(S163/J163-1,0)</f>
        <v>0.341235138628504</v>
      </c>
      <c r="V163" s="2" t="str">
        <f aca="false">IF(S163&lt;J163,"SIM","NÃO")</f>
        <v>NÃO</v>
      </c>
      <c r="W163" s="2" t="n">
        <v>5</v>
      </c>
      <c r="X163" s="2" t="s">
        <v>161</v>
      </c>
    </row>
    <row r="164" customFormat="false" ht="15" hidden="false" customHeight="false" outlineLevel="0" collapsed="false">
      <c r="A164" s="2" t="n">
        <v>358172628</v>
      </c>
      <c r="B164" s="29" t="n">
        <v>46215.8525810185</v>
      </c>
      <c r="C164" s="2" t="s">
        <v>153</v>
      </c>
      <c r="D164" s="2" t="s">
        <v>341</v>
      </c>
      <c r="E164" s="2" t="s">
        <v>342</v>
      </c>
      <c r="F164" s="2" t="s">
        <v>107</v>
      </c>
      <c r="G164" s="30" t="n">
        <v>37.2</v>
      </c>
      <c r="H164" s="11" t="n">
        <v>359.99</v>
      </c>
      <c r="I164" s="11" t="s">
        <v>155</v>
      </c>
      <c r="J164" s="11" t="n">
        <v>121.98</v>
      </c>
      <c r="K164" s="11" t="n">
        <v>124.38</v>
      </c>
      <c r="L164" s="11" t="n">
        <v>0.36</v>
      </c>
      <c r="M164" s="11" t="n">
        <v>0.72</v>
      </c>
      <c r="N164" s="11" t="n">
        <v>1</v>
      </c>
      <c r="O164" s="11" t="n">
        <v>4.5</v>
      </c>
      <c r="P164" s="11" t="n">
        <v>2.28</v>
      </c>
      <c r="Q164" s="11" t="n">
        <v>17.1</v>
      </c>
      <c r="R164" s="11" t="n">
        <f aca="false">SUM(K164:Q164)</f>
        <v>150.34</v>
      </c>
      <c r="S164" s="11" t="n">
        <f aca="false">R164/(1-Resumo!$C$6)</f>
        <v>170.840909090909</v>
      </c>
      <c r="T164" s="11" t="n">
        <f aca="false">S164-J164</f>
        <v>48.8609090909091</v>
      </c>
      <c r="U164" s="12" t="n">
        <f aca="false">IFERROR(S164/J164-1,0)</f>
        <v>0.400564921224046</v>
      </c>
      <c r="V164" s="2" t="str">
        <f aca="false">IF(S164&lt;J164,"SIM","NÃO")</f>
        <v>NÃO</v>
      </c>
      <c r="W164" s="2" t="n">
        <v>10</v>
      </c>
      <c r="X164" s="2" t="s">
        <v>161</v>
      </c>
    </row>
    <row r="165" customFormat="false" ht="15" hidden="false" customHeight="false" outlineLevel="0" collapsed="false">
      <c r="A165" s="2" t="n">
        <v>358179362</v>
      </c>
      <c r="B165" s="29" t="n">
        <v>46215.8619097222</v>
      </c>
      <c r="C165" s="2" t="s">
        <v>198</v>
      </c>
      <c r="D165" s="2" t="s">
        <v>343</v>
      </c>
      <c r="E165" s="2" t="s">
        <v>78</v>
      </c>
      <c r="F165" s="2" t="s">
        <v>108</v>
      </c>
      <c r="G165" s="30" t="n">
        <v>41</v>
      </c>
      <c r="H165" s="11" t="n">
        <v>498.99</v>
      </c>
      <c r="I165" s="11" t="s">
        <v>155</v>
      </c>
      <c r="J165" s="11" t="n">
        <v>102.98</v>
      </c>
      <c r="K165" s="11" t="n">
        <v>93.97</v>
      </c>
      <c r="L165" s="11" t="n">
        <v>0.499</v>
      </c>
      <c r="M165" s="11" t="n">
        <v>0.998</v>
      </c>
      <c r="N165" s="11" t="n">
        <v>1</v>
      </c>
      <c r="O165" s="11" t="n">
        <v>4.5</v>
      </c>
      <c r="P165" s="11" t="n">
        <v>2.46</v>
      </c>
      <c r="Q165" s="11" t="n">
        <v>18.45</v>
      </c>
      <c r="R165" s="11" t="n">
        <f aca="false">SUM(K165:Q165)</f>
        <v>121.877</v>
      </c>
      <c r="S165" s="11" t="n">
        <f aca="false">R165/(1-Resumo!$C$6)</f>
        <v>138.496590909091</v>
      </c>
      <c r="T165" s="11" t="n">
        <f aca="false">S165-J165</f>
        <v>35.5165909090909</v>
      </c>
      <c r="U165" s="12" t="n">
        <f aca="false">IFERROR(S165/J165-1,0)</f>
        <v>0.344888239552252</v>
      </c>
      <c r="V165" s="2" t="str">
        <f aca="false">IF(S165&lt;J165,"SIM","NÃO")</f>
        <v>NÃO</v>
      </c>
      <c r="W165" s="2" t="n">
        <v>5</v>
      </c>
      <c r="X165" s="2" t="s">
        <v>156</v>
      </c>
    </row>
    <row r="166" customFormat="false" ht="15" hidden="false" customHeight="false" outlineLevel="0" collapsed="false">
      <c r="A166" s="2" t="n">
        <v>358197803</v>
      </c>
      <c r="B166" s="29" t="n">
        <v>46215.887037037</v>
      </c>
      <c r="C166" s="2" t="s">
        <v>153</v>
      </c>
      <c r="D166" s="2" t="s">
        <v>344</v>
      </c>
      <c r="E166" s="2" t="s">
        <v>78</v>
      </c>
      <c r="F166" s="2" t="s">
        <v>109</v>
      </c>
      <c r="G166" s="30" t="n">
        <v>52.3</v>
      </c>
      <c r="H166" s="11" t="n">
        <v>644.99</v>
      </c>
      <c r="I166" s="11" t="s">
        <v>155</v>
      </c>
      <c r="J166" s="11" t="n">
        <v>114.24</v>
      </c>
      <c r="K166" s="11" t="n">
        <v>112.3</v>
      </c>
      <c r="L166" s="11" t="n">
        <v>0.645</v>
      </c>
      <c r="M166" s="11" t="n">
        <v>1.29</v>
      </c>
      <c r="N166" s="11" t="n">
        <v>1</v>
      </c>
      <c r="O166" s="11" t="n">
        <v>4.5</v>
      </c>
      <c r="P166" s="11" t="n">
        <v>3.18</v>
      </c>
      <c r="Q166" s="11" t="n">
        <v>23.85</v>
      </c>
      <c r="R166" s="11" t="n">
        <f aca="false">SUM(K166:Q166)</f>
        <v>146.765</v>
      </c>
      <c r="S166" s="11" t="n">
        <f aca="false">R166/(1-Resumo!$C$6)</f>
        <v>166.778409090909</v>
      </c>
      <c r="T166" s="11" t="n">
        <f aca="false">S166-J166</f>
        <v>52.5384090909091</v>
      </c>
      <c r="U166" s="12" t="n">
        <f aca="false">IFERROR(S166/J166-1,0)</f>
        <v>0.459895037560479</v>
      </c>
      <c r="V166" s="2" t="str">
        <f aca="false">IF(S166&lt;J166,"SIM","NÃO")</f>
        <v>NÃO</v>
      </c>
      <c r="W166" s="2" t="n">
        <v>5</v>
      </c>
      <c r="X166" s="2" t="s">
        <v>156</v>
      </c>
    </row>
    <row r="167" customFormat="false" ht="15" hidden="false" customHeight="false" outlineLevel="0" collapsed="false">
      <c r="A167" s="2" t="n">
        <v>358222680</v>
      </c>
      <c r="B167" s="29" t="n">
        <v>46215.9210532407</v>
      </c>
      <c r="C167" s="2" t="s">
        <v>153</v>
      </c>
      <c r="D167" s="2" t="s">
        <v>345</v>
      </c>
      <c r="E167" s="2" t="s">
        <v>78</v>
      </c>
      <c r="F167" s="2" t="s">
        <v>109</v>
      </c>
      <c r="G167" s="30" t="n">
        <v>52.3</v>
      </c>
      <c r="H167" s="11" t="n">
        <v>644.99</v>
      </c>
      <c r="I167" s="11" t="s">
        <v>155</v>
      </c>
      <c r="J167" s="11" t="n">
        <v>114.24</v>
      </c>
      <c r="K167" s="11" t="n">
        <v>112.3</v>
      </c>
      <c r="L167" s="11" t="n">
        <v>0.645</v>
      </c>
      <c r="M167" s="11" t="n">
        <v>1.29</v>
      </c>
      <c r="N167" s="11" t="n">
        <v>1</v>
      </c>
      <c r="O167" s="11" t="n">
        <v>4.5</v>
      </c>
      <c r="P167" s="11" t="n">
        <v>3.18</v>
      </c>
      <c r="Q167" s="11" t="n">
        <v>23.85</v>
      </c>
      <c r="R167" s="11" t="n">
        <f aca="false">SUM(K167:Q167)</f>
        <v>146.765</v>
      </c>
      <c r="S167" s="11" t="n">
        <f aca="false">R167/(1-Resumo!$C$6)</f>
        <v>166.778409090909</v>
      </c>
      <c r="T167" s="11" t="n">
        <f aca="false">S167-J167</f>
        <v>52.5384090909091</v>
      </c>
      <c r="U167" s="12" t="n">
        <f aca="false">IFERROR(S167/J167-1,0)</f>
        <v>0.459895037560479</v>
      </c>
      <c r="V167" s="2" t="str">
        <f aca="false">IF(S167&lt;J167,"SIM","NÃO")</f>
        <v>NÃO</v>
      </c>
      <c r="W167" s="2" t="n">
        <v>5</v>
      </c>
      <c r="X167" s="2" t="s">
        <v>156</v>
      </c>
    </row>
    <row r="168" customFormat="false" ht="15" hidden="false" customHeight="false" outlineLevel="0" collapsed="false">
      <c r="A168" s="2" t="n">
        <v>358198274</v>
      </c>
      <c r="B168" s="29" t="n">
        <v>46215.9660763889</v>
      </c>
      <c r="C168" s="2" t="s">
        <v>194</v>
      </c>
      <c r="D168" s="2" t="s">
        <v>346</v>
      </c>
      <c r="E168" s="2" t="s">
        <v>87</v>
      </c>
      <c r="F168" s="2" t="s">
        <v>109</v>
      </c>
      <c r="G168" s="30" t="n">
        <v>52.3</v>
      </c>
      <c r="H168" s="11" t="n">
        <v>677.59</v>
      </c>
      <c r="I168" s="11" t="s">
        <v>155</v>
      </c>
      <c r="J168" s="11" t="n">
        <v>142.93</v>
      </c>
      <c r="K168" s="11" t="n">
        <v>142.32</v>
      </c>
      <c r="L168" s="11" t="n">
        <v>0.6776</v>
      </c>
      <c r="M168" s="11" t="n">
        <v>1.3552</v>
      </c>
      <c r="N168" s="11" t="n">
        <v>1</v>
      </c>
      <c r="O168" s="11" t="n">
        <v>4.5</v>
      </c>
      <c r="P168" s="11" t="n">
        <v>3.18</v>
      </c>
      <c r="Q168" s="11" t="n">
        <v>23.85</v>
      </c>
      <c r="R168" s="11" t="n">
        <f aca="false">SUM(K168:Q168)</f>
        <v>176.8828</v>
      </c>
      <c r="S168" s="11" t="n">
        <f aca="false">R168/(1-Resumo!$C$6)</f>
        <v>201.003181818182</v>
      </c>
      <c r="T168" s="11" t="n">
        <f aca="false">S168-J168</f>
        <v>58.0731818181818</v>
      </c>
      <c r="U168" s="12" t="n">
        <f aca="false">IFERROR(S168/J168-1,0)</f>
        <v>0.406305057148127</v>
      </c>
      <c r="V168" s="2" t="str">
        <f aca="false">IF(S168&lt;J168,"SIM","NÃO")</f>
        <v>NÃO</v>
      </c>
      <c r="W168" s="2" t="n">
        <v>10</v>
      </c>
      <c r="X168" s="2" t="s">
        <v>156</v>
      </c>
    </row>
    <row r="169" customFormat="false" ht="15" hidden="false" customHeight="false" outlineLevel="0" collapsed="false">
      <c r="A169" s="2" t="n">
        <v>358440219</v>
      </c>
      <c r="B169" s="29" t="n">
        <v>46216.32125</v>
      </c>
      <c r="C169" s="2" t="s">
        <v>153</v>
      </c>
      <c r="D169" s="2" t="s">
        <v>347</v>
      </c>
      <c r="E169" s="2" t="s">
        <v>79</v>
      </c>
      <c r="F169" s="2" t="s">
        <v>109</v>
      </c>
      <c r="G169" s="30" t="n">
        <v>59.9</v>
      </c>
      <c r="H169" s="11" t="n">
        <v>949.99</v>
      </c>
      <c r="I169" s="11" t="s">
        <v>155</v>
      </c>
      <c r="J169" s="11" t="n">
        <v>129.84</v>
      </c>
      <c r="K169" s="11" t="n">
        <v>128.14</v>
      </c>
      <c r="L169" s="11" t="n">
        <v>0.95</v>
      </c>
      <c r="M169" s="11" t="n">
        <v>1.9</v>
      </c>
      <c r="N169" s="11" t="n">
        <v>1</v>
      </c>
      <c r="O169" s="11" t="n">
        <v>4.5</v>
      </c>
      <c r="P169" s="11" t="n">
        <v>3.6</v>
      </c>
      <c r="Q169" s="11" t="n">
        <v>27</v>
      </c>
      <c r="R169" s="11" t="n">
        <f aca="false">SUM(K169:Q169)</f>
        <v>167.09</v>
      </c>
      <c r="S169" s="11" t="n">
        <f aca="false">R169/(1-Resumo!$C$6)</f>
        <v>189.875</v>
      </c>
      <c r="T169" s="11" t="n">
        <f aca="false">S169-J169</f>
        <v>60.035</v>
      </c>
      <c r="U169" s="12" t="n">
        <f aca="false">IFERROR(S169/J169-1,0)</f>
        <v>0.462376771410967</v>
      </c>
      <c r="V169" s="2" t="str">
        <f aca="false">IF(S169&lt;J169,"SIM","NÃO")</f>
        <v>NÃO</v>
      </c>
      <c r="W169" s="2" t="n">
        <v>7</v>
      </c>
      <c r="X169" s="2" t="s">
        <v>156</v>
      </c>
    </row>
    <row r="170" customFormat="false" ht="15" hidden="false" customHeight="false" outlineLevel="0" collapsed="false">
      <c r="A170" s="2" t="n">
        <v>358446867</v>
      </c>
      <c r="B170" s="29" t="n">
        <v>46216.332962963</v>
      </c>
      <c r="C170" s="2" t="s">
        <v>153</v>
      </c>
      <c r="D170" s="2" t="s">
        <v>348</v>
      </c>
      <c r="E170" s="2" t="s">
        <v>78</v>
      </c>
      <c r="F170" s="2" t="s">
        <v>110</v>
      </c>
      <c r="G170" s="30" t="n">
        <v>61.5</v>
      </c>
      <c r="H170" s="11" t="n">
        <v>767.99</v>
      </c>
      <c r="I170" s="11" t="s">
        <v>155</v>
      </c>
      <c r="J170" s="11" t="n">
        <v>124.9</v>
      </c>
      <c r="K170" s="11" t="n">
        <v>131.02</v>
      </c>
      <c r="L170" s="11" t="n">
        <v>0.768</v>
      </c>
      <c r="M170" s="11" t="n">
        <v>1.536</v>
      </c>
      <c r="N170" s="11" t="n">
        <v>1</v>
      </c>
      <c r="O170" s="11" t="n">
        <v>4.5</v>
      </c>
      <c r="P170" s="11" t="n">
        <v>3.72</v>
      </c>
      <c r="Q170" s="11" t="n">
        <v>27.9</v>
      </c>
      <c r="R170" s="11" t="n">
        <f aca="false">SUM(K170:Q170)</f>
        <v>170.444</v>
      </c>
      <c r="S170" s="11" t="n">
        <f aca="false">R170/(1-Resumo!$C$6)</f>
        <v>193.686363636364</v>
      </c>
      <c r="T170" s="11" t="n">
        <f aca="false">S170-J170</f>
        <v>68.7863636363637</v>
      </c>
      <c r="U170" s="12" t="n">
        <f aca="false">IFERROR(S170/J170-1,0)</f>
        <v>0.550731494286338</v>
      </c>
      <c r="V170" s="2" t="str">
        <f aca="false">IF(S170&lt;J170,"SIM","NÃO")</f>
        <v>NÃO</v>
      </c>
      <c r="W170" s="2" t="n">
        <v>5</v>
      </c>
      <c r="X170" s="2" t="s">
        <v>156</v>
      </c>
    </row>
    <row r="171" customFormat="false" ht="15" hidden="false" customHeight="false" outlineLevel="0" collapsed="false">
      <c r="A171" s="2" t="n">
        <v>358490953</v>
      </c>
      <c r="B171" s="29" t="n">
        <v>46216.4030324074</v>
      </c>
      <c r="C171" s="2" t="s">
        <v>153</v>
      </c>
      <c r="D171" s="2" t="s">
        <v>349</v>
      </c>
      <c r="E171" s="2" t="s">
        <v>78</v>
      </c>
      <c r="F171" s="2" t="s">
        <v>109</v>
      </c>
      <c r="G171" s="30" t="n">
        <v>52.3</v>
      </c>
      <c r="H171" s="11" t="n">
        <v>644.99</v>
      </c>
      <c r="I171" s="11" t="s">
        <v>350</v>
      </c>
      <c r="J171" s="11" t="n">
        <v>146.01</v>
      </c>
      <c r="K171" s="11" t="n">
        <v>112.3</v>
      </c>
      <c r="L171" s="11" t="n">
        <v>0.645</v>
      </c>
      <c r="M171" s="11" t="n">
        <v>1.29</v>
      </c>
      <c r="N171" s="11" t="n">
        <v>1</v>
      </c>
      <c r="O171" s="11" t="n">
        <v>4.5</v>
      </c>
      <c r="P171" s="11" t="n">
        <v>3.18</v>
      </c>
      <c r="Q171" s="11" t="n">
        <v>23.85</v>
      </c>
      <c r="R171" s="11" t="n">
        <f aca="false">SUM(K171:Q171)</f>
        <v>146.765</v>
      </c>
      <c r="S171" s="11" t="n">
        <f aca="false">R171/(1-Resumo!$C$6)</f>
        <v>166.778409090909</v>
      </c>
      <c r="T171" s="11" t="n">
        <f aca="false">S171-J171</f>
        <v>20.7684090909091</v>
      </c>
      <c r="U171" s="12" t="n">
        <f aca="false">IFERROR(S171/J171-1,0)</f>
        <v>0.142239634894247</v>
      </c>
      <c r="V171" s="2" t="str">
        <f aca="false">IF(S171&lt;J171,"SIM","NÃO")</f>
        <v>NÃO</v>
      </c>
      <c r="W171" s="2" t="n">
        <v>5</v>
      </c>
      <c r="X171" s="2" t="s">
        <v>156</v>
      </c>
    </row>
    <row r="172" customFormat="false" ht="15" hidden="false" customHeight="false" outlineLevel="0" collapsed="false">
      <c r="A172" s="2" t="n">
        <v>358593106</v>
      </c>
      <c r="B172" s="29" t="n">
        <v>46216.532037037</v>
      </c>
      <c r="C172" s="2" t="s">
        <v>153</v>
      </c>
      <c r="D172" s="2" t="s">
        <v>351</v>
      </c>
      <c r="E172" s="2" t="s">
        <v>78</v>
      </c>
      <c r="F172" s="2" t="s">
        <v>108</v>
      </c>
      <c r="G172" s="30" t="n">
        <v>46.8</v>
      </c>
      <c r="H172" s="11" t="n">
        <v>506.99</v>
      </c>
      <c r="I172" s="11" t="s">
        <v>155</v>
      </c>
      <c r="J172" s="11" t="n">
        <v>103.01</v>
      </c>
      <c r="K172" s="11" t="n">
        <v>93.97</v>
      </c>
      <c r="L172" s="11" t="n">
        <v>0.507</v>
      </c>
      <c r="M172" s="11" t="n">
        <v>1.014</v>
      </c>
      <c r="N172" s="11" t="n">
        <v>1</v>
      </c>
      <c r="O172" s="11" t="n">
        <v>4.5</v>
      </c>
      <c r="P172" s="11" t="n">
        <v>2.82</v>
      </c>
      <c r="Q172" s="11" t="n">
        <v>21.15</v>
      </c>
      <c r="R172" s="11" t="n">
        <f aca="false">SUM(K172:Q172)</f>
        <v>124.961</v>
      </c>
      <c r="S172" s="11" t="n">
        <f aca="false">R172/(1-Resumo!$C$6)</f>
        <v>142.001136363636</v>
      </c>
      <c r="T172" s="11" t="n">
        <f aca="false">S172-J172</f>
        <v>38.9911363636363</v>
      </c>
      <c r="U172" s="12" t="n">
        <f aca="false">IFERROR(S172/J172-1,0)</f>
        <v>0.378517972659318</v>
      </c>
      <c r="V172" s="2" t="str">
        <f aca="false">IF(S172&lt;J172,"SIM","NÃO")</f>
        <v>NÃO</v>
      </c>
      <c r="W172" s="2" t="n">
        <v>5</v>
      </c>
      <c r="X172" s="2" t="s">
        <v>156</v>
      </c>
    </row>
    <row r="173" customFormat="false" ht="15" hidden="false" customHeight="false" outlineLevel="0" collapsed="false">
      <c r="A173" s="2" t="n">
        <v>358615034</v>
      </c>
      <c r="B173" s="29" t="n">
        <v>46216.5525925926</v>
      </c>
      <c r="C173" s="2" t="s">
        <v>153</v>
      </c>
      <c r="D173" s="2" t="s">
        <v>352</v>
      </c>
      <c r="E173" s="2" t="s">
        <v>78</v>
      </c>
      <c r="F173" s="2" t="s">
        <v>109</v>
      </c>
      <c r="G173" s="30" t="n">
        <v>52.3</v>
      </c>
      <c r="H173" s="11" t="n">
        <v>644.99</v>
      </c>
      <c r="I173" s="11" t="s">
        <v>350</v>
      </c>
      <c r="J173" s="11" t="n">
        <v>146.01</v>
      </c>
      <c r="K173" s="11" t="n">
        <v>112.3</v>
      </c>
      <c r="L173" s="11" t="n">
        <v>0.645</v>
      </c>
      <c r="M173" s="11" t="n">
        <v>1.29</v>
      </c>
      <c r="N173" s="11" t="n">
        <v>1</v>
      </c>
      <c r="O173" s="11" t="n">
        <v>4.5</v>
      </c>
      <c r="P173" s="11" t="n">
        <v>3.18</v>
      </c>
      <c r="Q173" s="11" t="n">
        <v>23.85</v>
      </c>
      <c r="R173" s="11" t="n">
        <f aca="false">SUM(K173:Q173)</f>
        <v>146.765</v>
      </c>
      <c r="S173" s="11" t="n">
        <f aca="false">R173/(1-Resumo!$C$6)</f>
        <v>166.778409090909</v>
      </c>
      <c r="T173" s="11" t="n">
        <f aca="false">S173-J173</f>
        <v>20.7684090909091</v>
      </c>
      <c r="U173" s="12" t="n">
        <f aca="false">IFERROR(S173/J173-1,0)</f>
        <v>0.142239634894247</v>
      </c>
      <c r="V173" s="2" t="str">
        <f aca="false">IF(S173&lt;J173,"SIM","NÃO")</f>
        <v>NÃO</v>
      </c>
      <c r="W173" s="2" t="n">
        <v>5</v>
      </c>
      <c r="X173" s="2" t="s">
        <v>156</v>
      </c>
    </row>
    <row r="174" customFormat="false" ht="15" hidden="false" customHeight="false" outlineLevel="0" collapsed="false">
      <c r="A174" s="2" t="n">
        <v>358615497</v>
      </c>
      <c r="B174" s="29" t="n">
        <v>46216.5530092593</v>
      </c>
      <c r="C174" s="2" t="s">
        <v>153</v>
      </c>
      <c r="D174" s="2" t="s">
        <v>353</v>
      </c>
      <c r="E174" s="2" t="s">
        <v>86</v>
      </c>
      <c r="F174" s="2" t="s">
        <v>107</v>
      </c>
      <c r="G174" s="30" t="n">
        <v>40</v>
      </c>
      <c r="H174" s="11" t="n">
        <v>599.99</v>
      </c>
      <c r="I174" s="11" t="s">
        <v>155</v>
      </c>
      <c r="J174" s="11" t="n">
        <v>113.83</v>
      </c>
      <c r="K174" s="11" t="n">
        <v>93.97</v>
      </c>
      <c r="L174" s="11" t="n">
        <v>0.6</v>
      </c>
      <c r="M174" s="11" t="n">
        <v>1.2</v>
      </c>
      <c r="N174" s="11" t="n">
        <v>1</v>
      </c>
      <c r="O174" s="11" t="n">
        <v>4.5</v>
      </c>
      <c r="P174" s="11" t="n">
        <v>2.4</v>
      </c>
      <c r="Q174" s="11" t="n">
        <v>18</v>
      </c>
      <c r="R174" s="11" t="n">
        <f aca="false">SUM(K174:Q174)</f>
        <v>121.67</v>
      </c>
      <c r="S174" s="11" t="n">
        <f aca="false">R174/(1-Resumo!$C$6)</f>
        <v>138.261363636364</v>
      </c>
      <c r="T174" s="11" t="n">
        <f aca="false">S174-J174</f>
        <v>24.4313636363636</v>
      </c>
      <c r="U174" s="12" t="n">
        <f aca="false">IFERROR(S174/J174-1,0)</f>
        <v>0.214630270019886</v>
      </c>
      <c r="V174" s="2" t="str">
        <f aca="false">IF(S174&lt;J174,"SIM","NÃO")</f>
        <v>NÃO</v>
      </c>
      <c r="W174" s="2" t="n">
        <v>5</v>
      </c>
      <c r="X174" s="2" t="s">
        <v>156</v>
      </c>
    </row>
    <row r="175" customFormat="false" ht="15" hidden="false" customHeight="false" outlineLevel="0" collapsed="false">
      <c r="A175" s="2" t="n">
        <v>358723031</v>
      </c>
      <c r="B175" s="29" t="n">
        <v>46216.684375</v>
      </c>
      <c r="C175" s="2" t="s">
        <v>153</v>
      </c>
      <c r="D175" s="2" t="s">
        <v>354</v>
      </c>
      <c r="E175" s="2" t="s">
        <v>85</v>
      </c>
      <c r="F175" s="2" t="s">
        <v>109</v>
      </c>
      <c r="G175" s="30" t="n">
        <v>60</v>
      </c>
      <c r="H175" s="11" t="n">
        <v>859.99</v>
      </c>
      <c r="I175" s="11" t="s">
        <v>155</v>
      </c>
      <c r="J175" s="11" t="n">
        <v>143.8</v>
      </c>
      <c r="K175" s="11" t="n">
        <v>162.04</v>
      </c>
      <c r="L175" s="11" t="n">
        <v>0.86</v>
      </c>
      <c r="M175" s="11" t="n">
        <v>1.72</v>
      </c>
      <c r="N175" s="11" t="n">
        <v>1</v>
      </c>
      <c r="O175" s="11" t="n">
        <v>4.5</v>
      </c>
      <c r="P175" s="11" t="n">
        <v>3.6</v>
      </c>
      <c r="Q175" s="11" t="n">
        <v>27</v>
      </c>
      <c r="R175" s="11" t="n">
        <f aca="false">SUM(K175:Q175)</f>
        <v>200.72</v>
      </c>
      <c r="S175" s="11" t="n">
        <f aca="false">R175/(1-Resumo!$C$6)</f>
        <v>228.090909090909</v>
      </c>
      <c r="T175" s="11" t="n">
        <f aca="false">S175-J175</f>
        <v>84.2909090909091</v>
      </c>
      <c r="U175" s="12" t="n">
        <f aca="false">IFERROR(S175/J175-1,0)</f>
        <v>0.586167657099507</v>
      </c>
      <c r="V175" s="2" t="str">
        <f aca="false">IF(S175&lt;J175,"SIM","NÃO")</f>
        <v>NÃO</v>
      </c>
      <c r="W175" s="2" t="n">
        <v>11</v>
      </c>
      <c r="X175" s="2" t="s">
        <v>156</v>
      </c>
    </row>
    <row r="176" customFormat="false" ht="15" hidden="false" customHeight="false" outlineLevel="0" collapsed="false">
      <c r="A176" s="2" t="n">
        <v>358892941</v>
      </c>
      <c r="B176" s="29" t="n">
        <v>46216.9080208333</v>
      </c>
      <c r="C176" s="2" t="s">
        <v>153</v>
      </c>
      <c r="D176" s="2" t="s">
        <v>254</v>
      </c>
      <c r="E176" s="2" t="s">
        <v>255</v>
      </c>
      <c r="F176" s="2" t="s">
        <v>107</v>
      </c>
      <c r="G176" s="30" t="n">
        <v>40</v>
      </c>
      <c r="H176" s="11" t="n">
        <v>599.99</v>
      </c>
      <c r="I176" s="11" t="s">
        <v>155</v>
      </c>
      <c r="J176" s="11" t="n">
        <v>123.13</v>
      </c>
      <c r="K176" s="11" t="n">
        <v>124.38</v>
      </c>
      <c r="L176" s="11" t="n">
        <v>0.6</v>
      </c>
      <c r="M176" s="11" t="n">
        <v>1.2</v>
      </c>
      <c r="N176" s="11" t="n">
        <v>1</v>
      </c>
      <c r="O176" s="11" t="n">
        <v>4.5</v>
      </c>
      <c r="P176" s="11" t="n">
        <v>2.4</v>
      </c>
      <c r="Q176" s="11" t="n">
        <v>18</v>
      </c>
      <c r="R176" s="11" t="n">
        <f aca="false">SUM(K176:Q176)</f>
        <v>152.08</v>
      </c>
      <c r="S176" s="11" t="n">
        <f aca="false">R176/(1-Resumo!$C$6)</f>
        <v>172.818181818182</v>
      </c>
      <c r="T176" s="11" t="n">
        <f aca="false">S176-J176</f>
        <v>49.6881818181818</v>
      </c>
      <c r="U176" s="12" t="n">
        <f aca="false">IFERROR(S176/J176-1,0)</f>
        <v>0.403542449591341</v>
      </c>
      <c r="V176" s="2" t="str">
        <f aca="false">IF(S176&lt;J176,"SIM","NÃO")</f>
        <v>NÃO</v>
      </c>
      <c r="W176" s="2" t="n">
        <v>10</v>
      </c>
      <c r="X176" s="2" t="s">
        <v>161</v>
      </c>
    </row>
    <row r="177" customFormat="false" ht="15" hidden="false" customHeight="false" outlineLevel="0" collapsed="false">
      <c r="A177" s="2" t="n">
        <v>358930749</v>
      </c>
      <c r="B177" s="29" t="n">
        <v>46216.9614351852</v>
      </c>
      <c r="C177" s="2" t="s">
        <v>153</v>
      </c>
      <c r="D177" s="2" t="s">
        <v>355</v>
      </c>
      <c r="E177" s="2" t="s">
        <v>80</v>
      </c>
      <c r="F177" s="2" t="s">
        <v>109</v>
      </c>
      <c r="G177" s="30" t="n">
        <v>52.3</v>
      </c>
      <c r="H177" s="11" t="n">
        <v>644.99</v>
      </c>
      <c r="I177" s="11" t="s">
        <v>350</v>
      </c>
      <c r="J177" s="11" t="n">
        <v>131.38</v>
      </c>
      <c r="K177" s="11" t="n">
        <v>112.3</v>
      </c>
      <c r="L177" s="11" t="n">
        <v>0.645</v>
      </c>
      <c r="M177" s="11" t="n">
        <v>1.29</v>
      </c>
      <c r="N177" s="11" t="n">
        <v>1</v>
      </c>
      <c r="O177" s="11" t="n">
        <v>4.5</v>
      </c>
      <c r="P177" s="11" t="n">
        <v>3.18</v>
      </c>
      <c r="Q177" s="11" t="n">
        <v>23.85</v>
      </c>
      <c r="R177" s="11" t="n">
        <f aca="false">SUM(K177:Q177)</f>
        <v>146.765</v>
      </c>
      <c r="S177" s="11" t="n">
        <f aca="false">R177/(1-Resumo!$C$6)</f>
        <v>166.778409090909</v>
      </c>
      <c r="T177" s="11" t="n">
        <f aca="false">S177-J177</f>
        <v>35.3984090909091</v>
      </c>
      <c r="U177" s="12" t="n">
        <f aca="false">IFERROR(S177/J177-1,0)</f>
        <v>0.269435295257338</v>
      </c>
      <c r="V177" s="2" t="str">
        <f aca="false">IF(S177&lt;J177,"SIM","NÃO")</f>
        <v>NÃO</v>
      </c>
      <c r="W177" s="2" t="n">
        <v>5</v>
      </c>
      <c r="X177" s="2" t="s">
        <v>156</v>
      </c>
    </row>
    <row r="178" customFormat="false" ht="15" hidden="false" customHeight="false" outlineLevel="0" collapsed="false">
      <c r="A178" s="2" t="n">
        <v>358942391</v>
      </c>
      <c r="B178" s="29" t="n">
        <v>46216.9768634259</v>
      </c>
      <c r="C178" s="2" t="s">
        <v>153</v>
      </c>
      <c r="D178" s="2" t="s">
        <v>356</v>
      </c>
      <c r="E178" s="2" t="s">
        <v>78</v>
      </c>
      <c r="F178" s="2" t="s">
        <v>108</v>
      </c>
      <c r="G178" s="30" t="n">
        <v>41</v>
      </c>
      <c r="H178" s="11" t="n">
        <v>515.99</v>
      </c>
      <c r="I178" s="11" t="s">
        <v>350</v>
      </c>
      <c r="J178" s="11" t="n">
        <v>130.03</v>
      </c>
      <c r="K178" s="11" t="n">
        <v>93.97</v>
      </c>
      <c r="L178" s="11" t="n">
        <v>0.516</v>
      </c>
      <c r="M178" s="11" t="n">
        <v>1.032</v>
      </c>
      <c r="N178" s="11" t="n">
        <v>1</v>
      </c>
      <c r="O178" s="11" t="n">
        <v>4.5</v>
      </c>
      <c r="P178" s="11" t="n">
        <v>2.46</v>
      </c>
      <c r="Q178" s="11" t="n">
        <v>18.45</v>
      </c>
      <c r="R178" s="11" t="n">
        <f aca="false">SUM(K178:Q178)</f>
        <v>121.928</v>
      </c>
      <c r="S178" s="11" t="n">
        <f aca="false">R178/(1-Resumo!$C$6)</f>
        <v>138.554545454545</v>
      </c>
      <c r="T178" s="11" t="n">
        <f aca="false">S178-J178</f>
        <v>8.52454545454546</v>
      </c>
      <c r="U178" s="12" t="n">
        <f aca="false">IFERROR(S178/J178-1,0)</f>
        <v>0.0655582977354876</v>
      </c>
      <c r="V178" s="2" t="str">
        <f aca="false">IF(S178&lt;J178,"SIM","NÃO")</f>
        <v>NÃO</v>
      </c>
      <c r="W178" s="2" t="n">
        <v>5</v>
      </c>
      <c r="X178" s="2" t="s">
        <v>156</v>
      </c>
    </row>
    <row r="179" customFormat="false" ht="15" hidden="false" customHeight="false" outlineLevel="0" collapsed="false">
      <c r="A179" s="2" t="n">
        <v>359209729</v>
      </c>
      <c r="B179" s="29" t="n">
        <v>46217.3816319444</v>
      </c>
      <c r="C179" s="2" t="s">
        <v>153</v>
      </c>
      <c r="D179" s="2" t="s">
        <v>357</v>
      </c>
      <c r="E179" s="2" t="s">
        <v>78</v>
      </c>
      <c r="F179" s="2" t="s">
        <v>110</v>
      </c>
      <c r="G179" s="30" t="n">
        <v>61.5</v>
      </c>
      <c r="H179" s="11" t="n">
        <v>767.99</v>
      </c>
      <c r="I179" s="11" t="s">
        <v>155</v>
      </c>
      <c r="J179" s="11" t="n">
        <v>124.9</v>
      </c>
      <c r="K179" s="11" t="n">
        <v>131.02</v>
      </c>
      <c r="L179" s="11" t="n">
        <v>0.768</v>
      </c>
      <c r="M179" s="11" t="n">
        <v>1.536</v>
      </c>
      <c r="N179" s="11" t="n">
        <v>1</v>
      </c>
      <c r="O179" s="11" t="n">
        <v>4.5</v>
      </c>
      <c r="P179" s="11" t="n">
        <v>3.72</v>
      </c>
      <c r="Q179" s="11" t="n">
        <v>27.9</v>
      </c>
      <c r="R179" s="11" t="n">
        <f aca="false">SUM(K179:Q179)</f>
        <v>170.444</v>
      </c>
      <c r="S179" s="11" t="n">
        <f aca="false">R179/(1-Resumo!$C$6)</f>
        <v>193.686363636364</v>
      </c>
      <c r="T179" s="11" t="n">
        <f aca="false">S179-J179</f>
        <v>68.7863636363637</v>
      </c>
      <c r="U179" s="12" t="n">
        <f aca="false">IFERROR(S179/J179-1,0)</f>
        <v>0.550731494286338</v>
      </c>
      <c r="V179" s="2" t="str">
        <f aca="false">IF(S179&lt;J179,"SIM","NÃO")</f>
        <v>NÃO</v>
      </c>
      <c r="W179" s="2" t="n">
        <v>5</v>
      </c>
      <c r="X179" s="2" t="s">
        <v>156</v>
      </c>
    </row>
    <row r="180" customFormat="false" ht="15" hidden="false" customHeight="false" outlineLevel="0" collapsed="false">
      <c r="A180" s="2" t="n">
        <v>359228828</v>
      </c>
      <c r="B180" s="29" t="n">
        <v>46217.4078935185</v>
      </c>
      <c r="C180" s="2" t="s">
        <v>158</v>
      </c>
      <c r="D180" s="2" t="s">
        <v>358</v>
      </c>
      <c r="E180" s="2" t="s">
        <v>78</v>
      </c>
      <c r="F180" s="2" t="s">
        <v>114</v>
      </c>
      <c r="G180" s="30" t="n">
        <v>145.8</v>
      </c>
      <c r="H180" s="11" t="n">
        <v>1994.99</v>
      </c>
      <c r="I180" s="11" t="s">
        <v>155</v>
      </c>
      <c r="J180" s="11" t="n">
        <v>235.85</v>
      </c>
      <c r="K180" s="11" t="n">
        <v>239.25</v>
      </c>
      <c r="L180" s="11" t="n">
        <v>1.995</v>
      </c>
      <c r="M180" s="11" t="n">
        <v>3.99</v>
      </c>
      <c r="N180" s="11" t="n">
        <v>1</v>
      </c>
      <c r="O180" s="11" t="n">
        <v>9</v>
      </c>
      <c r="P180" s="11" t="n">
        <v>8.76</v>
      </c>
      <c r="Q180" s="11" t="n">
        <v>65.7</v>
      </c>
      <c r="R180" s="11" t="n">
        <f aca="false">SUM(K180:Q180)</f>
        <v>329.695</v>
      </c>
      <c r="S180" s="11" t="n">
        <f aca="false">R180/(1-Resumo!$C$6)</f>
        <v>374.653409090909</v>
      </c>
      <c r="T180" s="11" t="n">
        <f aca="false">S180-J180</f>
        <v>138.803409090909</v>
      </c>
      <c r="U180" s="12" t="n">
        <f aca="false">IFERROR(S180/J180-1,0)</f>
        <v>0.588524100449053</v>
      </c>
      <c r="V180" s="2" t="str">
        <f aca="false">IF(S180&lt;J180,"SIM","NÃO")</f>
        <v>NÃO</v>
      </c>
      <c r="W180" s="2" t="n">
        <v>5</v>
      </c>
      <c r="X180" s="2" t="s">
        <v>156</v>
      </c>
    </row>
    <row r="181" customFormat="false" ht="15" hidden="false" customHeight="false" outlineLevel="0" collapsed="false">
      <c r="A181" s="2" t="n">
        <v>359229541</v>
      </c>
      <c r="B181" s="29" t="n">
        <v>46217.4091550926</v>
      </c>
      <c r="C181" s="2" t="s">
        <v>198</v>
      </c>
      <c r="D181" s="2" t="s">
        <v>359</v>
      </c>
      <c r="E181" s="2" t="s">
        <v>78</v>
      </c>
      <c r="F181" s="2" t="s">
        <v>108</v>
      </c>
      <c r="G181" s="30" t="n">
        <v>41</v>
      </c>
      <c r="H181" s="11" t="n">
        <v>509.99</v>
      </c>
      <c r="I181" s="11" t="s">
        <v>350</v>
      </c>
      <c r="J181" s="11" t="n">
        <v>130</v>
      </c>
      <c r="K181" s="11" t="n">
        <v>93.97</v>
      </c>
      <c r="L181" s="11" t="n">
        <v>0.51</v>
      </c>
      <c r="M181" s="11" t="n">
        <v>1.02</v>
      </c>
      <c r="N181" s="11" t="n">
        <v>1</v>
      </c>
      <c r="O181" s="11" t="n">
        <v>4.5</v>
      </c>
      <c r="P181" s="11" t="n">
        <v>2.46</v>
      </c>
      <c r="Q181" s="11" t="n">
        <v>18.45</v>
      </c>
      <c r="R181" s="11" t="n">
        <f aca="false">SUM(K181:Q181)</f>
        <v>121.91</v>
      </c>
      <c r="S181" s="11" t="n">
        <f aca="false">R181/(1-Resumo!$C$6)</f>
        <v>138.534090909091</v>
      </c>
      <c r="T181" s="11" t="n">
        <f aca="false">S181-J181</f>
        <v>8.53409090909091</v>
      </c>
      <c r="U181" s="12" t="n">
        <f aca="false">IFERROR(S181/J181-1,0)</f>
        <v>0.065646853146853</v>
      </c>
      <c r="V181" s="2" t="str">
        <f aca="false">IF(S181&lt;J181,"SIM","NÃO")</f>
        <v>NÃO</v>
      </c>
      <c r="W181" s="2" t="n">
        <v>5</v>
      </c>
      <c r="X181" s="2" t="s">
        <v>156</v>
      </c>
    </row>
    <row r="182" customFormat="false" ht="15" hidden="false" customHeight="false" outlineLevel="0" collapsed="false">
      <c r="A182" s="2" t="n">
        <v>359291966</v>
      </c>
      <c r="B182" s="29" t="n">
        <v>46217.4829166667</v>
      </c>
      <c r="C182" s="2" t="s">
        <v>158</v>
      </c>
      <c r="D182" s="2" t="s">
        <v>360</v>
      </c>
      <c r="E182" s="2" t="s">
        <v>82</v>
      </c>
      <c r="F182" s="2" t="s">
        <v>109</v>
      </c>
      <c r="G182" s="30" t="n">
        <v>52.3</v>
      </c>
      <c r="H182" s="11" t="n">
        <v>650.86</v>
      </c>
      <c r="I182" s="11" t="s">
        <v>350</v>
      </c>
      <c r="J182" s="11" t="n">
        <v>131.4</v>
      </c>
      <c r="K182" s="11" t="n">
        <v>128.14</v>
      </c>
      <c r="L182" s="11" t="n">
        <v>0.6509</v>
      </c>
      <c r="M182" s="11" t="n">
        <v>1.3017</v>
      </c>
      <c r="N182" s="11" t="n">
        <v>1</v>
      </c>
      <c r="O182" s="11" t="n">
        <v>4.5</v>
      </c>
      <c r="P182" s="11" t="n">
        <v>3.18</v>
      </c>
      <c r="Q182" s="11" t="n">
        <v>23.85</v>
      </c>
      <c r="R182" s="11" t="n">
        <f aca="false">SUM(K182:Q182)</f>
        <v>162.6226</v>
      </c>
      <c r="S182" s="11" t="n">
        <f aca="false">R182/(1-Resumo!$C$6)</f>
        <v>184.798409090909</v>
      </c>
      <c r="T182" s="11" t="n">
        <f aca="false">S182-J182</f>
        <v>53.3984090909091</v>
      </c>
      <c r="U182" s="12" t="n">
        <f aca="false">IFERROR(S182/J182-1,0)</f>
        <v>0.406380586688806</v>
      </c>
      <c r="V182" s="2" t="str">
        <f aca="false">IF(S182&lt;J182,"SIM","NÃO")</f>
        <v>NÃO</v>
      </c>
      <c r="W182" s="2" t="n">
        <v>7</v>
      </c>
      <c r="X182" s="2" t="s">
        <v>156</v>
      </c>
    </row>
    <row r="183" customFormat="false" ht="15" hidden="false" customHeight="false" outlineLevel="0" collapsed="false">
      <c r="A183" s="2" t="n">
        <v>359331563</v>
      </c>
      <c r="B183" s="29" t="n">
        <v>46217.5426041667</v>
      </c>
      <c r="C183" s="2" t="s">
        <v>153</v>
      </c>
      <c r="D183" s="2" t="s">
        <v>361</v>
      </c>
      <c r="E183" s="2" t="s">
        <v>78</v>
      </c>
      <c r="F183" s="2" t="s">
        <v>108</v>
      </c>
      <c r="G183" s="30" t="n">
        <v>41</v>
      </c>
      <c r="H183" s="11" t="n">
        <v>559.99</v>
      </c>
      <c r="I183" s="11" t="s">
        <v>350</v>
      </c>
      <c r="J183" s="11" t="n">
        <v>130.25</v>
      </c>
      <c r="K183" s="11" t="n">
        <v>93.97</v>
      </c>
      <c r="L183" s="11" t="n">
        <v>0.56</v>
      </c>
      <c r="M183" s="11" t="n">
        <v>1.12</v>
      </c>
      <c r="N183" s="11" t="n">
        <v>1</v>
      </c>
      <c r="O183" s="11" t="n">
        <v>4.5</v>
      </c>
      <c r="P183" s="11" t="n">
        <v>2.46</v>
      </c>
      <c r="Q183" s="11" t="n">
        <v>18.45</v>
      </c>
      <c r="R183" s="11" t="n">
        <f aca="false">SUM(K183:Q183)</f>
        <v>122.06</v>
      </c>
      <c r="S183" s="11" t="n">
        <f aca="false">R183/(1-Resumo!$C$6)</f>
        <v>138.704545454545</v>
      </c>
      <c r="T183" s="11" t="n">
        <f aca="false">S183-J183</f>
        <v>8.45454545454547</v>
      </c>
      <c r="U183" s="12" t="n">
        <f aca="false">IFERROR(S183/J183-1,0)</f>
        <v>0.0649101378467982</v>
      </c>
      <c r="V183" s="2" t="str">
        <f aca="false">IF(S183&lt;J183,"SIM","NÃO")</f>
        <v>NÃO</v>
      </c>
      <c r="W183" s="2" t="n">
        <v>5</v>
      </c>
      <c r="X183" s="2" t="s">
        <v>156</v>
      </c>
    </row>
    <row r="184" customFormat="false" ht="15" hidden="false" customHeight="false" outlineLevel="0" collapsed="false">
      <c r="A184" s="2" t="n">
        <v>359334964</v>
      </c>
      <c r="B184" s="29" t="n">
        <v>46217.5465509259</v>
      </c>
      <c r="C184" s="2" t="s">
        <v>158</v>
      </c>
      <c r="D184" s="2" t="s">
        <v>362</v>
      </c>
      <c r="E184" s="2" t="s">
        <v>78</v>
      </c>
      <c r="F184" s="2" t="s">
        <v>112</v>
      </c>
      <c r="G184" s="30" t="n">
        <v>81.7</v>
      </c>
      <c r="H184" s="11" t="n">
        <v>622.72</v>
      </c>
      <c r="I184" s="11" t="s">
        <v>155</v>
      </c>
      <c r="J184" s="11" t="n">
        <v>162.09</v>
      </c>
      <c r="K184" s="11" t="n">
        <v>167.99</v>
      </c>
      <c r="L184" s="11" t="n">
        <v>0.6227</v>
      </c>
      <c r="M184" s="11" t="n">
        <v>1.2454</v>
      </c>
      <c r="N184" s="11" t="n">
        <v>1</v>
      </c>
      <c r="O184" s="11" t="n">
        <v>4.5</v>
      </c>
      <c r="P184" s="11" t="n">
        <v>4.92</v>
      </c>
      <c r="Q184" s="11" t="n">
        <v>36.9</v>
      </c>
      <c r="R184" s="11" t="n">
        <f aca="false">SUM(K184:Q184)</f>
        <v>217.1781</v>
      </c>
      <c r="S184" s="11" t="n">
        <f aca="false">R184/(1-Resumo!$C$6)</f>
        <v>246.793295454545</v>
      </c>
      <c r="T184" s="11" t="n">
        <f aca="false">S184-J184</f>
        <v>84.7032954545454</v>
      </c>
      <c r="U184" s="12" t="n">
        <f aca="false">IFERROR(S184/J184-1,0)</f>
        <v>0.522569532078138</v>
      </c>
      <c r="V184" s="2" t="str">
        <f aca="false">IF(S184&lt;J184,"SIM","NÃO")</f>
        <v>NÃO</v>
      </c>
      <c r="W184" s="2" t="n">
        <v>5</v>
      </c>
      <c r="X184" s="2" t="s">
        <v>156</v>
      </c>
    </row>
    <row r="185" customFormat="false" ht="15" hidden="false" customHeight="false" outlineLevel="0" collapsed="false">
      <c r="A185" s="2" t="n">
        <v>359379054</v>
      </c>
      <c r="B185" s="29" t="n">
        <v>46217.6071296296</v>
      </c>
      <c r="C185" s="2" t="s">
        <v>153</v>
      </c>
      <c r="D185" s="2" t="s">
        <v>363</v>
      </c>
      <c r="E185" s="2" t="s">
        <v>78</v>
      </c>
      <c r="F185" s="2" t="s">
        <v>106</v>
      </c>
      <c r="G185" s="30" t="n">
        <v>33.21</v>
      </c>
      <c r="H185" s="11" t="n">
        <v>439.99</v>
      </c>
      <c r="I185" s="11" t="s">
        <v>155</v>
      </c>
      <c r="J185" s="11" t="n">
        <v>82.43</v>
      </c>
      <c r="K185" s="11" t="n">
        <v>82.21</v>
      </c>
      <c r="L185" s="11" t="n">
        <v>0.44</v>
      </c>
      <c r="M185" s="11" t="n">
        <v>0.88</v>
      </c>
      <c r="N185" s="11" t="n">
        <v>1</v>
      </c>
      <c r="O185" s="11" t="n">
        <v>4.5</v>
      </c>
      <c r="P185" s="11" t="n">
        <v>2.04</v>
      </c>
      <c r="Q185" s="11" t="n">
        <v>15.3</v>
      </c>
      <c r="R185" s="11" t="n">
        <f aca="false">SUM(K185:Q185)</f>
        <v>106.37</v>
      </c>
      <c r="S185" s="11" t="n">
        <f aca="false">R185/(1-Resumo!$C$6)</f>
        <v>120.875</v>
      </c>
      <c r="T185" s="11" t="n">
        <f aca="false">S185-J185</f>
        <v>38.445</v>
      </c>
      <c r="U185" s="12" t="n">
        <f aca="false">IFERROR(S185/J185-1,0)</f>
        <v>0.466395729710057</v>
      </c>
      <c r="V185" s="2" t="str">
        <f aca="false">IF(S185&lt;J185,"SIM","NÃO")</f>
        <v>NÃO</v>
      </c>
      <c r="W185" s="2" t="n">
        <v>5</v>
      </c>
      <c r="X185" s="2" t="s">
        <v>156</v>
      </c>
    </row>
    <row r="186" customFormat="false" ht="15" hidden="false" customHeight="false" outlineLevel="0" collapsed="false">
      <c r="A186" s="2" t="n">
        <v>359446325</v>
      </c>
      <c r="B186" s="29" t="n">
        <v>46217.6830671296</v>
      </c>
      <c r="C186" s="2" t="s">
        <v>153</v>
      </c>
      <c r="D186" s="2" t="s">
        <v>364</v>
      </c>
      <c r="E186" s="2" t="s">
        <v>78</v>
      </c>
      <c r="F186" s="2" t="s">
        <v>106</v>
      </c>
      <c r="G186" s="30" t="n">
        <v>21.8</v>
      </c>
      <c r="H186" s="11" t="n">
        <v>319.99</v>
      </c>
      <c r="I186" s="11" t="s">
        <v>155</v>
      </c>
      <c r="J186" s="11" t="n">
        <v>81.86</v>
      </c>
      <c r="K186" s="11" t="n">
        <v>82.21</v>
      </c>
      <c r="L186" s="11" t="n">
        <v>0.32</v>
      </c>
      <c r="M186" s="11" t="n">
        <v>0.64</v>
      </c>
      <c r="N186" s="11" t="n">
        <v>1</v>
      </c>
      <c r="O186" s="11" t="n">
        <v>4.5</v>
      </c>
      <c r="P186" s="11" t="n">
        <v>1.32</v>
      </c>
      <c r="Q186" s="11" t="n">
        <v>9.9</v>
      </c>
      <c r="R186" s="11" t="n">
        <f aca="false">SUM(K186:Q186)</f>
        <v>99.89</v>
      </c>
      <c r="S186" s="11" t="n">
        <f aca="false">R186/(1-Resumo!$C$6)</f>
        <v>113.511363636364</v>
      </c>
      <c r="T186" s="11" t="n">
        <f aca="false">S186-J186</f>
        <v>31.6513636363636</v>
      </c>
      <c r="U186" s="12" t="n">
        <f aca="false">IFERROR(S186/J186-1,0)</f>
        <v>0.386652377673634</v>
      </c>
      <c r="V186" s="2" t="str">
        <f aca="false">IF(S186&lt;J186,"SIM","NÃO")</f>
        <v>NÃO</v>
      </c>
      <c r="W186" s="2" t="n">
        <v>5</v>
      </c>
      <c r="X186" s="2" t="s">
        <v>156</v>
      </c>
    </row>
    <row r="187" customFormat="false" ht="15" hidden="false" customHeight="false" outlineLevel="0" collapsed="false">
      <c r="A187" s="2" t="n">
        <v>359525706</v>
      </c>
      <c r="B187" s="29" t="n">
        <v>46217.7896064815</v>
      </c>
      <c r="C187" s="2" t="s">
        <v>158</v>
      </c>
      <c r="D187" s="2" t="s">
        <v>365</v>
      </c>
      <c r="E187" s="2" t="s">
        <v>87</v>
      </c>
      <c r="F187" s="2" t="s">
        <v>112</v>
      </c>
      <c r="G187" s="30" t="n">
        <v>97.2</v>
      </c>
      <c r="H187" s="11" t="n">
        <v>1399.98</v>
      </c>
      <c r="I187" s="11" t="s">
        <v>155</v>
      </c>
      <c r="J187" s="11" t="n">
        <v>195.31</v>
      </c>
      <c r="K187" s="11" t="n">
        <v>197.35</v>
      </c>
      <c r="L187" s="11" t="n">
        <v>1.4</v>
      </c>
      <c r="M187" s="11" t="n">
        <v>2.8</v>
      </c>
      <c r="N187" s="11" t="n">
        <v>1</v>
      </c>
      <c r="O187" s="11" t="n">
        <v>4.5</v>
      </c>
      <c r="P187" s="11" t="n">
        <v>5.88</v>
      </c>
      <c r="Q187" s="11" t="n">
        <v>44.1</v>
      </c>
      <c r="R187" s="11" t="n">
        <f aca="false">SUM(K187:Q187)</f>
        <v>257.03</v>
      </c>
      <c r="S187" s="11" t="n">
        <f aca="false">R187/(1-Resumo!$C$6)</f>
        <v>292.079545454546</v>
      </c>
      <c r="T187" s="11" t="n">
        <f aca="false">S187-J187</f>
        <v>96.7695454545455</v>
      </c>
      <c r="U187" s="12" t="n">
        <f aca="false">IFERROR(S187/J187-1,0)</f>
        <v>0.495466414697381</v>
      </c>
      <c r="V187" s="2" t="str">
        <f aca="false">IF(S187&lt;J187,"SIM","NÃO")</f>
        <v>NÃO</v>
      </c>
      <c r="W187" s="2" t="n">
        <v>10</v>
      </c>
      <c r="X187" s="2" t="s">
        <v>156</v>
      </c>
    </row>
    <row r="188" customFormat="false" ht="15" hidden="false" customHeight="false" outlineLevel="0" collapsed="false">
      <c r="A188" s="2" t="n">
        <v>359538429</v>
      </c>
      <c r="B188" s="29" t="n">
        <v>46217.8027430556</v>
      </c>
      <c r="C188" s="2" t="s">
        <v>153</v>
      </c>
      <c r="D188" s="2" t="s">
        <v>366</v>
      </c>
      <c r="E188" s="2" t="s">
        <v>81</v>
      </c>
      <c r="F188" s="2" t="s">
        <v>108</v>
      </c>
      <c r="G188" s="30" t="n">
        <v>46.8</v>
      </c>
      <c r="H188" s="11" t="n">
        <v>599.99</v>
      </c>
      <c r="I188" s="11" t="s">
        <v>155</v>
      </c>
      <c r="J188" s="11" t="n">
        <v>116.95</v>
      </c>
      <c r="K188" s="11" t="n">
        <v>93.97</v>
      </c>
      <c r="L188" s="11" t="n">
        <v>0.6</v>
      </c>
      <c r="M188" s="11" t="n">
        <v>1.2</v>
      </c>
      <c r="N188" s="11" t="n">
        <v>1</v>
      </c>
      <c r="O188" s="11" t="n">
        <v>4.5</v>
      </c>
      <c r="P188" s="11" t="n">
        <v>2.82</v>
      </c>
      <c r="Q188" s="11" t="n">
        <v>21.15</v>
      </c>
      <c r="R188" s="11" t="n">
        <f aca="false">SUM(K188:Q188)</f>
        <v>125.24</v>
      </c>
      <c r="S188" s="11" t="n">
        <f aca="false">R188/(1-Resumo!$C$6)</f>
        <v>142.318181818182</v>
      </c>
      <c r="T188" s="11" t="n">
        <f aca="false">S188-J188</f>
        <v>25.3681818181818</v>
      </c>
      <c r="U188" s="12" t="n">
        <f aca="false">IFERROR(S188/J188-1,0)</f>
        <v>0.216914765439776</v>
      </c>
      <c r="V188" s="2" t="str">
        <f aca="false">IF(S188&lt;J188,"SIM","NÃO")</f>
        <v>NÃO</v>
      </c>
      <c r="W188" s="2" t="n">
        <v>5</v>
      </c>
      <c r="X188" s="2" t="s">
        <v>156</v>
      </c>
    </row>
    <row r="189" customFormat="false" ht="15" hidden="false" customHeight="false" outlineLevel="0" collapsed="false">
      <c r="A189" s="2" t="n">
        <v>359587326</v>
      </c>
      <c r="B189" s="29" t="n">
        <v>46217.8602893519</v>
      </c>
      <c r="C189" s="2" t="s">
        <v>153</v>
      </c>
      <c r="D189" s="2" t="s">
        <v>367</v>
      </c>
      <c r="E189" s="2" t="s">
        <v>78</v>
      </c>
      <c r="F189" s="2" t="s">
        <v>111</v>
      </c>
      <c r="G189" s="30" t="n">
        <v>78.7</v>
      </c>
      <c r="H189" s="11" t="n">
        <v>1551.99</v>
      </c>
      <c r="I189" s="11" t="s">
        <v>155</v>
      </c>
      <c r="J189" s="11" t="n">
        <v>139.91</v>
      </c>
      <c r="K189" s="11" t="n">
        <v>134.39</v>
      </c>
      <c r="L189" s="11" t="n">
        <v>1.552</v>
      </c>
      <c r="M189" s="11" t="n">
        <v>3.104</v>
      </c>
      <c r="N189" s="11" t="n">
        <v>1</v>
      </c>
      <c r="O189" s="11" t="n">
        <v>4.5</v>
      </c>
      <c r="P189" s="11" t="n">
        <v>4.74</v>
      </c>
      <c r="Q189" s="11" t="n">
        <v>35.55</v>
      </c>
      <c r="R189" s="11" t="n">
        <f aca="false">SUM(K189:Q189)</f>
        <v>184.836</v>
      </c>
      <c r="S189" s="11" t="n">
        <f aca="false">R189/(1-Resumo!$C$6)</f>
        <v>210.040909090909</v>
      </c>
      <c r="T189" s="11" t="n">
        <f aca="false">S189-J189</f>
        <v>70.1309090909091</v>
      </c>
      <c r="U189" s="12" t="n">
        <f aca="false">IFERROR(S189/J189-1,0)</f>
        <v>0.501257301771918</v>
      </c>
      <c r="V189" s="2" t="str">
        <f aca="false">IF(S189&lt;J189,"SIM","NÃO")</f>
        <v>NÃO</v>
      </c>
      <c r="W189" s="2" t="n">
        <v>5</v>
      </c>
      <c r="X189" s="2" t="s">
        <v>156</v>
      </c>
    </row>
    <row r="190" customFormat="false" ht="15" hidden="false" customHeight="false" outlineLevel="0" collapsed="false">
      <c r="A190" s="2" t="n">
        <v>359645510</v>
      </c>
      <c r="B190" s="29" t="n">
        <v>46217.927650463</v>
      </c>
      <c r="C190" s="2" t="s">
        <v>153</v>
      </c>
      <c r="D190" s="2" t="s">
        <v>368</v>
      </c>
      <c r="E190" s="2" t="s">
        <v>78</v>
      </c>
      <c r="F190" s="2" t="s">
        <v>108</v>
      </c>
      <c r="G190" s="30" t="n">
        <v>47.1</v>
      </c>
      <c r="H190" s="11" t="n">
        <v>619.99</v>
      </c>
      <c r="I190" s="11" t="s">
        <v>155</v>
      </c>
      <c r="J190" s="11" t="n">
        <v>103.56</v>
      </c>
      <c r="K190" s="11" t="n">
        <v>93.97</v>
      </c>
      <c r="L190" s="11" t="n">
        <v>0.62</v>
      </c>
      <c r="M190" s="11" t="n">
        <v>1.24</v>
      </c>
      <c r="N190" s="11" t="n">
        <v>1</v>
      </c>
      <c r="O190" s="11" t="n">
        <v>4.5</v>
      </c>
      <c r="P190" s="11" t="n">
        <v>2.88</v>
      </c>
      <c r="Q190" s="11" t="n">
        <v>21.6</v>
      </c>
      <c r="R190" s="11" t="n">
        <f aca="false">SUM(K190:Q190)</f>
        <v>125.81</v>
      </c>
      <c r="S190" s="11" t="n">
        <f aca="false">R190/(1-Resumo!$C$6)</f>
        <v>142.965909090909</v>
      </c>
      <c r="T190" s="11" t="n">
        <f aca="false">S190-J190</f>
        <v>39.4059090909091</v>
      </c>
      <c r="U190" s="12" t="n">
        <f aca="false">IFERROR(S190/J190-1,0)</f>
        <v>0.380512834018048</v>
      </c>
      <c r="V190" s="2" t="str">
        <f aca="false">IF(S190&lt;J190,"SIM","NÃO")</f>
        <v>NÃO</v>
      </c>
      <c r="W190" s="2" t="n">
        <v>5</v>
      </c>
      <c r="X190" s="2" t="s">
        <v>156</v>
      </c>
    </row>
    <row r="191" customFormat="false" ht="15" hidden="false" customHeight="false" outlineLevel="0" collapsed="false">
      <c r="A191" s="2" t="n">
        <v>359682633</v>
      </c>
      <c r="B191" s="29" t="n">
        <v>46217.9842476852</v>
      </c>
      <c r="C191" s="2" t="s">
        <v>369</v>
      </c>
      <c r="D191" s="2" t="s">
        <v>370</v>
      </c>
      <c r="E191" s="2" t="s">
        <v>81</v>
      </c>
      <c r="F191" s="2" t="s">
        <v>106</v>
      </c>
      <c r="G191" s="30" t="n">
        <v>33</v>
      </c>
      <c r="H191" s="11" t="n">
        <v>399.99</v>
      </c>
      <c r="I191" s="11" t="s">
        <v>155</v>
      </c>
      <c r="J191" s="11" t="n">
        <v>101.31</v>
      </c>
      <c r="K191" s="11" t="n">
        <v>82.21</v>
      </c>
      <c r="L191" s="11" t="n">
        <v>0.4</v>
      </c>
      <c r="M191" s="11" t="n">
        <v>0.8</v>
      </c>
      <c r="N191" s="11" t="n">
        <v>1</v>
      </c>
      <c r="O191" s="11" t="n">
        <v>4.5</v>
      </c>
      <c r="P191" s="11" t="n">
        <v>1.98</v>
      </c>
      <c r="Q191" s="11" t="n">
        <v>14.85</v>
      </c>
      <c r="R191" s="11" t="n">
        <f aca="false">SUM(K191:Q191)</f>
        <v>105.74</v>
      </c>
      <c r="S191" s="11" t="n">
        <f aca="false">R191/(1-Resumo!$C$6)</f>
        <v>120.159090909091</v>
      </c>
      <c r="T191" s="11" t="n">
        <f aca="false">S191-J191</f>
        <v>18.8490909090909</v>
      </c>
      <c r="U191" s="12" t="n">
        <f aca="false">IFERROR(S191/J191-1,0)</f>
        <v>0.186053606841288</v>
      </c>
      <c r="V191" s="2" t="str">
        <f aca="false">IF(S191&lt;J191,"SIM","NÃO")</f>
        <v>NÃO</v>
      </c>
      <c r="W191" s="2" t="n">
        <v>5</v>
      </c>
      <c r="X191" s="2" t="s">
        <v>156</v>
      </c>
    </row>
    <row r="192" customFormat="false" ht="15" hidden="false" customHeight="false" outlineLevel="0" collapsed="false">
      <c r="A192" s="2" t="n">
        <v>359878317</v>
      </c>
      <c r="B192" s="29" t="n">
        <v>46218.3675347222</v>
      </c>
      <c r="C192" s="2" t="s">
        <v>153</v>
      </c>
      <c r="D192" s="2" t="s">
        <v>371</v>
      </c>
      <c r="E192" s="2" t="s">
        <v>80</v>
      </c>
      <c r="F192" s="2" t="s">
        <v>108</v>
      </c>
      <c r="G192" s="30" t="n">
        <v>40.5</v>
      </c>
      <c r="H192" s="11" t="n">
        <v>799.99</v>
      </c>
      <c r="I192" s="11" t="s">
        <v>155</v>
      </c>
      <c r="J192" s="11" t="n">
        <v>117.91</v>
      </c>
      <c r="K192" s="11" t="n">
        <v>93.97</v>
      </c>
      <c r="L192" s="11" t="n">
        <v>0.8</v>
      </c>
      <c r="M192" s="11" t="n">
        <v>1.6</v>
      </c>
      <c r="N192" s="11" t="n">
        <v>1</v>
      </c>
      <c r="O192" s="11" t="n">
        <v>4.5</v>
      </c>
      <c r="P192" s="11" t="n">
        <v>2.46</v>
      </c>
      <c r="Q192" s="11" t="n">
        <v>18.45</v>
      </c>
      <c r="R192" s="11" t="n">
        <f aca="false">SUM(K192:Q192)</f>
        <v>122.78</v>
      </c>
      <c r="S192" s="11" t="n">
        <f aca="false">R192/(1-Resumo!$C$6)</f>
        <v>139.522727272727</v>
      </c>
      <c r="T192" s="11" t="n">
        <f aca="false">S192-J192</f>
        <v>21.6127272727273</v>
      </c>
      <c r="U192" s="12" t="n">
        <f aca="false">IFERROR(S192/J192-1,0)</f>
        <v>0.183298509649116</v>
      </c>
      <c r="V192" s="2" t="str">
        <f aca="false">IF(S192&lt;J192,"SIM","NÃO")</f>
        <v>NÃO</v>
      </c>
      <c r="W192" s="2" t="n">
        <v>5</v>
      </c>
      <c r="X192" s="2" t="s">
        <v>156</v>
      </c>
    </row>
    <row r="193" customFormat="false" ht="15" hidden="false" customHeight="false" outlineLevel="0" collapsed="false">
      <c r="A193" s="2" t="n">
        <v>360064111</v>
      </c>
      <c r="B193" s="29" t="n">
        <v>46218.6358101852</v>
      </c>
      <c r="C193" s="2" t="s">
        <v>178</v>
      </c>
      <c r="D193" s="2" t="s">
        <v>372</v>
      </c>
      <c r="E193" s="2" t="s">
        <v>78</v>
      </c>
      <c r="F193" s="2" t="s">
        <v>109</v>
      </c>
      <c r="G193" s="30" t="n">
        <v>56.6</v>
      </c>
      <c r="H193" s="11" t="n">
        <v>1199.99</v>
      </c>
      <c r="I193" s="11" t="s">
        <v>155</v>
      </c>
      <c r="J193" s="11" t="n">
        <v>116.9</v>
      </c>
      <c r="K193" s="11" t="n">
        <v>112.3</v>
      </c>
      <c r="L193" s="11" t="n">
        <v>1.2</v>
      </c>
      <c r="M193" s="11" t="n">
        <v>2.4</v>
      </c>
      <c r="N193" s="11" t="n">
        <v>1</v>
      </c>
      <c r="O193" s="11" t="n">
        <v>4.5</v>
      </c>
      <c r="P193" s="11" t="n">
        <v>3.42</v>
      </c>
      <c r="Q193" s="11" t="n">
        <v>25.65</v>
      </c>
      <c r="R193" s="11" t="n">
        <f aca="false">SUM(K193:Q193)</f>
        <v>150.47</v>
      </c>
      <c r="S193" s="11" t="n">
        <f aca="false">R193/(1-Resumo!$C$6)</f>
        <v>170.988636363636</v>
      </c>
      <c r="T193" s="11" t="n">
        <f aca="false">S193-J193</f>
        <v>54.0886363636364</v>
      </c>
      <c r="U193" s="12" t="n">
        <f aca="false">IFERROR(S193/J193-1,0)</f>
        <v>0.46269150011665</v>
      </c>
      <c r="V193" s="2" t="str">
        <f aca="false">IF(S193&lt;J193,"SIM","NÃO")</f>
        <v>NÃO</v>
      </c>
      <c r="W193" s="2" t="n">
        <v>5</v>
      </c>
      <c r="X193" s="2" t="s">
        <v>156</v>
      </c>
    </row>
    <row r="194" customFormat="false" ht="15" hidden="false" customHeight="false" outlineLevel="0" collapsed="false">
      <c r="A194" s="2" t="n">
        <v>360075063</v>
      </c>
      <c r="B194" s="29" t="n">
        <v>46218.6455324074</v>
      </c>
      <c r="C194" s="2" t="s">
        <v>153</v>
      </c>
      <c r="D194" s="2" t="s">
        <v>373</v>
      </c>
      <c r="E194" s="2" t="s">
        <v>78</v>
      </c>
      <c r="F194" s="2" t="s">
        <v>106</v>
      </c>
      <c r="G194" s="30" t="n">
        <v>31.9</v>
      </c>
      <c r="H194" s="11" t="n">
        <v>508.42</v>
      </c>
      <c r="I194" s="11" t="s">
        <v>155</v>
      </c>
      <c r="J194" s="11" t="n">
        <v>82.77</v>
      </c>
      <c r="K194" s="11" t="n">
        <v>82.21</v>
      </c>
      <c r="L194" s="11" t="n">
        <v>0.5084</v>
      </c>
      <c r="M194" s="11" t="n">
        <v>1.0168</v>
      </c>
      <c r="N194" s="11" t="n">
        <v>1</v>
      </c>
      <c r="O194" s="11" t="n">
        <v>4.5</v>
      </c>
      <c r="P194" s="11" t="n">
        <v>1.92</v>
      </c>
      <c r="Q194" s="11" t="n">
        <v>14.4</v>
      </c>
      <c r="R194" s="11" t="n">
        <f aca="false">SUM(K194:Q194)</f>
        <v>105.5552</v>
      </c>
      <c r="S194" s="11" t="n">
        <f aca="false">R194/(1-Resumo!$C$6)</f>
        <v>119.949090909091</v>
      </c>
      <c r="T194" s="11" t="n">
        <f aca="false">S194-J194</f>
        <v>37.1790909090909</v>
      </c>
      <c r="U194" s="12" t="n">
        <f aca="false">IFERROR(S194/J194-1,0)</f>
        <v>0.449185585466847</v>
      </c>
      <c r="V194" s="2" t="str">
        <f aca="false">IF(S194&lt;J194,"SIM","NÃO")</f>
        <v>NÃO</v>
      </c>
      <c r="W194" s="2" t="n">
        <v>5</v>
      </c>
      <c r="X194" s="2" t="s">
        <v>156</v>
      </c>
    </row>
    <row r="195" customFormat="false" ht="15" hidden="false" customHeight="false" outlineLevel="0" collapsed="false">
      <c r="A195" s="2" t="n">
        <v>360075532</v>
      </c>
      <c r="B195" s="29" t="n">
        <v>46218.6463425926</v>
      </c>
      <c r="C195" s="2" t="s">
        <v>158</v>
      </c>
      <c r="D195" s="2" t="s">
        <v>374</v>
      </c>
      <c r="E195" s="2" t="s">
        <v>78</v>
      </c>
      <c r="F195" s="2" t="s">
        <v>106</v>
      </c>
      <c r="G195" s="30" t="n">
        <v>31.9</v>
      </c>
      <c r="H195" s="11" t="n">
        <v>466.39</v>
      </c>
      <c r="I195" s="11" t="s">
        <v>155</v>
      </c>
      <c r="J195" s="11" t="n">
        <v>82.56</v>
      </c>
      <c r="K195" s="11" t="n">
        <v>82.21</v>
      </c>
      <c r="L195" s="11" t="n">
        <v>0.4664</v>
      </c>
      <c r="M195" s="11" t="n">
        <v>0.9328</v>
      </c>
      <c r="N195" s="11" t="n">
        <v>1</v>
      </c>
      <c r="O195" s="11" t="n">
        <v>4.5</v>
      </c>
      <c r="P195" s="11" t="n">
        <v>1.92</v>
      </c>
      <c r="Q195" s="11" t="n">
        <v>14.4</v>
      </c>
      <c r="R195" s="11" t="n">
        <f aca="false">SUM(K195:Q195)</f>
        <v>105.4292</v>
      </c>
      <c r="S195" s="11" t="n">
        <f aca="false">R195/(1-Resumo!$C$6)</f>
        <v>119.805909090909</v>
      </c>
      <c r="T195" s="11" t="n">
        <f aca="false">S195-J195</f>
        <v>37.2459090909091</v>
      </c>
      <c r="U195" s="12" t="n">
        <f aca="false">IFERROR(S195/J195-1,0)</f>
        <v>0.451137464763918</v>
      </c>
      <c r="V195" s="2" t="str">
        <f aca="false">IF(S195&lt;J195,"SIM","NÃO")</f>
        <v>NÃO</v>
      </c>
      <c r="W195" s="2" t="n">
        <v>5</v>
      </c>
      <c r="X195" s="2" t="s">
        <v>156</v>
      </c>
    </row>
    <row r="196" customFormat="false" ht="15" hidden="false" customHeight="false" outlineLevel="0" collapsed="false">
      <c r="A196" s="2" t="n">
        <v>360160392</v>
      </c>
      <c r="B196" s="29" t="n">
        <v>46218.7448263889</v>
      </c>
      <c r="C196" s="2" t="s">
        <v>158</v>
      </c>
      <c r="D196" s="2" t="s">
        <v>375</v>
      </c>
      <c r="E196" s="2" t="s">
        <v>85</v>
      </c>
      <c r="F196" s="2" t="s">
        <v>107</v>
      </c>
      <c r="G196" s="30" t="n">
        <v>36</v>
      </c>
      <c r="H196" s="11" t="n">
        <v>395.26</v>
      </c>
      <c r="I196" s="11" t="s">
        <v>155</v>
      </c>
      <c r="J196" s="11" t="n">
        <v>122.14</v>
      </c>
      <c r="K196" s="11" t="n">
        <v>143.04</v>
      </c>
      <c r="L196" s="11" t="n">
        <v>0.3953</v>
      </c>
      <c r="M196" s="11" t="n">
        <v>0.7905</v>
      </c>
      <c r="N196" s="11" t="n">
        <v>1</v>
      </c>
      <c r="O196" s="11" t="n">
        <v>4.5</v>
      </c>
      <c r="P196" s="11" t="n">
        <v>2.16</v>
      </c>
      <c r="Q196" s="11" t="n">
        <v>16.2</v>
      </c>
      <c r="R196" s="11" t="n">
        <f aca="false">SUM(K196:Q196)</f>
        <v>168.0858</v>
      </c>
      <c r="S196" s="11" t="n">
        <f aca="false">R196/(1-Resumo!$C$6)</f>
        <v>191.006590909091</v>
      </c>
      <c r="T196" s="11" t="n">
        <f aca="false">S196-J196</f>
        <v>68.8665909090909</v>
      </c>
      <c r="U196" s="12" t="n">
        <f aca="false">IFERROR(S196/J196-1,0)</f>
        <v>0.56383323161201</v>
      </c>
      <c r="V196" s="2" t="str">
        <f aca="false">IF(S196&lt;J196,"SIM","NÃO")</f>
        <v>NÃO</v>
      </c>
      <c r="W196" s="2" t="n">
        <v>11</v>
      </c>
      <c r="X196" s="2" t="s">
        <v>156</v>
      </c>
    </row>
    <row r="197" customFormat="false" ht="15" hidden="false" customHeight="false" outlineLevel="0" collapsed="false">
      <c r="A197" s="2" t="n">
        <v>360275487</v>
      </c>
      <c r="B197" s="29" t="n">
        <v>46218.8727546296</v>
      </c>
      <c r="C197" s="2" t="s">
        <v>158</v>
      </c>
      <c r="D197" s="2" t="s">
        <v>376</v>
      </c>
      <c r="E197" s="2" t="s">
        <v>377</v>
      </c>
      <c r="F197" s="2" t="s">
        <v>113</v>
      </c>
      <c r="G197" s="30" t="n">
        <v>109.7</v>
      </c>
      <c r="H197" s="11" t="n">
        <v>1225.68</v>
      </c>
      <c r="I197" s="11" t="s">
        <v>155</v>
      </c>
      <c r="J197" s="11" t="n">
        <v>216.52</v>
      </c>
      <c r="K197" s="11" t="n">
        <v>236.82</v>
      </c>
      <c r="L197" s="11" t="n">
        <v>1.2257</v>
      </c>
      <c r="M197" s="11" t="n">
        <v>2.4514</v>
      </c>
      <c r="N197" s="11" t="n">
        <v>1</v>
      </c>
      <c r="O197" s="11" t="n">
        <v>9</v>
      </c>
      <c r="P197" s="11" t="n">
        <v>6.6</v>
      </c>
      <c r="Q197" s="11" t="n">
        <v>49.5</v>
      </c>
      <c r="R197" s="11" t="n">
        <f aca="false">SUM(K197:Q197)</f>
        <v>306.5971</v>
      </c>
      <c r="S197" s="11" t="n">
        <f aca="false">R197/(1-Resumo!$C$6)</f>
        <v>348.405795454545</v>
      </c>
      <c r="T197" s="11" t="n">
        <f aca="false">S197-J197</f>
        <v>131.885795454545</v>
      </c>
      <c r="U197" s="12" t="n">
        <f aca="false">IFERROR(S197/J197-1,0)</f>
        <v>0.609115996002889</v>
      </c>
      <c r="V197" s="2" t="str">
        <f aca="false">IF(S197&lt;J197,"SIM","NÃO")</f>
        <v>NÃO</v>
      </c>
      <c r="W197" s="2" t="n">
        <v>10</v>
      </c>
      <c r="X197" s="2" t="s">
        <v>161</v>
      </c>
    </row>
    <row r="198" customFormat="false" ht="15" hidden="false" customHeight="false" outlineLevel="0" collapsed="false">
      <c r="A198" s="2" t="n">
        <v>360284458</v>
      </c>
      <c r="B198" s="29" t="n">
        <v>46218.8821296296</v>
      </c>
      <c r="C198" s="2" t="s">
        <v>153</v>
      </c>
      <c r="D198" s="2" t="s">
        <v>378</v>
      </c>
      <c r="E198" s="2" t="s">
        <v>78</v>
      </c>
      <c r="F198" s="2" t="s">
        <v>106</v>
      </c>
      <c r="G198" s="30" t="n">
        <v>33</v>
      </c>
      <c r="H198" s="11" t="n">
        <v>419.99</v>
      </c>
      <c r="I198" s="11" t="s">
        <v>155</v>
      </c>
      <c r="J198" s="11" t="n">
        <v>82.34</v>
      </c>
      <c r="K198" s="11" t="n">
        <v>82.21</v>
      </c>
      <c r="L198" s="11" t="n">
        <v>0.42</v>
      </c>
      <c r="M198" s="11" t="n">
        <v>0.84</v>
      </c>
      <c r="N198" s="11" t="n">
        <v>1</v>
      </c>
      <c r="O198" s="11" t="n">
        <v>4.5</v>
      </c>
      <c r="P198" s="11" t="n">
        <v>1.98</v>
      </c>
      <c r="Q198" s="11" t="n">
        <v>14.85</v>
      </c>
      <c r="R198" s="11" t="n">
        <f aca="false">SUM(K198:Q198)</f>
        <v>105.8</v>
      </c>
      <c r="S198" s="11" t="n">
        <f aca="false">R198/(1-Resumo!$C$6)</f>
        <v>120.227272727273</v>
      </c>
      <c r="T198" s="11" t="n">
        <f aca="false">S198-J198</f>
        <v>37.8872727272727</v>
      </c>
      <c r="U198" s="12" t="n">
        <f aca="false">IFERROR(S198/J198-1,0)</f>
        <v>0.460132046724225</v>
      </c>
      <c r="V198" s="2" t="str">
        <f aca="false">IF(S198&lt;J198,"SIM","NÃO")</f>
        <v>NÃO</v>
      </c>
      <c r="W198" s="2" t="n">
        <v>5</v>
      </c>
      <c r="X198" s="2" t="s">
        <v>156</v>
      </c>
    </row>
    <row r="199" customFormat="false" ht="15" hidden="false" customHeight="false" outlineLevel="0" collapsed="false">
      <c r="A199" s="2" t="n">
        <v>360324588</v>
      </c>
      <c r="B199" s="29" t="n">
        <v>46218.9265625</v>
      </c>
      <c r="C199" s="2" t="s">
        <v>153</v>
      </c>
      <c r="D199" s="2" t="s">
        <v>379</v>
      </c>
      <c r="E199" s="2" t="s">
        <v>92</v>
      </c>
      <c r="F199" s="2" t="s">
        <v>112</v>
      </c>
      <c r="G199" s="30" t="n">
        <v>81.7</v>
      </c>
      <c r="H199" s="11" t="n">
        <v>779.99</v>
      </c>
      <c r="I199" s="11" t="s">
        <v>155</v>
      </c>
      <c r="J199" s="11" t="n">
        <v>192.33</v>
      </c>
      <c r="K199" s="11" t="n">
        <v>197.35</v>
      </c>
      <c r="L199" s="11" t="n">
        <v>0.78</v>
      </c>
      <c r="M199" s="11" t="n">
        <v>1.56</v>
      </c>
      <c r="N199" s="11" t="n">
        <v>1</v>
      </c>
      <c r="O199" s="11" t="n">
        <v>4.5</v>
      </c>
      <c r="P199" s="11" t="n">
        <v>4.92</v>
      </c>
      <c r="Q199" s="11" t="n">
        <v>36.9</v>
      </c>
      <c r="R199" s="11" t="n">
        <f aca="false">SUM(K199:Q199)</f>
        <v>247.01</v>
      </c>
      <c r="S199" s="11" t="n">
        <f aca="false">R199/(1-Resumo!$C$6)</f>
        <v>280.693181818182</v>
      </c>
      <c r="T199" s="11" t="n">
        <f aca="false">S199-J199</f>
        <v>88.3631818181818</v>
      </c>
      <c r="U199" s="12" t="n">
        <f aca="false">IFERROR(S199/J199-1,0)</f>
        <v>0.459435250965433</v>
      </c>
      <c r="V199" s="2" t="str">
        <f aca="false">IF(S199&lt;J199,"SIM","NÃO")</f>
        <v>NÃO</v>
      </c>
      <c r="W199" s="2" t="n">
        <v>10</v>
      </c>
      <c r="X199" s="2" t="s">
        <v>156</v>
      </c>
    </row>
    <row r="200" customFormat="false" ht="15" hidden="false" customHeight="false" outlineLevel="0" collapsed="false">
      <c r="A200" s="2" t="n">
        <v>360361604</v>
      </c>
      <c r="B200" s="29" t="n">
        <v>46218.948125</v>
      </c>
      <c r="C200" s="2" t="s">
        <v>369</v>
      </c>
      <c r="D200" s="2" t="s">
        <v>380</v>
      </c>
      <c r="E200" s="2" t="s">
        <v>381</v>
      </c>
      <c r="F200" s="2" t="s">
        <v>108</v>
      </c>
      <c r="G200" s="30" t="n">
        <v>49.6</v>
      </c>
      <c r="H200" s="11" t="n">
        <v>683.99</v>
      </c>
      <c r="I200" s="11" t="s">
        <v>155</v>
      </c>
      <c r="J200" s="11" t="n">
        <v>131.44</v>
      </c>
      <c r="K200" s="11" t="n">
        <v>152.54</v>
      </c>
      <c r="L200" s="11" t="n">
        <v>0.684</v>
      </c>
      <c r="M200" s="11" t="n">
        <v>1.368</v>
      </c>
      <c r="N200" s="11" t="n">
        <v>1</v>
      </c>
      <c r="O200" s="11" t="n">
        <v>4.5</v>
      </c>
      <c r="P200" s="11" t="n">
        <v>3</v>
      </c>
      <c r="Q200" s="11" t="n">
        <v>22.5</v>
      </c>
      <c r="R200" s="11" t="n">
        <f aca="false">SUM(K200:Q200)</f>
        <v>185.592</v>
      </c>
      <c r="S200" s="11" t="n">
        <f aca="false">R200/(1-Resumo!$C$6)</f>
        <v>210.9</v>
      </c>
      <c r="T200" s="11" t="n">
        <f aca="false">S200-J200</f>
        <v>79.46</v>
      </c>
      <c r="U200" s="12" t="n">
        <f aca="false">IFERROR(S200/J200-1,0)</f>
        <v>0.60453438831406</v>
      </c>
      <c r="V200" s="2" t="str">
        <f aca="false">IF(S200&lt;J200,"SIM","NÃO")</f>
        <v>NÃO</v>
      </c>
      <c r="W200" s="2" t="n">
        <v>11</v>
      </c>
      <c r="X200" s="2" t="s">
        <v>161</v>
      </c>
    </row>
    <row r="201" customFormat="false" ht="15" hidden="false" customHeight="false" outlineLevel="0" collapsed="false">
      <c r="A201" s="2" t="n">
        <v>360581305</v>
      </c>
      <c r="B201" s="29" t="n">
        <v>46219.3428472222</v>
      </c>
      <c r="C201" s="2" t="s">
        <v>158</v>
      </c>
      <c r="D201" s="2" t="s">
        <v>382</v>
      </c>
      <c r="E201" s="2" t="s">
        <v>80</v>
      </c>
      <c r="F201" s="2" t="s">
        <v>109</v>
      </c>
      <c r="G201" s="30" t="n">
        <v>52.3</v>
      </c>
      <c r="H201" s="11" t="n">
        <v>644.83</v>
      </c>
      <c r="I201" s="11" t="s">
        <v>350</v>
      </c>
      <c r="J201" s="11" t="n">
        <v>131.38</v>
      </c>
      <c r="K201" s="11" t="n">
        <v>112.3</v>
      </c>
      <c r="L201" s="11" t="n">
        <v>0.6448</v>
      </c>
      <c r="M201" s="11" t="n">
        <v>1.2897</v>
      </c>
      <c r="N201" s="11" t="n">
        <v>1</v>
      </c>
      <c r="O201" s="11" t="n">
        <v>4.5</v>
      </c>
      <c r="P201" s="11" t="n">
        <v>3.18</v>
      </c>
      <c r="Q201" s="11" t="n">
        <v>23.85</v>
      </c>
      <c r="R201" s="11" t="n">
        <f aca="false">SUM(K201:Q201)</f>
        <v>146.7645</v>
      </c>
      <c r="S201" s="11" t="n">
        <f aca="false">R201/(1-Resumo!$C$6)</f>
        <v>166.777840909091</v>
      </c>
      <c r="T201" s="11" t="n">
        <f aca="false">S201-J201</f>
        <v>35.3978409090909</v>
      </c>
      <c r="U201" s="12" t="n">
        <f aca="false">IFERROR(S201/J201-1,0)</f>
        <v>0.269430970536542</v>
      </c>
      <c r="V201" s="2" t="str">
        <f aca="false">IF(S201&lt;J201,"SIM","NÃO")</f>
        <v>NÃO</v>
      </c>
      <c r="W201" s="2" t="n">
        <v>5</v>
      </c>
      <c r="X201" s="2" t="s">
        <v>156</v>
      </c>
    </row>
    <row r="202" customFormat="false" ht="15" hidden="false" customHeight="false" outlineLevel="0" collapsed="false">
      <c r="A202" s="2" t="n">
        <v>360658459</v>
      </c>
      <c r="B202" s="29" t="n">
        <v>46219.4255092593</v>
      </c>
      <c r="C202" s="2" t="s">
        <v>369</v>
      </c>
      <c r="D202" s="2" t="s">
        <v>383</v>
      </c>
      <c r="E202" s="2" t="s">
        <v>384</v>
      </c>
      <c r="F202" s="2" t="s">
        <v>106</v>
      </c>
      <c r="G202" s="30" t="n">
        <v>35</v>
      </c>
      <c r="H202" s="11" t="n">
        <v>459.99</v>
      </c>
      <c r="I202" s="11" t="s">
        <v>385</v>
      </c>
      <c r="J202" s="11" t="n">
        <v>121.3</v>
      </c>
      <c r="K202" s="11" t="n">
        <v>138.29</v>
      </c>
      <c r="L202" s="11" t="n">
        <v>0.46</v>
      </c>
      <c r="M202" s="11" t="n">
        <v>0.92</v>
      </c>
      <c r="N202" s="11" t="n">
        <v>1</v>
      </c>
      <c r="O202" s="11" t="n">
        <v>4.5</v>
      </c>
      <c r="P202" s="11" t="n">
        <v>2.1</v>
      </c>
      <c r="Q202" s="11" t="n">
        <v>15.75</v>
      </c>
      <c r="R202" s="11" t="n">
        <f aca="false">SUM(K202:Q202)</f>
        <v>163.02</v>
      </c>
      <c r="S202" s="11" t="n">
        <f aca="false">R202/(1-Resumo!$C$6)</f>
        <v>185.25</v>
      </c>
      <c r="T202" s="11" t="n">
        <f aca="false">S202-J202</f>
        <v>63.95</v>
      </c>
      <c r="U202" s="12" t="n">
        <f aca="false">IFERROR(S202/J202-1,0)</f>
        <v>0.527205276174773</v>
      </c>
      <c r="V202" s="2" t="str">
        <f aca="false">IF(S202&lt;J202,"SIM","NÃO")</f>
        <v>NÃO</v>
      </c>
      <c r="W202" s="2" t="n">
        <v>11</v>
      </c>
      <c r="X202" s="2" t="s">
        <v>161</v>
      </c>
    </row>
    <row r="203" customFormat="false" ht="15" hidden="false" customHeight="false" outlineLevel="0" collapsed="false">
      <c r="A203" s="2" t="n">
        <v>360697683</v>
      </c>
      <c r="B203" s="29" t="n">
        <v>46219.4931828704</v>
      </c>
      <c r="C203" s="2" t="s">
        <v>153</v>
      </c>
      <c r="D203" s="2" t="s">
        <v>386</v>
      </c>
      <c r="E203" s="2" t="s">
        <v>78</v>
      </c>
      <c r="F203" s="2" t="s">
        <v>107</v>
      </c>
      <c r="G203" s="30" t="n">
        <v>37.6</v>
      </c>
      <c r="H203" s="11" t="n">
        <v>429.99</v>
      </c>
      <c r="I203" s="11" t="s">
        <v>155</v>
      </c>
      <c r="J203" s="11" t="n">
        <v>91.92</v>
      </c>
      <c r="K203" s="11" t="n">
        <v>93.97</v>
      </c>
      <c r="L203" s="11" t="n">
        <v>0.43</v>
      </c>
      <c r="M203" s="11" t="n">
        <v>0.86</v>
      </c>
      <c r="N203" s="11" t="n">
        <v>1</v>
      </c>
      <c r="O203" s="11" t="n">
        <v>4.5</v>
      </c>
      <c r="P203" s="11" t="n">
        <v>2.28</v>
      </c>
      <c r="Q203" s="11" t="n">
        <v>17.1</v>
      </c>
      <c r="R203" s="11" t="n">
        <f aca="false">SUM(K203:Q203)</f>
        <v>120.14</v>
      </c>
      <c r="S203" s="11" t="n">
        <f aca="false">R203/(1-Resumo!$C$6)</f>
        <v>136.522727272727</v>
      </c>
      <c r="T203" s="11" t="n">
        <f aca="false">S203-J203</f>
        <v>44.6027272727273</v>
      </c>
      <c r="U203" s="12" t="n">
        <f aca="false">IFERROR(S203/J203-1,0)</f>
        <v>0.485234195743334</v>
      </c>
      <c r="V203" s="2" t="str">
        <f aca="false">IF(S203&lt;J203,"SIM","NÃO")</f>
        <v>NÃO</v>
      </c>
      <c r="W203" s="2" t="n">
        <v>5</v>
      </c>
      <c r="X203" s="2" t="s">
        <v>156</v>
      </c>
    </row>
    <row r="204" customFormat="false" ht="15" hidden="false" customHeight="false" outlineLevel="0" collapsed="false">
      <c r="A204" s="2" t="n">
        <v>360836809</v>
      </c>
      <c r="B204" s="29" t="n">
        <v>46219.6675231482</v>
      </c>
      <c r="C204" s="2" t="s">
        <v>153</v>
      </c>
      <c r="D204" s="2" t="s">
        <v>216</v>
      </c>
      <c r="E204" s="2" t="s">
        <v>78</v>
      </c>
      <c r="F204" s="2" t="s">
        <v>106</v>
      </c>
      <c r="G204" s="30" t="n">
        <v>31.9</v>
      </c>
      <c r="H204" s="11" t="n">
        <v>508.42</v>
      </c>
      <c r="I204" s="11" t="s">
        <v>155</v>
      </c>
      <c r="J204" s="11" t="n">
        <v>82.77</v>
      </c>
      <c r="K204" s="11" t="n">
        <v>82.21</v>
      </c>
      <c r="L204" s="11" t="n">
        <v>0.5084</v>
      </c>
      <c r="M204" s="11" t="n">
        <v>1.0168</v>
      </c>
      <c r="N204" s="11" t="n">
        <v>1</v>
      </c>
      <c r="O204" s="11" t="n">
        <v>4.5</v>
      </c>
      <c r="P204" s="11" t="n">
        <v>1.92</v>
      </c>
      <c r="Q204" s="11" t="n">
        <v>14.4</v>
      </c>
      <c r="R204" s="11" t="n">
        <f aca="false">SUM(K204:Q204)</f>
        <v>105.5552</v>
      </c>
      <c r="S204" s="11" t="n">
        <f aca="false">R204/(1-Resumo!$C$6)</f>
        <v>119.949090909091</v>
      </c>
      <c r="T204" s="11" t="n">
        <f aca="false">S204-J204</f>
        <v>37.1790909090909</v>
      </c>
      <c r="U204" s="12" t="n">
        <f aca="false">IFERROR(S204/J204-1,0)</f>
        <v>0.449185585466847</v>
      </c>
      <c r="V204" s="2" t="str">
        <f aca="false">IF(S204&lt;J204,"SIM","NÃO")</f>
        <v>NÃO</v>
      </c>
      <c r="W204" s="2" t="n">
        <v>5</v>
      </c>
      <c r="X204" s="2" t="s">
        <v>156</v>
      </c>
    </row>
    <row r="205" customFormat="false" ht="15" hidden="false" customHeight="false" outlineLevel="0" collapsed="false">
      <c r="A205" s="2" t="n">
        <v>361081134</v>
      </c>
      <c r="B205" s="29" t="n">
        <v>46219.9879976852</v>
      </c>
      <c r="C205" s="2" t="s">
        <v>153</v>
      </c>
      <c r="D205" s="2" t="s">
        <v>387</v>
      </c>
      <c r="E205" s="2" t="s">
        <v>388</v>
      </c>
      <c r="F205" s="2" t="s">
        <v>106</v>
      </c>
      <c r="G205" s="30" t="n">
        <v>31.9</v>
      </c>
      <c r="H205" s="11" t="n">
        <v>508.42</v>
      </c>
      <c r="I205" s="11" t="s">
        <v>155</v>
      </c>
      <c r="J205" s="11" t="n">
        <v>109.63</v>
      </c>
      <c r="K205" s="11" t="n">
        <v>120.78</v>
      </c>
      <c r="L205" s="11" t="n">
        <v>0.5084</v>
      </c>
      <c r="M205" s="11" t="n">
        <v>1.0168</v>
      </c>
      <c r="N205" s="11" t="n">
        <v>1</v>
      </c>
      <c r="O205" s="11" t="n">
        <v>4.5</v>
      </c>
      <c r="P205" s="11" t="n">
        <v>1.92</v>
      </c>
      <c r="Q205" s="11" t="n">
        <v>14.4</v>
      </c>
      <c r="R205" s="11" t="n">
        <f aca="false">SUM(K205:Q205)</f>
        <v>144.1252</v>
      </c>
      <c r="S205" s="11" t="n">
        <f aca="false">R205/(1-Resumo!$C$6)</f>
        <v>163.778636363636</v>
      </c>
      <c r="T205" s="11" t="n">
        <f aca="false">S205-J205</f>
        <v>54.1486363636364</v>
      </c>
      <c r="U205" s="12" t="n">
        <f aca="false">IFERROR(S205/J205-1,0)</f>
        <v>0.493921703581468</v>
      </c>
      <c r="V205" s="2" t="str">
        <f aca="false">IF(S205&lt;J205,"SIM","NÃO")</f>
        <v>NÃO</v>
      </c>
      <c r="W205" s="2" t="n">
        <v>10</v>
      </c>
      <c r="X205" s="2" t="s">
        <v>161</v>
      </c>
    </row>
    <row r="206" customFormat="false" ht="15" hidden="false" customHeight="false" outlineLevel="0" collapsed="false">
      <c r="A206" s="2" t="n">
        <v>361177240</v>
      </c>
      <c r="B206" s="29" t="n">
        <v>46220.1729861111</v>
      </c>
      <c r="C206" s="2" t="s">
        <v>194</v>
      </c>
      <c r="D206" s="2" t="s">
        <v>389</v>
      </c>
      <c r="E206" s="2" t="s">
        <v>78</v>
      </c>
      <c r="F206" s="2" t="s">
        <v>110</v>
      </c>
      <c r="G206" s="30" t="n">
        <v>65.1</v>
      </c>
      <c r="H206" s="11" t="n">
        <v>756.79</v>
      </c>
      <c r="I206" s="11" t="s">
        <v>155</v>
      </c>
      <c r="J206" s="11" t="n">
        <v>124.83</v>
      </c>
      <c r="K206" s="11" t="n">
        <v>131.02</v>
      </c>
      <c r="L206" s="11" t="n">
        <v>0.7568</v>
      </c>
      <c r="M206" s="11" t="n">
        <v>1.5136</v>
      </c>
      <c r="N206" s="11" t="n">
        <v>1</v>
      </c>
      <c r="O206" s="11" t="n">
        <v>4.5</v>
      </c>
      <c r="P206" s="11" t="n">
        <v>3.96</v>
      </c>
      <c r="Q206" s="11" t="n">
        <v>29.7</v>
      </c>
      <c r="R206" s="11" t="n">
        <f aca="false">SUM(K206:Q206)</f>
        <v>172.4504</v>
      </c>
      <c r="S206" s="11" t="n">
        <f aca="false">R206/(1-Resumo!$C$6)</f>
        <v>195.966363636364</v>
      </c>
      <c r="T206" s="11" t="n">
        <f aca="false">S206-J206</f>
        <v>71.1363636363636</v>
      </c>
      <c r="U206" s="12" t="n">
        <f aca="false">IFERROR(S206/J206-1,0)</f>
        <v>0.569865926751291</v>
      </c>
      <c r="V206" s="2" t="str">
        <f aca="false">IF(S206&lt;J206,"SIM","NÃO")</f>
        <v>NÃO</v>
      </c>
      <c r="W206" s="2" t="n">
        <v>5</v>
      </c>
      <c r="X206" s="2" t="s">
        <v>156</v>
      </c>
    </row>
    <row r="207" customFormat="false" ht="15" hidden="false" customHeight="false" outlineLevel="0" collapsed="false">
      <c r="A207" s="2" t="n">
        <v>361284788</v>
      </c>
      <c r="B207" s="29" t="n">
        <v>46220.3886689815</v>
      </c>
      <c r="C207" s="2" t="s">
        <v>153</v>
      </c>
      <c r="D207" s="2" t="s">
        <v>390</v>
      </c>
      <c r="E207" s="2" t="s">
        <v>82</v>
      </c>
      <c r="F207" s="2" t="s">
        <v>109</v>
      </c>
      <c r="G207" s="30" t="n">
        <v>52.3</v>
      </c>
      <c r="H207" s="11" t="n">
        <v>619.99</v>
      </c>
      <c r="I207" s="11" t="s">
        <v>350</v>
      </c>
      <c r="J207" s="11" t="n">
        <v>131.25</v>
      </c>
      <c r="K207" s="11" t="n">
        <v>128.14</v>
      </c>
      <c r="L207" s="11" t="n">
        <v>0.62</v>
      </c>
      <c r="M207" s="11" t="n">
        <v>1.24</v>
      </c>
      <c r="N207" s="11" t="n">
        <v>1</v>
      </c>
      <c r="O207" s="11" t="n">
        <v>4.5</v>
      </c>
      <c r="P207" s="11" t="n">
        <v>3.18</v>
      </c>
      <c r="Q207" s="11" t="n">
        <v>23.85</v>
      </c>
      <c r="R207" s="11" t="n">
        <f aca="false">SUM(K207:Q207)</f>
        <v>162.53</v>
      </c>
      <c r="S207" s="11" t="n">
        <f aca="false">R207/(1-Resumo!$C$6)</f>
        <v>184.693181818182</v>
      </c>
      <c r="T207" s="11" t="n">
        <f aca="false">S207-J207</f>
        <v>53.4431818181818</v>
      </c>
      <c r="U207" s="12" t="n">
        <f aca="false">IFERROR(S207/J207-1,0)</f>
        <v>0.407186147186147</v>
      </c>
      <c r="V207" s="2" t="str">
        <f aca="false">IF(S207&lt;J207,"SIM","NÃO")</f>
        <v>NÃO</v>
      </c>
      <c r="W207" s="2" t="n">
        <v>7</v>
      </c>
      <c r="X207" s="2" t="s">
        <v>156</v>
      </c>
    </row>
    <row r="208" customFormat="false" ht="15" hidden="false" customHeight="false" outlineLevel="0" collapsed="false">
      <c r="A208" s="2" t="n">
        <v>361292221</v>
      </c>
      <c r="B208" s="29" t="n">
        <v>46220.3975231482</v>
      </c>
      <c r="C208" s="2" t="s">
        <v>158</v>
      </c>
      <c r="D208" s="2" t="s">
        <v>391</v>
      </c>
      <c r="E208" s="2" t="s">
        <v>80</v>
      </c>
      <c r="F208" s="2" t="s">
        <v>109</v>
      </c>
      <c r="G208" s="30" t="n">
        <v>52.3</v>
      </c>
      <c r="H208" s="11" t="n">
        <v>650.86</v>
      </c>
      <c r="I208" s="11" t="s">
        <v>350</v>
      </c>
      <c r="J208" s="11" t="n">
        <v>131.4</v>
      </c>
      <c r="K208" s="11" t="n">
        <v>112.3</v>
      </c>
      <c r="L208" s="11" t="n">
        <v>0.6509</v>
      </c>
      <c r="M208" s="11" t="n">
        <v>1.3017</v>
      </c>
      <c r="N208" s="11" t="n">
        <v>1</v>
      </c>
      <c r="O208" s="11" t="n">
        <v>4.5</v>
      </c>
      <c r="P208" s="11" t="n">
        <v>3.18</v>
      </c>
      <c r="Q208" s="11" t="n">
        <v>23.85</v>
      </c>
      <c r="R208" s="11" t="n">
        <f aca="false">SUM(K208:Q208)</f>
        <v>146.7826</v>
      </c>
      <c r="S208" s="11" t="n">
        <f aca="false">R208/(1-Resumo!$C$6)</f>
        <v>166.798409090909</v>
      </c>
      <c r="T208" s="11" t="n">
        <f aca="false">S208-J208</f>
        <v>35.3984090909091</v>
      </c>
      <c r="U208" s="12" t="n">
        <f aca="false">IFERROR(S208/J208-1,0)</f>
        <v>0.269394285318943</v>
      </c>
      <c r="V208" s="2" t="str">
        <f aca="false">IF(S208&lt;J208,"SIM","NÃO")</f>
        <v>NÃO</v>
      </c>
      <c r="W208" s="2" t="n">
        <v>5</v>
      </c>
      <c r="X208" s="2" t="s">
        <v>156</v>
      </c>
    </row>
    <row r="209" customFormat="false" ht="15" hidden="false" customHeight="false" outlineLevel="0" collapsed="false">
      <c r="A209" s="2" t="n">
        <v>361378443</v>
      </c>
      <c r="B209" s="29" t="n">
        <v>46220.5039236111</v>
      </c>
      <c r="C209" s="2" t="s">
        <v>194</v>
      </c>
      <c r="D209" s="2" t="s">
        <v>392</v>
      </c>
      <c r="E209" s="2" t="s">
        <v>96</v>
      </c>
      <c r="F209" s="2" t="s">
        <v>107</v>
      </c>
      <c r="G209" s="30" t="n">
        <v>35.55</v>
      </c>
      <c r="H209" s="11" t="n">
        <v>499.99</v>
      </c>
      <c r="I209" s="11" t="s">
        <v>350</v>
      </c>
      <c r="J209" s="11" t="n">
        <v>122.58</v>
      </c>
      <c r="K209" s="11" t="n">
        <v>125.63</v>
      </c>
      <c r="L209" s="11" t="n">
        <v>0.5</v>
      </c>
      <c r="M209" s="11" t="n">
        <v>1</v>
      </c>
      <c r="N209" s="11" t="n">
        <v>1</v>
      </c>
      <c r="O209" s="11" t="n">
        <v>4.5</v>
      </c>
      <c r="P209" s="11" t="n">
        <v>2.16</v>
      </c>
      <c r="Q209" s="11" t="n">
        <v>16.2</v>
      </c>
      <c r="R209" s="11" t="n">
        <f aca="false">SUM(K209:Q209)</f>
        <v>150.99</v>
      </c>
      <c r="S209" s="11" t="n">
        <f aca="false">R209/(1-Resumo!$C$6)</f>
        <v>171.579545454545</v>
      </c>
      <c r="T209" s="11" t="n">
        <f aca="false">S209-J209</f>
        <v>48.9995454545454</v>
      </c>
      <c r="U209" s="12" t="n">
        <f aca="false">IFERROR(S209/J209-1,0)</f>
        <v>0.399735237840965</v>
      </c>
      <c r="V209" s="2" t="str">
        <f aca="false">IF(S209&lt;J209,"SIM","NÃO")</f>
        <v>NÃO</v>
      </c>
      <c r="W209" s="2" t="n">
        <v>10</v>
      </c>
      <c r="X209" s="2" t="s">
        <v>156</v>
      </c>
    </row>
    <row r="210" customFormat="false" ht="15" hidden="false" customHeight="false" outlineLevel="0" collapsed="false">
      <c r="A210" s="2" t="n">
        <v>361388305</v>
      </c>
      <c r="B210" s="29" t="n">
        <v>46220.5094328704</v>
      </c>
      <c r="C210" s="2" t="s">
        <v>153</v>
      </c>
      <c r="D210" s="2" t="s">
        <v>393</v>
      </c>
      <c r="E210" s="2" t="s">
        <v>86</v>
      </c>
      <c r="F210" s="2" t="s">
        <v>106</v>
      </c>
      <c r="G210" s="30" t="n">
        <v>31.9</v>
      </c>
      <c r="H210" s="11" t="n">
        <v>508.42</v>
      </c>
      <c r="I210" s="11" t="s">
        <v>350</v>
      </c>
      <c r="J210" s="11" t="n">
        <v>102.2</v>
      </c>
      <c r="K210" s="11" t="n">
        <v>82.21</v>
      </c>
      <c r="L210" s="11" t="n">
        <v>0.5084</v>
      </c>
      <c r="M210" s="11" t="n">
        <v>1.0168</v>
      </c>
      <c r="N210" s="11" t="n">
        <v>1</v>
      </c>
      <c r="O210" s="11" t="n">
        <v>4.5</v>
      </c>
      <c r="P210" s="11" t="n">
        <v>1.92</v>
      </c>
      <c r="Q210" s="11" t="n">
        <v>14.4</v>
      </c>
      <c r="R210" s="11" t="n">
        <f aca="false">SUM(K210:Q210)</f>
        <v>105.5552</v>
      </c>
      <c r="S210" s="11" t="n">
        <f aca="false">R210/(1-Resumo!$C$6)</f>
        <v>119.949090909091</v>
      </c>
      <c r="T210" s="11" t="n">
        <f aca="false">S210-J210</f>
        <v>17.7490909090909</v>
      </c>
      <c r="U210" s="12" t="n">
        <f aca="false">IFERROR(S210/J210-1,0)</f>
        <v>0.173670165450987</v>
      </c>
      <c r="V210" s="2" t="str">
        <f aca="false">IF(S210&lt;J210,"SIM","NÃO")</f>
        <v>NÃO</v>
      </c>
      <c r="W210" s="2" t="n">
        <v>5</v>
      </c>
      <c r="X210" s="2" t="s">
        <v>156</v>
      </c>
    </row>
    <row r="211" customFormat="false" ht="15" hidden="false" customHeight="false" outlineLevel="0" collapsed="false">
      <c r="A211" s="2" t="n">
        <v>361396382</v>
      </c>
      <c r="B211" s="29" t="n">
        <v>46220.5182986111</v>
      </c>
      <c r="C211" s="2" t="s">
        <v>153</v>
      </c>
      <c r="D211" s="2" t="s">
        <v>394</v>
      </c>
      <c r="E211" s="2" t="s">
        <v>78</v>
      </c>
      <c r="F211" s="2" t="s">
        <v>106</v>
      </c>
      <c r="G211" s="30" t="n">
        <v>27.4</v>
      </c>
      <c r="H211" s="11" t="n">
        <v>359.99</v>
      </c>
      <c r="I211" s="11" t="s">
        <v>155</v>
      </c>
      <c r="J211" s="11" t="n">
        <v>82.05</v>
      </c>
      <c r="K211" s="11" t="n">
        <v>82.21</v>
      </c>
      <c r="L211" s="11" t="n">
        <v>0.36</v>
      </c>
      <c r="M211" s="11" t="n">
        <v>0.72</v>
      </c>
      <c r="N211" s="11" t="n">
        <v>1</v>
      </c>
      <c r="O211" s="11" t="n">
        <v>4.5</v>
      </c>
      <c r="P211" s="11" t="n">
        <v>1.68</v>
      </c>
      <c r="Q211" s="11" t="n">
        <v>12.6</v>
      </c>
      <c r="R211" s="11" t="n">
        <f aca="false">SUM(K211:Q211)</f>
        <v>103.07</v>
      </c>
      <c r="S211" s="11" t="n">
        <f aca="false">R211/(1-Resumo!$C$6)</f>
        <v>117.125</v>
      </c>
      <c r="T211" s="11" t="n">
        <f aca="false">S211-J211</f>
        <v>35.075</v>
      </c>
      <c r="U211" s="12" t="n">
        <f aca="false">IFERROR(S211/J211-1,0)</f>
        <v>0.427483241925655</v>
      </c>
      <c r="V211" s="2" t="str">
        <f aca="false">IF(S211&lt;J211,"SIM","NÃO")</f>
        <v>NÃO</v>
      </c>
      <c r="W211" s="2" t="n">
        <v>5</v>
      </c>
      <c r="X211" s="2" t="s">
        <v>156</v>
      </c>
    </row>
    <row r="212" customFormat="false" ht="15" hidden="false" customHeight="false" outlineLevel="0" collapsed="false">
      <c r="A212" s="2" t="n">
        <v>361410420</v>
      </c>
      <c r="B212" s="29" t="n">
        <v>46220.5322337963</v>
      </c>
      <c r="C212" s="2" t="s">
        <v>153</v>
      </c>
      <c r="D212" s="2" t="s">
        <v>395</v>
      </c>
      <c r="E212" s="2" t="s">
        <v>78</v>
      </c>
      <c r="F212" s="2" t="s">
        <v>105</v>
      </c>
      <c r="G212" s="30" t="n">
        <v>19.5</v>
      </c>
      <c r="H212" s="11" t="n">
        <v>389.99</v>
      </c>
      <c r="I212" s="11" t="s">
        <v>350</v>
      </c>
      <c r="J212" s="11" t="n">
        <v>66.66</v>
      </c>
      <c r="K212" s="11" t="n">
        <v>46.98</v>
      </c>
      <c r="L212" s="11" t="n">
        <v>0.39</v>
      </c>
      <c r="M212" s="11" t="n">
        <v>0.78</v>
      </c>
      <c r="N212" s="11" t="n">
        <v>1</v>
      </c>
      <c r="O212" s="11" t="n">
        <v>4.5</v>
      </c>
      <c r="P212" s="11" t="n">
        <v>1.2</v>
      </c>
      <c r="Q212" s="11" t="n">
        <v>9</v>
      </c>
      <c r="R212" s="11" t="n">
        <f aca="false">SUM(K212:Q212)</f>
        <v>63.85</v>
      </c>
      <c r="S212" s="11" t="n">
        <f aca="false">R212/(1-Resumo!$C$6)</f>
        <v>72.5568181818182</v>
      </c>
      <c r="T212" s="11" t="n">
        <f aca="false">S212-J212</f>
        <v>5.89681818181818</v>
      </c>
      <c r="U212" s="12" t="n">
        <f aca="false">IFERROR(S212/J212-1,0)</f>
        <v>0.0884611188391566</v>
      </c>
      <c r="V212" s="2" t="str">
        <f aca="false">IF(S212&lt;J212,"SIM","NÃO")</f>
        <v>NÃO</v>
      </c>
      <c r="W212" s="2" t="n">
        <v>5</v>
      </c>
      <c r="X212" s="2" t="s">
        <v>156</v>
      </c>
    </row>
    <row r="213" customFormat="false" ht="15" hidden="false" customHeight="false" outlineLevel="0" collapsed="false">
      <c r="A213" s="2" t="n">
        <v>361437400</v>
      </c>
      <c r="B213" s="29" t="n">
        <v>46220.5672916667</v>
      </c>
      <c r="C213" s="2" t="s">
        <v>153</v>
      </c>
      <c r="D213" s="2" t="s">
        <v>396</v>
      </c>
      <c r="E213" s="2" t="s">
        <v>260</v>
      </c>
      <c r="F213" s="2" t="s">
        <v>106</v>
      </c>
      <c r="G213" s="30" t="n">
        <v>20.9</v>
      </c>
      <c r="H213" s="11" t="n">
        <v>529.99</v>
      </c>
      <c r="I213" s="11" t="s">
        <v>350</v>
      </c>
      <c r="J213" s="11" t="n">
        <v>104.43</v>
      </c>
      <c r="K213" s="11" t="n">
        <v>120.78</v>
      </c>
      <c r="L213" s="11" t="n">
        <v>0.53</v>
      </c>
      <c r="M213" s="11" t="n">
        <v>1.06</v>
      </c>
      <c r="N213" s="11" t="n">
        <v>1</v>
      </c>
      <c r="O213" s="11" t="n">
        <v>4.5</v>
      </c>
      <c r="P213" s="11" t="n">
        <v>1.26</v>
      </c>
      <c r="Q213" s="11" t="n">
        <v>9.45</v>
      </c>
      <c r="R213" s="11" t="n">
        <f aca="false">SUM(K213:Q213)</f>
        <v>138.58</v>
      </c>
      <c r="S213" s="11" t="n">
        <f aca="false">R213/(1-Resumo!$C$6)</f>
        <v>157.477272727273</v>
      </c>
      <c r="T213" s="11" t="n">
        <f aca="false">S213-J213</f>
        <v>53.0472727272727</v>
      </c>
      <c r="U213" s="12" t="n">
        <f aca="false">IFERROR(S213/J213-1,0)</f>
        <v>0.507969670853899</v>
      </c>
      <c r="V213" s="2" t="str">
        <f aca="false">IF(S213&lt;J213,"SIM","NÃO")</f>
        <v>NÃO</v>
      </c>
      <c r="W213" s="2" t="n">
        <v>10</v>
      </c>
      <c r="X213" s="2" t="s">
        <v>161</v>
      </c>
    </row>
    <row r="214" customFormat="false" ht="15" hidden="false" customHeight="false" outlineLevel="0" collapsed="false">
      <c r="A214" s="2" t="n">
        <v>361447086</v>
      </c>
      <c r="B214" s="29" t="n">
        <v>46220.5869791667</v>
      </c>
      <c r="C214" s="2" t="s">
        <v>153</v>
      </c>
      <c r="D214" s="2" t="s">
        <v>397</v>
      </c>
      <c r="E214" s="2" t="s">
        <v>78</v>
      </c>
      <c r="F214" s="2" t="s">
        <v>108</v>
      </c>
      <c r="G214" s="30" t="n">
        <v>48.6</v>
      </c>
      <c r="H214" s="11" t="n">
        <v>699.99</v>
      </c>
      <c r="I214" s="11" t="s">
        <v>350</v>
      </c>
      <c r="J214" s="11" t="n">
        <v>105.84</v>
      </c>
      <c r="K214" s="11" t="n">
        <v>93.97</v>
      </c>
      <c r="L214" s="11" t="n">
        <v>0.7</v>
      </c>
      <c r="M214" s="11" t="n">
        <v>1.4</v>
      </c>
      <c r="N214" s="11" t="n">
        <v>1</v>
      </c>
      <c r="O214" s="11" t="n">
        <v>4.5</v>
      </c>
      <c r="P214" s="11" t="n">
        <v>2.94</v>
      </c>
      <c r="Q214" s="11" t="n">
        <v>22.05</v>
      </c>
      <c r="R214" s="11" t="n">
        <f aca="false">SUM(K214:Q214)</f>
        <v>126.56</v>
      </c>
      <c r="S214" s="11" t="n">
        <f aca="false">R214/(1-Resumo!$C$6)</f>
        <v>143.818181818182</v>
      </c>
      <c r="T214" s="11" t="n">
        <f aca="false">S214-J214</f>
        <v>37.9781818181818</v>
      </c>
      <c r="U214" s="12" t="n">
        <f aca="false">IFERROR(S214/J214-1,0)</f>
        <v>0.358826358826359</v>
      </c>
      <c r="V214" s="2" t="str">
        <f aca="false">IF(S214&lt;J214,"SIM","NÃO")</f>
        <v>NÃO</v>
      </c>
      <c r="W214" s="2" t="n">
        <v>5</v>
      </c>
      <c r="X214" s="2" t="s">
        <v>156</v>
      </c>
    </row>
    <row r="215" customFormat="false" ht="15" hidden="false" customHeight="false" outlineLevel="0" collapsed="false">
      <c r="A215" s="2" t="n">
        <v>361453768</v>
      </c>
      <c r="B215" s="29" t="n">
        <v>46220.6055439815</v>
      </c>
      <c r="C215" s="2" t="s">
        <v>158</v>
      </c>
      <c r="D215" s="2" t="s">
        <v>398</v>
      </c>
      <c r="E215" s="2" t="s">
        <v>188</v>
      </c>
      <c r="F215" s="2" t="s">
        <v>106</v>
      </c>
      <c r="G215" s="30" t="n">
        <v>34.4</v>
      </c>
      <c r="H215" s="11" t="n">
        <v>427.18</v>
      </c>
      <c r="I215" s="11" t="s">
        <v>350</v>
      </c>
      <c r="J215" s="11" t="n">
        <v>111.11</v>
      </c>
      <c r="K215" s="11" t="n">
        <v>108.83</v>
      </c>
      <c r="L215" s="11" t="n">
        <v>0.4272</v>
      </c>
      <c r="M215" s="11" t="n">
        <v>0.8544</v>
      </c>
      <c r="N215" s="11" t="n">
        <v>1</v>
      </c>
      <c r="O215" s="11" t="n">
        <v>4.5</v>
      </c>
      <c r="P215" s="11" t="n">
        <v>2.1</v>
      </c>
      <c r="Q215" s="11" t="n">
        <v>15.75</v>
      </c>
      <c r="R215" s="11" t="n">
        <f aca="false">SUM(K215:Q215)</f>
        <v>133.4616</v>
      </c>
      <c r="S215" s="11" t="n">
        <f aca="false">R215/(1-Resumo!$C$6)</f>
        <v>151.660909090909</v>
      </c>
      <c r="T215" s="11" t="n">
        <f aca="false">S215-J215</f>
        <v>40.5509090909091</v>
      </c>
      <c r="U215" s="12" t="n">
        <f aca="false">IFERROR(S215/J215-1,0)</f>
        <v>0.364961831436496</v>
      </c>
      <c r="V215" s="2" t="str">
        <f aca="false">IF(S215&lt;J215,"SIM","NÃO")</f>
        <v>NÃO</v>
      </c>
      <c r="W215" s="2" t="n">
        <v>10</v>
      </c>
      <c r="X215" s="2" t="s">
        <v>161</v>
      </c>
    </row>
    <row r="216" customFormat="false" ht="15" hidden="false" customHeight="false" outlineLevel="0" collapsed="false">
      <c r="A216" s="2" t="n">
        <v>361465007</v>
      </c>
      <c r="B216" s="29" t="n">
        <v>46220.6375115741</v>
      </c>
      <c r="C216" s="2" t="s">
        <v>153</v>
      </c>
      <c r="D216" s="2" t="s">
        <v>399</v>
      </c>
      <c r="E216" s="2" t="s">
        <v>78</v>
      </c>
      <c r="F216" s="2" t="s">
        <v>110</v>
      </c>
      <c r="G216" s="30" t="n">
        <v>66.8</v>
      </c>
      <c r="H216" s="11" t="n">
        <v>639.99</v>
      </c>
      <c r="I216" s="11" t="s">
        <v>155</v>
      </c>
      <c r="J216" s="11" t="n">
        <v>124.27</v>
      </c>
      <c r="K216" s="11" t="n">
        <v>131.02</v>
      </c>
      <c r="L216" s="11" t="n">
        <v>0.64</v>
      </c>
      <c r="M216" s="11" t="n">
        <v>1.28</v>
      </c>
      <c r="N216" s="11" t="n">
        <v>1</v>
      </c>
      <c r="O216" s="11" t="n">
        <v>4.5</v>
      </c>
      <c r="P216" s="11" t="n">
        <v>4.02</v>
      </c>
      <c r="Q216" s="11" t="n">
        <v>30.15</v>
      </c>
      <c r="R216" s="11" t="n">
        <f aca="false">SUM(K216:Q216)</f>
        <v>172.61</v>
      </c>
      <c r="S216" s="11" t="n">
        <f aca="false">R216/(1-Resumo!$C$6)</f>
        <v>196.147727272727</v>
      </c>
      <c r="T216" s="11" t="n">
        <f aca="false">S216-J216</f>
        <v>71.8777272727273</v>
      </c>
      <c r="U216" s="12" t="n">
        <f aca="false">IFERROR(S216/J216-1,0)</f>
        <v>0.578399672267863</v>
      </c>
      <c r="V216" s="2" t="str">
        <f aca="false">IF(S216&lt;J216,"SIM","NÃO")</f>
        <v>NÃO</v>
      </c>
      <c r="W216" s="2" t="n">
        <v>5</v>
      </c>
      <c r="X216" s="2" t="s">
        <v>156</v>
      </c>
    </row>
    <row r="217" customFormat="false" ht="15" hidden="false" customHeight="false" outlineLevel="0" collapsed="false">
      <c r="A217" s="2" t="n">
        <v>361470429</v>
      </c>
      <c r="B217" s="29" t="n">
        <v>46220.6539583333</v>
      </c>
      <c r="C217" s="2" t="s">
        <v>158</v>
      </c>
      <c r="D217" s="2" t="s">
        <v>400</v>
      </c>
      <c r="E217" s="2" t="s">
        <v>78</v>
      </c>
      <c r="F217" s="2" t="s">
        <v>106</v>
      </c>
      <c r="G217" s="30" t="n">
        <v>27.5</v>
      </c>
      <c r="H217" s="11" t="n">
        <v>359.98</v>
      </c>
      <c r="I217" s="11" t="s">
        <v>350</v>
      </c>
      <c r="J217" s="11" t="n">
        <v>80.49</v>
      </c>
      <c r="K217" s="11" t="n">
        <v>82.21</v>
      </c>
      <c r="L217" s="11" t="n">
        <v>0.36</v>
      </c>
      <c r="M217" s="11" t="n">
        <v>0.72</v>
      </c>
      <c r="N217" s="11" t="n">
        <v>1</v>
      </c>
      <c r="O217" s="11" t="n">
        <v>4.5</v>
      </c>
      <c r="P217" s="11" t="n">
        <v>1.68</v>
      </c>
      <c r="Q217" s="11" t="n">
        <v>12.6</v>
      </c>
      <c r="R217" s="11" t="n">
        <f aca="false">SUM(K217:Q217)</f>
        <v>103.07</v>
      </c>
      <c r="S217" s="11" t="n">
        <f aca="false">R217/(1-Resumo!$C$6)</f>
        <v>117.125</v>
      </c>
      <c r="T217" s="11" t="n">
        <f aca="false">S217-J217</f>
        <v>36.635</v>
      </c>
      <c r="U217" s="12" t="n">
        <f aca="false">IFERROR(S217/J217-1,0)</f>
        <v>0.455149708038266</v>
      </c>
      <c r="V217" s="2" t="str">
        <f aca="false">IF(S217&lt;J217,"SIM","NÃO")</f>
        <v>NÃO</v>
      </c>
      <c r="W217" s="2" t="n">
        <v>5</v>
      </c>
      <c r="X217" s="2" t="s">
        <v>156</v>
      </c>
    </row>
    <row r="218" customFormat="false" ht="15" hidden="false" customHeight="false" outlineLevel="0" collapsed="false">
      <c r="A218" s="2" t="n">
        <v>361469725</v>
      </c>
      <c r="B218" s="29" t="n">
        <v>46220.6590972222</v>
      </c>
      <c r="C218" s="2" t="s">
        <v>194</v>
      </c>
      <c r="D218" s="2" t="s">
        <v>401</v>
      </c>
      <c r="E218" s="2" t="s">
        <v>78</v>
      </c>
      <c r="F218" s="2" t="s">
        <v>114</v>
      </c>
      <c r="G218" s="30" t="n">
        <v>127.8</v>
      </c>
      <c r="H218" s="11" t="n">
        <v>1434.39</v>
      </c>
      <c r="I218" s="11" t="s">
        <v>155</v>
      </c>
      <c r="J218" s="11" t="n">
        <v>233.17</v>
      </c>
      <c r="K218" s="11" t="n">
        <v>239.25</v>
      </c>
      <c r="L218" s="11" t="n">
        <v>1.4344</v>
      </c>
      <c r="M218" s="11" t="n">
        <v>2.8688</v>
      </c>
      <c r="N218" s="11" t="n">
        <v>1</v>
      </c>
      <c r="O218" s="11" t="n">
        <v>9</v>
      </c>
      <c r="P218" s="11" t="n">
        <v>7.68</v>
      </c>
      <c r="Q218" s="11" t="n">
        <v>57.6</v>
      </c>
      <c r="R218" s="11" t="n">
        <f aca="false">SUM(K218:Q218)</f>
        <v>318.8332</v>
      </c>
      <c r="S218" s="11" t="n">
        <f aca="false">R218/(1-Resumo!$C$6)</f>
        <v>362.310454545455</v>
      </c>
      <c r="T218" s="11" t="n">
        <f aca="false">S218-J218</f>
        <v>129.140454545455</v>
      </c>
      <c r="U218" s="12" t="n">
        <f aca="false">IFERROR(S218/J218-1,0)</f>
        <v>0.553846783657652</v>
      </c>
      <c r="V218" s="2" t="str">
        <f aca="false">IF(S218&lt;J218,"SIM","NÃO")</f>
        <v>NÃO</v>
      </c>
      <c r="W218" s="2" t="n">
        <v>5</v>
      </c>
      <c r="X218" s="2" t="s">
        <v>156</v>
      </c>
    </row>
    <row r="219" customFormat="false" ht="15" hidden="false" customHeight="false" outlineLevel="0" collapsed="false">
      <c r="A219" s="2" t="n">
        <v>361475504</v>
      </c>
      <c r="B219" s="29" t="n">
        <v>46220.6697569444</v>
      </c>
      <c r="C219" s="2" t="s">
        <v>153</v>
      </c>
      <c r="D219" s="2" t="s">
        <v>402</v>
      </c>
      <c r="E219" s="2" t="s">
        <v>78</v>
      </c>
      <c r="F219" s="2" t="s">
        <v>110</v>
      </c>
      <c r="G219" s="30" t="n">
        <v>61.5</v>
      </c>
      <c r="H219" s="11" t="n">
        <v>767.99</v>
      </c>
      <c r="I219" s="11" t="s">
        <v>350</v>
      </c>
      <c r="J219" s="11" t="n">
        <v>123.78</v>
      </c>
      <c r="K219" s="11" t="n">
        <v>131.02</v>
      </c>
      <c r="L219" s="11" t="n">
        <v>0.768</v>
      </c>
      <c r="M219" s="11" t="n">
        <v>1.536</v>
      </c>
      <c r="N219" s="11" t="n">
        <v>1</v>
      </c>
      <c r="O219" s="11" t="n">
        <v>4.5</v>
      </c>
      <c r="P219" s="11" t="n">
        <v>3.72</v>
      </c>
      <c r="Q219" s="11" t="n">
        <v>27.9</v>
      </c>
      <c r="R219" s="11" t="n">
        <f aca="false">SUM(K219:Q219)</f>
        <v>170.444</v>
      </c>
      <c r="S219" s="11" t="n">
        <f aca="false">R219/(1-Resumo!$C$6)</f>
        <v>193.686363636364</v>
      </c>
      <c r="T219" s="11" t="n">
        <f aca="false">S219-J219</f>
        <v>69.9063636363637</v>
      </c>
      <c r="U219" s="12" t="n">
        <f aca="false">IFERROR(S219/J219-1,0)</f>
        <v>0.564762995931198</v>
      </c>
      <c r="V219" s="2" t="str">
        <f aca="false">IF(S219&lt;J219,"SIM","NÃO")</f>
        <v>NÃO</v>
      </c>
      <c r="W219" s="2" t="n">
        <v>5</v>
      </c>
      <c r="X219" s="2" t="s">
        <v>156</v>
      </c>
    </row>
    <row r="220" customFormat="false" ht="15" hidden="false" customHeight="false" outlineLevel="0" collapsed="false">
      <c r="A220" s="2" t="n">
        <v>361514421</v>
      </c>
      <c r="B220" s="29" t="n">
        <v>46220.7880324074</v>
      </c>
      <c r="C220" s="2" t="s">
        <v>153</v>
      </c>
      <c r="D220" s="2" t="s">
        <v>403</v>
      </c>
      <c r="E220" s="2" t="s">
        <v>78</v>
      </c>
      <c r="F220" s="2" t="s">
        <v>110</v>
      </c>
      <c r="G220" s="30" t="n">
        <v>66.8</v>
      </c>
      <c r="H220" s="11" t="n">
        <v>639.99</v>
      </c>
      <c r="I220" s="11" t="s">
        <v>350</v>
      </c>
      <c r="J220" s="11" t="n">
        <v>125.73</v>
      </c>
      <c r="K220" s="11" t="n">
        <v>131.02</v>
      </c>
      <c r="L220" s="11" t="n">
        <v>0.64</v>
      </c>
      <c r="M220" s="11" t="n">
        <v>1.28</v>
      </c>
      <c r="N220" s="11" t="n">
        <v>1</v>
      </c>
      <c r="O220" s="11" t="n">
        <v>4.5</v>
      </c>
      <c r="P220" s="11" t="n">
        <v>4.02</v>
      </c>
      <c r="Q220" s="11" t="n">
        <v>30.15</v>
      </c>
      <c r="R220" s="11" t="n">
        <f aca="false">SUM(K220:Q220)</f>
        <v>172.61</v>
      </c>
      <c r="S220" s="11" t="n">
        <f aca="false">R220/(1-Resumo!$C$6)</f>
        <v>196.147727272727</v>
      </c>
      <c r="T220" s="11" t="n">
        <f aca="false">S220-J220</f>
        <v>70.4177272727273</v>
      </c>
      <c r="U220" s="12" t="n">
        <f aca="false">IFERROR(S220/J220-1,0)</f>
        <v>0.560071003521254</v>
      </c>
      <c r="V220" s="2" t="str">
        <f aca="false">IF(S220&lt;J220,"SIM","NÃO")</f>
        <v>NÃO</v>
      </c>
      <c r="W220" s="2" t="n">
        <v>5</v>
      </c>
      <c r="X220" s="2" t="s">
        <v>156</v>
      </c>
    </row>
    <row r="221" customFormat="false" ht="15" hidden="false" customHeight="false" outlineLevel="0" collapsed="false">
      <c r="A221" s="2" t="n">
        <v>361593897</v>
      </c>
      <c r="B221" s="29" t="n">
        <v>46220.8463194444</v>
      </c>
      <c r="C221" s="2" t="s">
        <v>153</v>
      </c>
      <c r="D221" s="2" t="s">
        <v>404</v>
      </c>
      <c r="E221" s="2" t="s">
        <v>78</v>
      </c>
      <c r="F221" s="2" t="s">
        <v>107</v>
      </c>
      <c r="G221" s="30" t="n">
        <v>39.8</v>
      </c>
      <c r="H221" s="11" t="n">
        <v>449.99</v>
      </c>
      <c r="I221" s="11" t="s">
        <v>350</v>
      </c>
      <c r="J221" s="11" t="n">
        <v>94.13</v>
      </c>
      <c r="K221" s="11" t="n">
        <v>93.97</v>
      </c>
      <c r="L221" s="11" t="n">
        <v>0.45</v>
      </c>
      <c r="M221" s="11" t="n">
        <v>0.9</v>
      </c>
      <c r="N221" s="11" t="n">
        <v>1</v>
      </c>
      <c r="O221" s="11" t="n">
        <v>4.5</v>
      </c>
      <c r="P221" s="11" t="n">
        <v>2.4</v>
      </c>
      <c r="Q221" s="11" t="n">
        <v>18</v>
      </c>
      <c r="R221" s="11" t="n">
        <f aca="false">SUM(K221:Q221)</f>
        <v>121.22</v>
      </c>
      <c r="S221" s="11" t="n">
        <f aca="false">R221/(1-Resumo!$C$6)</f>
        <v>137.75</v>
      </c>
      <c r="T221" s="11" t="n">
        <f aca="false">S221-J221</f>
        <v>43.62</v>
      </c>
      <c r="U221" s="12" t="n">
        <f aca="false">IFERROR(S221/J221-1,0)</f>
        <v>0.463401678529693</v>
      </c>
      <c r="V221" s="2" t="str">
        <f aca="false">IF(S221&lt;J221,"SIM","NÃO")</f>
        <v>NÃO</v>
      </c>
      <c r="W221" s="2" t="n">
        <v>5</v>
      </c>
      <c r="X221" s="2" t="s">
        <v>156</v>
      </c>
    </row>
    <row r="222" customFormat="false" ht="15" hidden="false" customHeight="false" outlineLevel="0" collapsed="false">
      <c r="A222" s="2" t="n">
        <v>361569008</v>
      </c>
      <c r="B222" s="29" t="n">
        <v>46220.9640972222</v>
      </c>
      <c r="C222" s="2" t="s">
        <v>158</v>
      </c>
      <c r="D222" s="2" t="s">
        <v>405</v>
      </c>
      <c r="E222" s="2" t="s">
        <v>85</v>
      </c>
      <c r="F222" s="2" t="s">
        <v>114</v>
      </c>
      <c r="G222" s="30" t="n">
        <v>124.2</v>
      </c>
      <c r="H222" s="11" t="n">
        <v>1611.28</v>
      </c>
      <c r="I222" s="11" t="s">
        <v>350</v>
      </c>
      <c r="J222" s="11" t="n">
        <v>253.3</v>
      </c>
      <c r="K222" s="11" t="n">
        <v>264.84</v>
      </c>
      <c r="L222" s="11" t="n">
        <v>1.6113</v>
      </c>
      <c r="M222" s="11" t="n">
        <v>3.2226</v>
      </c>
      <c r="N222" s="11" t="n">
        <v>1</v>
      </c>
      <c r="O222" s="11" t="n">
        <v>9</v>
      </c>
      <c r="P222" s="11" t="n">
        <v>7.5</v>
      </c>
      <c r="Q222" s="11" t="n">
        <v>56.25</v>
      </c>
      <c r="R222" s="11" t="n">
        <f aca="false">SUM(K222:Q222)</f>
        <v>343.4239</v>
      </c>
      <c r="S222" s="11" t="n">
        <f aca="false">R222/(1-Resumo!$C$6)</f>
        <v>390.254431818182</v>
      </c>
      <c r="T222" s="11" t="n">
        <f aca="false">S222-J222</f>
        <v>136.954431818182</v>
      </c>
      <c r="U222" s="12" t="n">
        <f aca="false">IFERROR(S222/J222-1,0)</f>
        <v>0.540680741485124</v>
      </c>
      <c r="V222" s="2" t="str">
        <f aca="false">IF(S222&lt;J222,"SIM","NÃO")</f>
        <v>NÃO</v>
      </c>
      <c r="W222" s="2" t="n">
        <v>11</v>
      </c>
      <c r="X222" s="2" t="s">
        <v>156</v>
      </c>
    </row>
    <row r="223" customFormat="false" ht="15" hidden="false" customHeight="false" outlineLevel="0" collapsed="false">
      <c r="A223" s="2" t="n">
        <v>361570424</v>
      </c>
      <c r="B223" s="29" t="n">
        <v>46220.9698842593</v>
      </c>
      <c r="C223" s="2" t="s">
        <v>153</v>
      </c>
      <c r="D223" s="2" t="s">
        <v>406</v>
      </c>
      <c r="E223" s="2" t="s">
        <v>78</v>
      </c>
      <c r="F223" s="2" t="s">
        <v>105</v>
      </c>
      <c r="G223" s="30" t="n">
        <v>19.5</v>
      </c>
      <c r="H223" s="11" t="n">
        <v>369.99</v>
      </c>
      <c r="I223" s="11" t="s">
        <v>350</v>
      </c>
      <c r="J223" s="11" t="n">
        <v>66.57</v>
      </c>
      <c r="K223" s="11" t="n">
        <v>46.98</v>
      </c>
      <c r="L223" s="11" t="n">
        <v>0.37</v>
      </c>
      <c r="M223" s="11" t="n">
        <v>0.74</v>
      </c>
      <c r="N223" s="11" t="n">
        <v>1</v>
      </c>
      <c r="O223" s="11" t="n">
        <v>4.5</v>
      </c>
      <c r="P223" s="11" t="n">
        <v>1.2</v>
      </c>
      <c r="Q223" s="11" t="n">
        <v>9</v>
      </c>
      <c r="R223" s="11" t="n">
        <f aca="false">SUM(K223:Q223)</f>
        <v>63.79</v>
      </c>
      <c r="S223" s="11" t="n">
        <f aca="false">R223/(1-Resumo!$C$6)</f>
        <v>72.4886363636364</v>
      </c>
      <c r="T223" s="11" t="n">
        <f aca="false">S223-J223</f>
        <v>5.91863636363637</v>
      </c>
      <c r="U223" s="12" t="n">
        <f aca="false">IFERROR(S223/J223-1,0)</f>
        <v>0.0889084627254975</v>
      </c>
      <c r="V223" s="2" t="str">
        <f aca="false">IF(S223&lt;J223,"SIM","NÃO")</f>
        <v>NÃO</v>
      </c>
      <c r="W223" s="2" t="n">
        <v>5</v>
      </c>
      <c r="X223" s="2" t="s">
        <v>156</v>
      </c>
    </row>
    <row r="224" customFormat="false" ht="15" hidden="false" customHeight="false" outlineLevel="0" collapsed="false">
      <c r="A224" s="2" t="n">
        <v>361598030</v>
      </c>
      <c r="B224" s="29" t="n">
        <v>46221.0859027778</v>
      </c>
      <c r="C224" s="2" t="s">
        <v>153</v>
      </c>
      <c r="D224" s="2" t="s">
        <v>407</v>
      </c>
      <c r="E224" s="2" t="s">
        <v>78</v>
      </c>
      <c r="F224" s="2" t="s">
        <v>109</v>
      </c>
      <c r="G224" s="30" t="n">
        <v>52.3</v>
      </c>
      <c r="H224" s="11" t="n">
        <v>685.84</v>
      </c>
      <c r="I224" s="11" t="s">
        <v>350</v>
      </c>
      <c r="J224" s="11" t="n">
        <v>113.56</v>
      </c>
      <c r="K224" s="11" t="n">
        <v>112.3</v>
      </c>
      <c r="L224" s="11" t="n">
        <v>0.6858</v>
      </c>
      <c r="M224" s="11" t="n">
        <v>1.3717</v>
      </c>
      <c r="N224" s="11" t="n">
        <v>1</v>
      </c>
      <c r="O224" s="11" t="n">
        <v>4.5</v>
      </c>
      <c r="P224" s="11" t="n">
        <v>3.18</v>
      </c>
      <c r="Q224" s="11" t="n">
        <v>23.85</v>
      </c>
      <c r="R224" s="11" t="n">
        <f aca="false">SUM(K224:Q224)</f>
        <v>146.8875</v>
      </c>
      <c r="S224" s="11" t="n">
        <f aca="false">R224/(1-Resumo!$C$6)</f>
        <v>166.917613636364</v>
      </c>
      <c r="T224" s="11" t="n">
        <f aca="false">S224-J224</f>
        <v>53.3576136363636</v>
      </c>
      <c r="U224" s="12" t="n">
        <f aca="false">IFERROR(S224/J224-1,0)</f>
        <v>0.469862747766499</v>
      </c>
      <c r="V224" s="2" t="str">
        <f aca="false">IF(S224&lt;J224,"SIM","NÃO")</f>
        <v>NÃO</v>
      </c>
      <c r="W224" s="2" t="n">
        <v>5</v>
      </c>
      <c r="X224" s="2" t="s">
        <v>156</v>
      </c>
    </row>
    <row r="225" customFormat="false" ht="15" hidden="false" customHeight="false" outlineLevel="0" collapsed="false">
      <c r="A225" s="2" t="n">
        <v>361625018</v>
      </c>
      <c r="B225" s="29" t="n">
        <v>46221.2375694444</v>
      </c>
      <c r="C225" s="2" t="s">
        <v>191</v>
      </c>
      <c r="D225" s="2" t="s">
        <v>408</v>
      </c>
      <c r="E225" s="2" t="s">
        <v>78</v>
      </c>
      <c r="F225" s="2" t="s">
        <v>112</v>
      </c>
      <c r="G225" s="30" t="n">
        <v>97.2</v>
      </c>
      <c r="H225" s="11" t="n">
        <v>1399.99</v>
      </c>
      <c r="I225" s="11" t="s">
        <v>155</v>
      </c>
      <c r="J225" s="11" t="n">
        <v>165.81</v>
      </c>
      <c r="K225" s="11" t="n">
        <v>167.99</v>
      </c>
      <c r="L225" s="11" t="n">
        <v>1.4</v>
      </c>
      <c r="M225" s="11" t="n">
        <v>2.8</v>
      </c>
      <c r="N225" s="11" t="n">
        <v>1</v>
      </c>
      <c r="O225" s="11" t="n">
        <v>4.5</v>
      </c>
      <c r="P225" s="11" t="n">
        <v>5.88</v>
      </c>
      <c r="Q225" s="11" t="n">
        <v>44.1</v>
      </c>
      <c r="R225" s="11" t="n">
        <f aca="false">SUM(K225:Q225)</f>
        <v>227.67</v>
      </c>
      <c r="S225" s="11" t="n">
        <f aca="false">R225/(1-Resumo!$C$6)</f>
        <v>258.715909090909</v>
      </c>
      <c r="T225" s="11" t="n">
        <f aca="false">S225-J225</f>
        <v>92.9059090909091</v>
      </c>
      <c r="U225" s="12" t="n">
        <f aca="false">IFERROR(S225/J225-1,0)</f>
        <v>0.560315476092571</v>
      </c>
      <c r="V225" s="2" t="str">
        <f aca="false">IF(S225&lt;J225,"SIM","NÃO")</f>
        <v>NÃO</v>
      </c>
      <c r="W225" s="2" t="n">
        <v>5</v>
      </c>
      <c r="X225" s="2" t="s">
        <v>156</v>
      </c>
    </row>
    <row r="226" customFormat="false" ht="15" hidden="false" customHeight="false" outlineLevel="0" collapsed="false">
      <c r="A226" s="2" t="n">
        <v>361652006</v>
      </c>
      <c r="B226" s="29" t="n">
        <v>46221.339849537</v>
      </c>
      <c r="C226" s="2" t="s">
        <v>153</v>
      </c>
      <c r="D226" s="2" t="s">
        <v>409</v>
      </c>
      <c r="E226" s="2" t="s">
        <v>85</v>
      </c>
      <c r="F226" s="2" t="s">
        <v>114</v>
      </c>
      <c r="G226" s="30" t="n">
        <v>127.8</v>
      </c>
      <c r="H226" s="11" t="n">
        <v>1349.99</v>
      </c>
      <c r="I226" s="11" t="s">
        <v>350</v>
      </c>
      <c r="J226" s="11" t="n">
        <v>253.58</v>
      </c>
      <c r="K226" s="11" t="n">
        <v>264.84</v>
      </c>
      <c r="L226" s="11" t="n">
        <v>1.35</v>
      </c>
      <c r="M226" s="11" t="n">
        <v>2.7</v>
      </c>
      <c r="N226" s="11" t="n">
        <v>1</v>
      </c>
      <c r="O226" s="11" t="n">
        <v>9</v>
      </c>
      <c r="P226" s="11" t="n">
        <v>7.68</v>
      </c>
      <c r="Q226" s="11" t="n">
        <v>57.6</v>
      </c>
      <c r="R226" s="11" t="n">
        <f aca="false">SUM(K226:Q226)</f>
        <v>344.17</v>
      </c>
      <c r="S226" s="11" t="n">
        <f aca="false">R226/(1-Resumo!$C$6)</f>
        <v>391.102272727273</v>
      </c>
      <c r="T226" s="11" t="n">
        <f aca="false">S226-J226</f>
        <v>137.522272727273</v>
      </c>
      <c r="U226" s="12" t="n">
        <f aca="false">IFERROR(S226/J226-1,0)</f>
        <v>0.542323025188393</v>
      </c>
      <c r="V226" s="2" t="str">
        <f aca="false">IF(S226&lt;J226,"SIM","NÃO")</f>
        <v>NÃO</v>
      </c>
      <c r="W226" s="2" t="n">
        <v>11</v>
      </c>
      <c r="X226" s="2" t="s">
        <v>156</v>
      </c>
    </row>
    <row r="227" customFormat="false" ht="15" hidden="false" customHeight="false" outlineLevel="0" collapsed="false">
      <c r="A227" s="2" t="n">
        <v>361660810</v>
      </c>
      <c r="B227" s="29" t="n">
        <v>46221.376099537</v>
      </c>
      <c r="C227" s="2" t="s">
        <v>153</v>
      </c>
      <c r="D227" s="2" t="s">
        <v>410</v>
      </c>
      <c r="E227" s="2" t="s">
        <v>78</v>
      </c>
      <c r="F227" s="2" t="s">
        <v>107</v>
      </c>
      <c r="G227" s="30" t="n">
        <v>37.6</v>
      </c>
      <c r="H227" s="11" t="n">
        <v>379.99</v>
      </c>
      <c r="I227" s="11" t="s">
        <v>155</v>
      </c>
      <c r="J227" s="11" t="n">
        <v>91.68</v>
      </c>
      <c r="K227" s="11" t="n">
        <v>93.97</v>
      </c>
      <c r="L227" s="11" t="n">
        <v>0.38</v>
      </c>
      <c r="M227" s="11" t="n">
        <v>0.76</v>
      </c>
      <c r="N227" s="11" t="n">
        <v>1</v>
      </c>
      <c r="O227" s="11" t="n">
        <v>4.5</v>
      </c>
      <c r="P227" s="11" t="n">
        <v>2.28</v>
      </c>
      <c r="Q227" s="11" t="n">
        <v>17.1</v>
      </c>
      <c r="R227" s="11" t="n">
        <f aca="false">SUM(K227:Q227)</f>
        <v>119.99</v>
      </c>
      <c r="S227" s="11" t="n">
        <f aca="false">R227/(1-Resumo!$C$6)</f>
        <v>136.352272727273</v>
      </c>
      <c r="T227" s="11" t="n">
        <f aca="false">S227-J227</f>
        <v>44.6722727272727</v>
      </c>
      <c r="U227" s="12" t="n">
        <f aca="false">IFERROR(S227/J227-1,0)</f>
        <v>0.487263009677931</v>
      </c>
      <c r="V227" s="2" t="str">
        <f aca="false">IF(S227&lt;J227,"SIM","NÃO")</f>
        <v>NÃO</v>
      </c>
      <c r="W227" s="2" t="n">
        <v>5</v>
      </c>
      <c r="X227" s="2" t="s">
        <v>156</v>
      </c>
    </row>
    <row r="228" customFormat="false" ht="15" hidden="false" customHeight="false" outlineLevel="0" collapsed="false">
      <c r="A228" s="2" t="n">
        <v>361679008</v>
      </c>
      <c r="B228" s="29" t="n">
        <v>46221.4359722222</v>
      </c>
      <c r="C228" s="2" t="s">
        <v>153</v>
      </c>
      <c r="D228" s="2" t="s">
        <v>411</v>
      </c>
      <c r="E228" s="2" t="s">
        <v>412</v>
      </c>
      <c r="F228" s="2" t="s">
        <v>110</v>
      </c>
      <c r="G228" s="30" t="n">
        <v>66.8</v>
      </c>
      <c r="H228" s="11" t="n">
        <v>639.99</v>
      </c>
      <c r="I228" s="11" t="s">
        <v>350</v>
      </c>
      <c r="J228" s="11" t="n">
        <v>156.4</v>
      </c>
      <c r="K228" s="11" t="n">
        <v>166.05</v>
      </c>
      <c r="L228" s="11" t="n">
        <v>0.64</v>
      </c>
      <c r="M228" s="11" t="n">
        <v>1.28</v>
      </c>
      <c r="N228" s="11" t="n">
        <v>1</v>
      </c>
      <c r="O228" s="11" t="n">
        <v>4.5</v>
      </c>
      <c r="P228" s="11" t="n">
        <v>4.02</v>
      </c>
      <c r="Q228" s="11" t="n">
        <v>30.15</v>
      </c>
      <c r="R228" s="11" t="n">
        <f aca="false">SUM(K228:Q228)</f>
        <v>207.64</v>
      </c>
      <c r="S228" s="11" t="n">
        <f aca="false">R228/(1-Resumo!$C$6)</f>
        <v>235.954545454545</v>
      </c>
      <c r="T228" s="11" t="n">
        <f aca="false">S228-J228</f>
        <v>79.5545454545455</v>
      </c>
      <c r="U228" s="12" t="n">
        <f aca="false">IFERROR(S228/J228-1,0)</f>
        <v>0.50866077656359</v>
      </c>
      <c r="V228" s="2" t="str">
        <f aca="false">IF(S228&lt;J228,"SIM","NÃO")</f>
        <v>NÃO</v>
      </c>
      <c r="W228" s="2" t="n">
        <v>10</v>
      </c>
      <c r="X228" s="2" t="s">
        <v>161</v>
      </c>
    </row>
    <row r="229" customFormat="false" ht="15" hidden="false" customHeight="false" outlineLevel="0" collapsed="false">
      <c r="A229" s="2" t="n">
        <v>361687594</v>
      </c>
      <c r="B229" s="29" t="n">
        <v>46221.4621412037</v>
      </c>
      <c r="C229" s="2" t="s">
        <v>158</v>
      </c>
      <c r="D229" s="2" t="s">
        <v>413</v>
      </c>
      <c r="E229" s="2" t="s">
        <v>188</v>
      </c>
      <c r="F229" s="2" t="s">
        <v>112</v>
      </c>
      <c r="G229" s="30" t="n">
        <v>81.7</v>
      </c>
      <c r="H229" s="11" t="n">
        <v>599.99</v>
      </c>
      <c r="I229" s="11" t="s">
        <v>350</v>
      </c>
      <c r="J229" s="11" t="n">
        <v>185.97</v>
      </c>
      <c r="K229" s="11" t="n">
        <v>197.35</v>
      </c>
      <c r="L229" s="11" t="n">
        <v>0.6</v>
      </c>
      <c r="M229" s="11" t="n">
        <v>1.2</v>
      </c>
      <c r="N229" s="11" t="n">
        <v>1</v>
      </c>
      <c r="O229" s="11" t="n">
        <v>4.5</v>
      </c>
      <c r="P229" s="11" t="n">
        <v>4.92</v>
      </c>
      <c r="Q229" s="11" t="n">
        <v>36.9</v>
      </c>
      <c r="R229" s="11" t="n">
        <f aca="false">SUM(K229:Q229)</f>
        <v>246.47</v>
      </c>
      <c r="S229" s="11" t="n">
        <f aca="false">R229/(1-Resumo!$C$6)</f>
        <v>280.079545454545</v>
      </c>
      <c r="T229" s="11" t="n">
        <f aca="false">S229-J229</f>
        <v>94.1095454545454</v>
      </c>
      <c r="U229" s="12" t="n">
        <f aca="false">IFERROR(S229/J229-1,0)</f>
        <v>0.506046918613462</v>
      </c>
      <c r="V229" s="2" t="str">
        <f aca="false">IF(S229&lt;J229,"SIM","NÃO")</f>
        <v>NÃO</v>
      </c>
      <c r="W229" s="2" t="n">
        <v>10</v>
      </c>
      <c r="X229" s="2" t="s">
        <v>161</v>
      </c>
    </row>
    <row r="230" customFormat="false" ht="15" hidden="false" customHeight="false" outlineLevel="0" collapsed="false">
      <c r="A230" s="2" t="n">
        <v>361687976</v>
      </c>
      <c r="B230" s="29" t="n">
        <v>46221.4631134259</v>
      </c>
      <c r="C230" s="2" t="s">
        <v>153</v>
      </c>
      <c r="D230" s="2" t="s">
        <v>414</v>
      </c>
      <c r="E230" s="2" t="s">
        <v>79</v>
      </c>
      <c r="F230" s="2" t="s">
        <v>106</v>
      </c>
      <c r="G230" s="30" t="n">
        <v>27.4</v>
      </c>
      <c r="H230" s="11" t="n">
        <v>359.99</v>
      </c>
      <c r="I230" s="11" t="s">
        <v>350</v>
      </c>
      <c r="J230" s="11" t="n">
        <v>99.45</v>
      </c>
      <c r="K230" s="11" t="n">
        <v>100.58</v>
      </c>
      <c r="L230" s="11" t="n">
        <v>0.36</v>
      </c>
      <c r="M230" s="11" t="n">
        <v>0.72</v>
      </c>
      <c r="N230" s="11" t="n">
        <v>1</v>
      </c>
      <c r="O230" s="11" t="n">
        <v>4.5</v>
      </c>
      <c r="P230" s="11" t="n">
        <v>1.68</v>
      </c>
      <c r="Q230" s="11" t="n">
        <v>12.6</v>
      </c>
      <c r="R230" s="11" t="n">
        <f aca="false">SUM(K230:Q230)</f>
        <v>121.44</v>
      </c>
      <c r="S230" s="11" t="n">
        <f aca="false">R230/(1-Resumo!$C$6)</f>
        <v>138</v>
      </c>
      <c r="T230" s="11" t="n">
        <f aca="false">S230-J230</f>
        <v>38.55</v>
      </c>
      <c r="U230" s="12" t="n">
        <f aca="false">IFERROR(S230/J230-1,0)</f>
        <v>0.38763197586727</v>
      </c>
      <c r="V230" s="2" t="str">
        <f aca="false">IF(S230&lt;J230,"SIM","NÃO")</f>
        <v>NÃO</v>
      </c>
      <c r="W230" s="2" t="n">
        <v>7</v>
      </c>
      <c r="X230" s="2" t="s">
        <v>156</v>
      </c>
    </row>
    <row r="231" customFormat="false" ht="15" hidden="false" customHeight="false" outlineLevel="0" collapsed="false">
      <c r="A231" s="2" t="n">
        <v>361726758</v>
      </c>
      <c r="B231" s="29" t="n">
        <v>46221.5580439815</v>
      </c>
      <c r="C231" s="2" t="s">
        <v>153</v>
      </c>
      <c r="D231" s="2" t="s">
        <v>415</v>
      </c>
      <c r="E231" s="2" t="s">
        <v>85</v>
      </c>
      <c r="F231" s="2" t="s">
        <v>106</v>
      </c>
      <c r="G231" s="30" t="n">
        <v>31</v>
      </c>
      <c r="H231" s="11" t="n">
        <v>299.99</v>
      </c>
      <c r="I231" s="11" t="s">
        <v>350</v>
      </c>
      <c r="J231" s="11" t="n">
        <v>108.45</v>
      </c>
      <c r="K231" s="11" t="n">
        <v>138.29</v>
      </c>
      <c r="L231" s="11" t="n">
        <v>0.3</v>
      </c>
      <c r="M231" s="11" t="n">
        <v>0.6</v>
      </c>
      <c r="N231" s="11" t="n">
        <v>1</v>
      </c>
      <c r="O231" s="11" t="n">
        <v>4.5</v>
      </c>
      <c r="P231" s="11" t="n">
        <v>1.86</v>
      </c>
      <c r="Q231" s="11" t="n">
        <v>13.95</v>
      </c>
      <c r="R231" s="11" t="n">
        <f aca="false">SUM(K231:Q231)</f>
        <v>160.5</v>
      </c>
      <c r="S231" s="11" t="n">
        <f aca="false">R231/(1-Resumo!$C$6)</f>
        <v>182.386363636364</v>
      </c>
      <c r="T231" s="11" t="n">
        <f aca="false">S231-J231</f>
        <v>73.9363636363636</v>
      </c>
      <c r="U231" s="12" t="n">
        <f aca="false">IFERROR(S231/J231-1,0)</f>
        <v>0.681755312460706</v>
      </c>
      <c r="V231" s="2" t="str">
        <f aca="false">IF(S231&lt;J231,"SIM","NÃO")</f>
        <v>NÃO</v>
      </c>
      <c r="W231" s="2" t="n">
        <v>11</v>
      </c>
      <c r="X231" s="2" t="s">
        <v>156</v>
      </c>
    </row>
    <row r="232" customFormat="false" ht="15" hidden="false" customHeight="false" outlineLevel="0" collapsed="false">
      <c r="A232" s="2" t="n">
        <v>361751065</v>
      </c>
      <c r="B232" s="29" t="n">
        <v>46221.6259606482</v>
      </c>
      <c r="C232" s="2" t="s">
        <v>158</v>
      </c>
      <c r="D232" s="2" t="s">
        <v>416</v>
      </c>
      <c r="E232" s="2" t="s">
        <v>160</v>
      </c>
      <c r="F232" s="2" t="s">
        <v>107</v>
      </c>
      <c r="G232" s="30" t="n">
        <v>37.6</v>
      </c>
      <c r="H232" s="11" t="n">
        <v>404.19</v>
      </c>
      <c r="I232" s="11" t="s">
        <v>350</v>
      </c>
      <c r="J232" s="11" t="n">
        <v>113.9</v>
      </c>
      <c r="K232" s="11" t="n">
        <v>93.97</v>
      </c>
      <c r="L232" s="11" t="n">
        <v>0.4042</v>
      </c>
      <c r="M232" s="11" t="n">
        <v>0.8084</v>
      </c>
      <c r="N232" s="11" t="n">
        <v>1</v>
      </c>
      <c r="O232" s="11" t="n">
        <v>4.5</v>
      </c>
      <c r="P232" s="11" t="n">
        <v>2.28</v>
      </c>
      <c r="Q232" s="11" t="n">
        <v>17.1</v>
      </c>
      <c r="R232" s="11" t="n">
        <f aca="false">SUM(K232:Q232)</f>
        <v>120.0626</v>
      </c>
      <c r="S232" s="11" t="n">
        <f aca="false">R232/(1-Resumo!$C$6)</f>
        <v>136.434772727273</v>
      </c>
      <c r="T232" s="11" t="n">
        <f aca="false">S232-J232</f>
        <v>22.5347727272727</v>
      </c>
      <c r="U232" s="12" t="n">
        <f aca="false">IFERROR(S232/J232-1,0)</f>
        <v>0.197846994971666</v>
      </c>
      <c r="V232" s="2" t="str">
        <f aca="false">IF(S232&lt;J232,"SIM","NÃO")</f>
        <v>NÃO</v>
      </c>
      <c r="W232" s="2" t="n">
        <v>5</v>
      </c>
      <c r="X232" s="2" t="s">
        <v>161</v>
      </c>
    </row>
    <row r="233" customFormat="false" ht="15" hidden="false" customHeight="false" outlineLevel="0" collapsed="false">
      <c r="A233" s="2" t="n">
        <v>361751893</v>
      </c>
      <c r="B233" s="29" t="n">
        <v>46221.6286689815</v>
      </c>
      <c r="C233" s="2" t="s">
        <v>153</v>
      </c>
      <c r="D233" s="2" t="s">
        <v>417</v>
      </c>
      <c r="E233" s="2" t="s">
        <v>78</v>
      </c>
      <c r="F233" s="2" t="s">
        <v>106</v>
      </c>
      <c r="G233" s="30" t="n">
        <v>31.9</v>
      </c>
      <c r="H233" s="11" t="n">
        <v>568.28</v>
      </c>
      <c r="I233" s="11" t="s">
        <v>350</v>
      </c>
      <c r="J233" s="11" t="n">
        <v>83.51</v>
      </c>
      <c r="K233" s="11" t="n">
        <v>82.21</v>
      </c>
      <c r="L233" s="11" t="n">
        <v>0.5683</v>
      </c>
      <c r="M233" s="11" t="n">
        <v>1.1366</v>
      </c>
      <c r="N233" s="11" t="n">
        <v>1</v>
      </c>
      <c r="O233" s="11" t="n">
        <v>4.5</v>
      </c>
      <c r="P233" s="11" t="n">
        <v>1.92</v>
      </c>
      <c r="Q233" s="11" t="n">
        <v>14.4</v>
      </c>
      <c r="R233" s="11" t="n">
        <f aca="false">SUM(K233:Q233)</f>
        <v>105.7349</v>
      </c>
      <c r="S233" s="11" t="n">
        <f aca="false">R233/(1-Resumo!$C$6)</f>
        <v>120.153295454545</v>
      </c>
      <c r="T233" s="11" t="n">
        <f aca="false">S233-J233</f>
        <v>36.6432954545454</v>
      </c>
      <c r="U233" s="12" t="n">
        <f aca="false">IFERROR(S233/J233-1,0)</f>
        <v>0.438789312112866</v>
      </c>
      <c r="V233" s="2" t="str">
        <f aca="false">IF(S233&lt;J233,"SIM","NÃO")</f>
        <v>NÃO</v>
      </c>
      <c r="W233" s="2" t="n">
        <v>5</v>
      </c>
      <c r="X233" s="2" t="s">
        <v>156</v>
      </c>
    </row>
    <row r="234" customFormat="false" ht="15" hidden="false" customHeight="false" outlineLevel="0" collapsed="false">
      <c r="A234" s="2" t="n">
        <v>361762525</v>
      </c>
      <c r="B234" s="29" t="n">
        <v>46221.6542592593</v>
      </c>
      <c r="C234" s="2" t="s">
        <v>153</v>
      </c>
      <c r="D234" s="2" t="s">
        <v>418</v>
      </c>
      <c r="E234" s="2" t="s">
        <v>96</v>
      </c>
      <c r="F234" s="2" t="s">
        <v>107</v>
      </c>
      <c r="G234" s="30" t="n">
        <v>38.15</v>
      </c>
      <c r="H234" s="11" t="n">
        <v>459.99</v>
      </c>
      <c r="I234" s="11" t="s">
        <v>350</v>
      </c>
      <c r="J234" s="11" t="n">
        <v>123.93</v>
      </c>
      <c r="K234" s="11" t="n">
        <v>125.63</v>
      </c>
      <c r="L234" s="11" t="n">
        <v>0.46</v>
      </c>
      <c r="M234" s="11" t="n">
        <v>0.92</v>
      </c>
      <c r="N234" s="11" t="n">
        <v>1</v>
      </c>
      <c r="O234" s="11" t="n">
        <v>4.5</v>
      </c>
      <c r="P234" s="11" t="n">
        <v>2.34</v>
      </c>
      <c r="Q234" s="11" t="n">
        <v>17.55</v>
      </c>
      <c r="R234" s="11" t="n">
        <f aca="false">SUM(K234:Q234)</f>
        <v>152.4</v>
      </c>
      <c r="S234" s="11" t="n">
        <f aca="false">R234/(1-Resumo!$C$6)</f>
        <v>173.181818181818</v>
      </c>
      <c r="T234" s="11" t="n">
        <f aca="false">S234-J234</f>
        <v>49.2518181818182</v>
      </c>
      <c r="U234" s="12" t="n">
        <f aca="false">IFERROR(S234/J234-1,0)</f>
        <v>0.397416430096169</v>
      </c>
      <c r="V234" s="2" t="str">
        <f aca="false">IF(S234&lt;J234,"SIM","NÃO")</f>
        <v>NÃO</v>
      </c>
      <c r="W234" s="2" t="n">
        <v>10</v>
      </c>
      <c r="X234" s="2" t="s">
        <v>156</v>
      </c>
    </row>
    <row r="235" customFormat="false" ht="15" hidden="false" customHeight="false" outlineLevel="0" collapsed="false">
      <c r="A235" s="2" t="n">
        <v>361773470</v>
      </c>
      <c r="B235" s="29" t="n">
        <v>46221.6788657407</v>
      </c>
      <c r="C235" s="2" t="s">
        <v>158</v>
      </c>
      <c r="D235" s="2" t="s">
        <v>419</v>
      </c>
      <c r="E235" s="2" t="s">
        <v>420</v>
      </c>
      <c r="F235" s="2" t="s">
        <v>110</v>
      </c>
      <c r="G235" s="30" t="n">
        <v>61.4</v>
      </c>
      <c r="H235" s="11" t="n">
        <v>863.2</v>
      </c>
      <c r="I235" s="11" t="s">
        <v>350</v>
      </c>
      <c r="J235" s="11" t="n">
        <v>154.91</v>
      </c>
      <c r="K235" s="11" t="n">
        <v>166.05</v>
      </c>
      <c r="L235" s="11" t="n">
        <v>0.8632</v>
      </c>
      <c r="M235" s="11" t="n">
        <v>1.7264</v>
      </c>
      <c r="N235" s="11" t="n">
        <v>1</v>
      </c>
      <c r="O235" s="11" t="n">
        <v>4.5</v>
      </c>
      <c r="P235" s="11" t="n">
        <v>3.72</v>
      </c>
      <c r="Q235" s="11" t="n">
        <v>27.9</v>
      </c>
      <c r="R235" s="11" t="n">
        <f aca="false">SUM(K235:Q235)</f>
        <v>205.7596</v>
      </c>
      <c r="S235" s="11" t="n">
        <f aca="false">R235/(1-Resumo!$C$6)</f>
        <v>233.817727272727</v>
      </c>
      <c r="T235" s="11" t="n">
        <f aca="false">S235-J235</f>
        <v>78.9077272727273</v>
      </c>
      <c r="U235" s="12" t="n">
        <f aca="false">IFERROR(S235/J235-1,0)</f>
        <v>0.509377879237798</v>
      </c>
      <c r="V235" s="2" t="str">
        <f aca="false">IF(S235&lt;J235,"SIM","NÃO")</f>
        <v>NÃO</v>
      </c>
      <c r="W235" s="2" t="n">
        <v>10</v>
      </c>
      <c r="X235" s="2" t="s">
        <v>161</v>
      </c>
    </row>
    <row r="236" customFormat="false" ht="15" hidden="false" customHeight="false" outlineLevel="0" collapsed="false">
      <c r="A236" s="2" t="n">
        <v>361773277</v>
      </c>
      <c r="B236" s="29" t="n">
        <v>46221.681400463</v>
      </c>
      <c r="C236" s="2" t="s">
        <v>194</v>
      </c>
      <c r="D236" s="2" t="s">
        <v>421</v>
      </c>
      <c r="E236" s="2" t="s">
        <v>86</v>
      </c>
      <c r="F236" s="2" t="s">
        <v>112</v>
      </c>
      <c r="G236" s="30" t="n">
        <v>83.9</v>
      </c>
      <c r="H236" s="11" t="n">
        <v>1008.59</v>
      </c>
      <c r="I236" s="11" t="s">
        <v>350</v>
      </c>
      <c r="J236" s="11" t="n">
        <v>169.27</v>
      </c>
      <c r="K236" s="11" t="n">
        <v>167.99</v>
      </c>
      <c r="L236" s="11" t="n">
        <v>1.0086</v>
      </c>
      <c r="M236" s="11" t="n">
        <v>2.0172</v>
      </c>
      <c r="N236" s="11" t="n">
        <v>1</v>
      </c>
      <c r="O236" s="11" t="n">
        <v>4.5</v>
      </c>
      <c r="P236" s="11" t="n">
        <v>5.04</v>
      </c>
      <c r="Q236" s="11" t="n">
        <v>37.8</v>
      </c>
      <c r="R236" s="11" t="n">
        <f aca="false">SUM(K236:Q236)</f>
        <v>219.3558</v>
      </c>
      <c r="S236" s="11" t="n">
        <f aca="false">R236/(1-Resumo!$C$6)</f>
        <v>249.267954545455</v>
      </c>
      <c r="T236" s="11" t="n">
        <f aca="false">S236-J236</f>
        <v>79.9979545454545</v>
      </c>
      <c r="U236" s="12" t="n">
        <f aca="false">IFERROR(S236/J236-1,0)</f>
        <v>0.472605627373158</v>
      </c>
      <c r="V236" s="2" t="str">
        <f aca="false">IF(S236&lt;J236,"SIM","NÃO")</f>
        <v>NÃO</v>
      </c>
      <c r="W236" s="2" t="n">
        <v>5</v>
      </c>
      <c r="X236" s="2" t="s">
        <v>156</v>
      </c>
    </row>
    <row r="237" customFormat="false" ht="15" hidden="false" customHeight="false" outlineLevel="0" collapsed="false">
      <c r="A237" s="2" t="n">
        <v>361780299</v>
      </c>
      <c r="B237" s="29" t="n">
        <v>46221.6937731481</v>
      </c>
      <c r="C237" s="2" t="s">
        <v>153</v>
      </c>
      <c r="D237" s="2" t="s">
        <v>422</v>
      </c>
      <c r="E237" s="2" t="s">
        <v>90</v>
      </c>
      <c r="F237" s="2" t="s">
        <v>109</v>
      </c>
      <c r="G237" s="30" t="n">
        <v>58.6</v>
      </c>
      <c r="H237" s="11" t="n">
        <v>769.99</v>
      </c>
      <c r="I237" s="11" t="s">
        <v>350</v>
      </c>
      <c r="J237" s="11" t="n">
        <v>145.42</v>
      </c>
      <c r="K237" s="11" t="n">
        <v>128.14</v>
      </c>
      <c r="L237" s="11" t="n">
        <v>0.77</v>
      </c>
      <c r="M237" s="11" t="n">
        <v>1.54</v>
      </c>
      <c r="N237" s="11" t="n">
        <v>1</v>
      </c>
      <c r="O237" s="11" t="n">
        <v>4.5</v>
      </c>
      <c r="P237" s="11" t="n">
        <v>3.54</v>
      </c>
      <c r="Q237" s="11" t="n">
        <v>26.55</v>
      </c>
      <c r="R237" s="11" t="n">
        <f aca="false">SUM(K237:Q237)</f>
        <v>166.04</v>
      </c>
      <c r="S237" s="11" t="n">
        <f aca="false">R237/(1-Resumo!$C$6)</f>
        <v>188.681818181818</v>
      </c>
      <c r="T237" s="11" t="n">
        <f aca="false">S237-J237</f>
        <v>43.2618181818182</v>
      </c>
      <c r="U237" s="12" t="n">
        <f aca="false">IFERROR(S237/J237-1,0)</f>
        <v>0.297495655218114</v>
      </c>
      <c r="V237" s="2" t="str">
        <f aca="false">IF(S237&lt;J237,"SIM","NÃO")</f>
        <v>NÃO</v>
      </c>
      <c r="W237" s="2" t="n">
        <v>7</v>
      </c>
      <c r="X237" s="2" t="s">
        <v>156</v>
      </c>
    </row>
    <row r="238" customFormat="false" ht="15" hidden="false" customHeight="false" outlineLevel="0" collapsed="false">
      <c r="A238" s="2" t="n">
        <v>361794393</v>
      </c>
      <c r="B238" s="29" t="n">
        <v>46221.7251273148</v>
      </c>
      <c r="C238" s="2" t="s">
        <v>158</v>
      </c>
      <c r="D238" s="2" t="s">
        <v>423</v>
      </c>
      <c r="E238" s="2" t="s">
        <v>78</v>
      </c>
      <c r="F238" s="2" t="s">
        <v>106</v>
      </c>
      <c r="G238" s="30" t="n">
        <v>33</v>
      </c>
      <c r="H238" s="11" t="n">
        <v>399.99</v>
      </c>
      <c r="I238" s="11" t="s">
        <v>350</v>
      </c>
      <c r="J238" s="11" t="n">
        <v>83.23</v>
      </c>
      <c r="K238" s="11" t="n">
        <v>82.21</v>
      </c>
      <c r="L238" s="11" t="n">
        <v>0.4</v>
      </c>
      <c r="M238" s="11" t="n">
        <v>0.8</v>
      </c>
      <c r="N238" s="11" t="n">
        <v>1</v>
      </c>
      <c r="O238" s="11" t="n">
        <v>4.5</v>
      </c>
      <c r="P238" s="11" t="n">
        <v>1.98</v>
      </c>
      <c r="Q238" s="11" t="n">
        <v>14.85</v>
      </c>
      <c r="R238" s="11" t="n">
        <f aca="false">SUM(K238:Q238)</f>
        <v>105.74</v>
      </c>
      <c r="S238" s="11" t="n">
        <f aca="false">R238/(1-Resumo!$C$6)</f>
        <v>120.159090909091</v>
      </c>
      <c r="T238" s="11" t="n">
        <f aca="false">S238-J238</f>
        <v>36.9290909090909</v>
      </c>
      <c r="U238" s="12" t="n">
        <f aca="false">IFERROR(S238/J238-1,0)</f>
        <v>0.443699278013828</v>
      </c>
      <c r="V238" s="2" t="str">
        <f aca="false">IF(S238&lt;J238,"SIM","NÃO")</f>
        <v>NÃO</v>
      </c>
      <c r="W238" s="2" t="n">
        <v>5</v>
      </c>
      <c r="X238" s="2" t="s">
        <v>156</v>
      </c>
    </row>
    <row r="239" customFormat="false" ht="15" hidden="false" customHeight="false" outlineLevel="0" collapsed="false">
      <c r="A239" s="2" t="n">
        <v>361825833</v>
      </c>
      <c r="B239" s="29" t="n">
        <v>46221.794525463</v>
      </c>
      <c r="C239" s="2" t="s">
        <v>198</v>
      </c>
      <c r="D239" s="2" t="s">
        <v>424</v>
      </c>
      <c r="E239" s="2" t="s">
        <v>78</v>
      </c>
      <c r="F239" s="2" t="s">
        <v>109</v>
      </c>
      <c r="G239" s="30" t="n">
        <v>55</v>
      </c>
      <c r="H239" s="11" t="n">
        <v>719.98</v>
      </c>
      <c r="I239" s="11" t="s">
        <v>155</v>
      </c>
      <c r="J239" s="11" t="n">
        <v>114.6</v>
      </c>
      <c r="K239" s="11" t="n">
        <v>112.3</v>
      </c>
      <c r="L239" s="11" t="n">
        <v>0.72</v>
      </c>
      <c r="M239" s="11" t="n">
        <v>1.44</v>
      </c>
      <c r="N239" s="11" t="n">
        <v>1</v>
      </c>
      <c r="O239" s="11" t="n">
        <v>4.5</v>
      </c>
      <c r="P239" s="11" t="n">
        <v>3.3</v>
      </c>
      <c r="Q239" s="11" t="n">
        <v>24.75</v>
      </c>
      <c r="R239" s="11" t="n">
        <f aca="false">SUM(K239:Q239)</f>
        <v>148.01</v>
      </c>
      <c r="S239" s="11" t="n">
        <f aca="false">R239/(1-Resumo!$C$6)</f>
        <v>168.193181818182</v>
      </c>
      <c r="T239" s="11" t="n">
        <f aca="false">S239-J239</f>
        <v>53.5931818181818</v>
      </c>
      <c r="U239" s="12" t="n">
        <f aca="false">IFERROR(S239/J239-1,0)</f>
        <v>0.467654291607171</v>
      </c>
      <c r="V239" s="2" t="str">
        <f aca="false">IF(S239&lt;J239,"SIM","NÃO")</f>
        <v>NÃO</v>
      </c>
      <c r="W239" s="2" t="n">
        <v>5</v>
      </c>
      <c r="X239" s="2" t="s">
        <v>156</v>
      </c>
    </row>
    <row r="240" customFormat="false" ht="15" hidden="false" customHeight="false" outlineLevel="0" collapsed="false">
      <c r="A240" s="2" t="n">
        <v>361834758</v>
      </c>
      <c r="B240" s="29" t="n">
        <v>46221.8145949074</v>
      </c>
      <c r="C240" s="2" t="s">
        <v>153</v>
      </c>
      <c r="D240" s="2" t="s">
        <v>425</v>
      </c>
      <c r="E240" s="2" t="s">
        <v>81</v>
      </c>
      <c r="F240" s="2" t="s">
        <v>106</v>
      </c>
      <c r="G240" s="30" t="n">
        <v>31.9</v>
      </c>
      <c r="H240" s="11" t="n">
        <v>568.28</v>
      </c>
      <c r="I240" s="11" t="s">
        <v>155</v>
      </c>
      <c r="J240" s="11" t="n">
        <v>102.11</v>
      </c>
      <c r="K240" s="11" t="n">
        <v>82.21</v>
      </c>
      <c r="L240" s="11" t="n">
        <v>0.5683</v>
      </c>
      <c r="M240" s="11" t="n">
        <v>1.1366</v>
      </c>
      <c r="N240" s="11" t="n">
        <v>1</v>
      </c>
      <c r="O240" s="11" t="n">
        <v>4.5</v>
      </c>
      <c r="P240" s="11" t="n">
        <v>1.92</v>
      </c>
      <c r="Q240" s="11" t="n">
        <v>14.4</v>
      </c>
      <c r="R240" s="11" t="n">
        <f aca="false">SUM(K240:Q240)</f>
        <v>105.7349</v>
      </c>
      <c r="S240" s="11" t="n">
        <f aca="false">R240/(1-Resumo!$C$6)</f>
        <v>120.153295454545</v>
      </c>
      <c r="T240" s="11" t="n">
        <f aca="false">S240-J240</f>
        <v>18.0432954545454</v>
      </c>
      <c r="U240" s="12" t="n">
        <f aca="false">IFERROR(S240/J240-1,0)</f>
        <v>0.176704489810454</v>
      </c>
      <c r="V240" s="2" t="str">
        <f aca="false">IF(S240&lt;J240,"SIM","NÃO")</f>
        <v>NÃO</v>
      </c>
      <c r="W240" s="2" t="n">
        <v>5</v>
      </c>
      <c r="X240" s="2" t="s">
        <v>156</v>
      </c>
    </row>
    <row r="241" customFormat="false" ht="15" hidden="false" customHeight="false" outlineLevel="0" collapsed="false">
      <c r="A241" s="2" t="n">
        <v>361862838</v>
      </c>
      <c r="B241" s="29" t="n">
        <v>46221.8712847222</v>
      </c>
      <c r="C241" s="2" t="s">
        <v>153</v>
      </c>
      <c r="D241" s="2" t="s">
        <v>426</v>
      </c>
      <c r="E241" s="2" t="s">
        <v>85</v>
      </c>
      <c r="F241" s="2" t="s">
        <v>109</v>
      </c>
      <c r="G241" s="30" t="n">
        <v>58.6</v>
      </c>
      <c r="H241" s="11" t="n">
        <v>769.99</v>
      </c>
      <c r="I241" s="11" t="s">
        <v>350</v>
      </c>
      <c r="J241" s="11" t="n">
        <v>145.42</v>
      </c>
      <c r="K241" s="11" t="n">
        <v>162.04</v>
      </c>
      <c r="L241" s="11" t="n">
        <v>0.77</v>
      </c>
      <c r="M241" s="11" t="n">
        <v>1.54</v>
      </c>
      <c r="N241" s="11" t="n">
        <v>1</v>
      </c>
      <c r="O241" s="11" t="n">
        <v>4.5</v>
      </c>
      <c r="P241" s="11" t="n">
        <v>3.54</v>
      </c>
      <c r="Q241" s="11" t="n">
        <v>26.55</v>
      </c>
      <c r="R241" s="11" t="n">
        <f aca="false">SUM(K241:Q241)</f>
        <v>199.94</v>
      </c>
      <c r="S241" s="11" t="n">
        <f aca="false">R241/(1-Resumo!$C$6)</f>
        <v>227.204545454545</v>
      </c>
      <c r="T241" s="11" t="n">
        <f aca="false">S241-J241</f>
        <v>81.7845454545455</v>
      </c>
      <c r="U241" s="12" t="n">
        <f aca="false">IFERROR(S241/J241-1,0)</f>
        <v>0.562402320551131</v>
      </c>
      <c r="V241" s="2" t="str">
        <f aca="false">IF(S241&lt;J241,"SIM","NÃO")</f>
        <v>NÃO</v>
      </c>
      <c r="W241" s="2" t="n">
        <v>11</v>
      </c>
      <c r="X241" s="2" t="s">
        <v>156</v>
      </c>
    </row>
    <row r="242" customFormat="false" ht="15" hidden="false" customHeight="false" outlineLevel="0" collapsed="false">
      <c r="A242" s="2" t="n">
        <v>361867913</v>
      </c>
      <c r="B242" s="29" t="n">
        <v>46221.8801273148</v>
      </c>
      <c r="C242" s="2" t="s">
        <v>153</v>
      </c>
      <c r="D242" s="2" t="s">
        <v>427</v>
      </c>
      <c r="E242" s="2" t="s">
        <v>78</v>
      </c>
      <c r="F242" s="2" t="s">
        <v>105</v>
      </c>
      <c r="G242" s="30" t="n">
        <v>19.5</v>
      </c>
      <c r="H242" s="11" t="n">
        <v>389.99</v>
      </c>
      <c r="I242" s="11" t="s">
        <v>350</v>
      </c>
      <c r="J242" s="11" t="n">
        <v>66.66</v>
      </c>
      <c r="K242" s="11" t="n">
        <v>46.98</v>
      </c>
      <c r="L242" s="11" t="n">
        <v>0.39</v>
      </c>
      <c r="M242" s="11" t="n">
        <v>0.78</v>
      </c>
      <c r="N242" s="11" t="n">
        <v>1</v>
      </c>
      <c r="O242" s="11" t="n">
        <v>4.5</v>
      </c>
      <c r="P242" s="11" t="n">
        <v>1.2</v>
      </c>
      <c r="Q242" s="11" t="n">
        <v>9</v>
      </c>
      <c r="R242" s="11" t="n">
        <f aca="false">SUM(K242:Q242)</f>
        <v>63.85</v>
      </c>
      <c r="S242" s="11" t="n">
        <f aca="false">R242/(1-Resumo!$C$6)</f>
        <v>72.5568181818182</v>
      </c>
      <c r="T242" s="11" t="n">
        <f aca="false">S242-J242</f>
        <v>5.89681818181818</v>
      </c>
      <c r="U242" s="12" t="n">
        <f aca="false">IFERROR(S242/J242-1,0)</f>
        <v>0.0884611188391566</v>
      </c>
      <c r="V242" s="2" t="str">
        <f aca="false">IF(S242&lt;J242,"SIM","NÃO")</f>
        <v>NÃO</v>
      </c>
      <c r="W242" s="2" t="n">
        <v>5</v>
      </c>
      <c r="X242" s="2" t="s">
        <v>156</v>
      </c>
    </row>
    <row r="243" customFormat="false" ht="15" hidden="false" customHeight="false" outlineLevel="0" collapsed="false">
      <c r="A243" s="2" t="n">
        <v>361890824</v>
      </c>
      <c r="B243" s="29" t="n">
        <v>46221.9493402778</v>
      </c>
      <c r="C243" s="2" t="s">
        <v>191</v>
      </c>
      <c r="D243" s="2" t="s">
        <v>428</v>
      </c>
      <c r="E243" s="2" t="s">
        <v>85</v>
      </c>
      <c r="F243" s="2" t="s">
        <v>107</v>
      </c>
      <c r="G243" s="30" t="n">
        <v>40</v>
      </c>
      <c r="H243" s="11" t="n">
        <v>495.99</v>
      </c>
      <c r="I243" s="11" t="s">
        <v>350</v>
      </c>
      <c r="J243" s="11" t="n">
        <v>124.6</v>
      </c>
      <c r="K243" s="11" t="n">
        <v>143.04</v>
      </c>
      <c r="L243" s="11" t="n">
        <v>0.496</v>
      </c>
      <c r="M243" s="11" t="n">
        <v>0.992</v>
      </c>
      <c r="N243" s="11" t="n">
        <v>1</v>
      </c>
      <c r="O243" s="11" t="n">
        <v>4.5</v>
      </c>
      <c r="P243" s="11" t="n">
        <v>2.4</v>
      </c>
      <c r="Q243" s="11" t="n">
        <v>18</v>
      </c>
      <c r="R243" s="11" t="n">
        <f aca="false">SUM(K243:Q243)</f>
        <v>170.428</v>
      </c>
      <c r="S243" s="11" t="n">
        <f aca="false">R243/(1-Resumo!$C$6)</f>
        <v>193.668181818182</v>
      </c>
      <c r="T243" s="11" t="n">
        <f aca="false">S243-J243</f>
        <v>69.0681818181818</v>
      </c>
      <c r="U243" s="12" t="n">
        <f aca="false">IFERROR(S243/J243-1,0)</f>
        <v>0.554319276229389</v>
      </c>
      <c r="V243" s="2" t="str">
        <f aca="false">IF(S243&lt;J243,"SIM","NÃO")</f>
        <v>NÃO</v>
      </c>
      <c r="W243" s="2" t="n">
        <v>11</v>
      </c>
      <c r="X243" s="2" t="s">
        <v>156</v>
      </c>
    </row>
    <row r="244" customFormat="false" ht="15" hidden="false" customHeight="false" outlineLevel="0" collapsed="false">
      <c r="A244" s="2" t="n">
        <v>361905940</v>
      </c>
      <c r="B244" s="29" t="n">
        <v>46221.9774305556</v>
      </c>
      <c r="C244" s="2" t="s">
        <v>178</v>
      </c>
      <c r="D244" s="2" t="s">
        <v>429</v>
      </c>
      <c r="E244" s="2" t="s">
        <v>203</v>
      </c>
      <c r="F244" s="2" t="s">
        <v>108</v>
      </c>
      <c r="G244" s="30" t="n">
        <v>46.8</v>
      </c>
      <c r="H244" s="11" t="n">
        <v>559.99</v>
      </c>
      <c r="I244" s="11" t="s">
        <v>350</v>
      </c>
      <c r="J244" s="11" t="n">
        <v>131.6</v>
      </c>
      <c r="K244" s="11" t="n">
        <v>103.97</v>
      </c>
      <c r="L244" s="11" t="n">
        <v>0.56</v>
      </c>
      <c r="M244" s="11" t="n">
        <v>1.12</v>
      </c>
      <c r="N244" s="11" t="n">
        <v>1</v>
      </c>
      <c r="O244" s="11" t="n">
        <v>4.5</v>
      </c>
      <c r="P244" s="11" t="n">
        <v>2.82</v>
      </c>
      <c r="Q244" s="11" t="n">
        <v>21.15</v>
      </c>
      <c r="R244" s="11" t="n">
        <f aca="false">SUM(K244:Q244)</f>
        <v>135.12</v>
      </c>
      <c r="S244" s="11" t="n">
        <f aca="false">R244/(1-Resumo!$C$6)</f>
        <v>153.545454545455</v>
      </c>
      <c r="T244" s="11" t="n">
        <f aca="false">S244-J244</f>
        <v>21.9454545454546</v>
      </c>
      <c r="U244" s="12" t="n">
        <f aca="false">IFERROR(S244/J244-1,0)</f>
        <v>0.166758773141752</v>
      </c>
      <c r="V244" s="2" t="str">
        <f aca="false">IF(S244&lt;J244,"SIM","NÃO")</f>
        <v>NÃO</v>
      </c>
      <c r="W244" s="2" t="n">
        <v>5</v>
      </c>
      <c r="X244" s="2" t="s">
        <v>161</v>
      </c>
    </row>
    <row r="245" customFormat="false" ht="15" hidden="false" customHeight="false" outlineLevel="0" collapsed="false">
      <c r="A245" s="2" t="n">
        <v>361953735</v>
      </c>
      <c r="B245" s="29" t="n">
        <v>46222.1045138889</v>
      </c>
      <c r="C245" s="2" t="s">
        <v>158</v>
      </c>
      <c r="D245" s="2" t="s">
        <v>430</v>
      </c>
      <c r="E245" s="2" t="s">
        <v>78</v>
      </c>
      <c r="F245" s="2" t="s">
        <v>110</v>
      </c>
      <c r="G245" s="30" t="n">
        <v>63.1</v>
      </c>
      <c r="H245" s="11" t="n">
        <v>754.93</v>
      </c>
      <c r="I245" s="11" t="s">
        <v>155</v>
      </c>
      <c r="J245" s="11" t="n">
        <v>124.83</v>
      </c>
      <c r="K245" s="11" t="n">
        <v>131.02</v>
      </c>
      <c r="L245" s="11" t="n">
        <v>0.7549</v>
      </c>
      <c r="M245" s="11" t="n">
        <v>1.5099</v>
      </c>
      <c r="N245" s="11" t="n">
        <v>1</v>
      </c>
      <c r="O245" s="11" t="n">
        <v>4.5</v>
      </c>
      <c r="P245" s="11" t="n">
        <v>3.84</v>
      </c>
      <c r="Q245" s="11" t="n">
        <v>28.8</v>
      </c>
      <c r="R245" s="11" t="n">
        <f aca="false">SUM(K245:Q245)</f>
        <v>171.4248</v>
      </c>
      <c r="S245" s="11" t="n">
        <f aca="false">R245/(1-Resumo!$C$6)</f>
        <v>194.800909090909</v>
      </c>
      <c r="T245" s="11" t="n">
        <f aca="false">S245-J245</f>
        <v>69.9709090909091</v>
      </c>
      <c r="U245" s="12" t="n">
        <f aca="false">IFERROR(S245/J245-1,0)</f>
        <v>0.560529592973717</v>
      </c>
      <c r="V245" s="2" t="str">
        <f aca="false">IF(S245&lt;J245,"SIM","NÃO")</f>
        <v>NÃO</v>
      </c>
      <c r="W245" s="2" t="n">
        <v>5</v>
      </c>
      <c r="X245" s="2" t="s">
        <v>156</v>
      </c>
    </row>
    <row r="246" customFormat="false" ht="15" hidden="false" customHeight="false" outlineLevel="0" collapsed="false">
      <c r="A246" s="2" t="n">
        <v>361979410</v>
      </c>
      <c r="B246" s="29" t="n">
        <v>46222.1972222222</v>
      </c>
      <c r="C246" s="2" t="s">
        <v>153</v>
      </c>
      <c r="D246" s="2" t="s">
        <v>431</v>
      </c>
      <c r="E246" s="2" t="s">
        <v>81</v>
      </c>
      <c r="F246" s="2" t="s">
        <v>107</v>
      </c>
      <c r="G246" s="30" t="n">
        <v>36.8</v>
      </c>
      <c r="H246" s="11" t="n">
        <v>469.99</v>
      </c>
      <c r="I246" s="11" t="s">
        <v>155</v>
      </c>
      <c r="J246" s="11" t="n">
        <v>113.2</v>
      </c>
      <c r="K246" s="11" t="n">
        <v>93.97</v>
      </c>
      <c r="L246" s="11" t="n">
        <v>0.47</v>
      </c>
      <c r="M246" s="11" t="n">
        <v>0.94</v>
      </c>
      <c r="N246" s="11" t="n">
        <v>1</v>
      </c>
      <c r="O246" s="11" t="n">
        <v>4.5</v>
      </c>
      <c r="P246" s="11" t="n">
        <v>2.22</v>
      </c>
      <c r="Q246" s="11" t="n">
        <v>16.65</v>
      </c>
      <c r="R246" s="11" t="n">
        <f aca="false">SUM(K246:Q246)</f>
        <v>119.75</v>
      </c>
      <c r="S246" s="11" t="n">
        <f aca="false">R246/(1-Resumo!$C$6)</f>
        <v>136.079545454545</v>
      </c>
      <c r="T246" s="11" t="n">
        <f aca="false">S246-J246</f>
        <v>22.8795454545455</v>
      </c>
      <c r="U246" s="12" t="n">
        <f aca="false">IFERROR(S246/J246-1,0)</f>
        <v>0.202116125923546</v>
      </c>
      <c r="V246" s="2" t="str">
        <f aca="false">IF(S246&lt;J246,"SIM","NÃO")</f>
        <v>NÃO</v>
      </c>
      <c r="W246" s="2" t="n">
        <v>5</v>
      </c>
      <c r="X246" s="2" t="s">
        <v>156</v>
      </c>
    </row>
    <row r="247" customFormat="false" ht="15" hidden="false" customHeight="false" outlineLevel="0" collapsed="false">
      <c r="A247" s="2" t="n">
        <v>361977614</v>
      </c>
      <c r="B247" s="29" t="n">
        <v>46222.2396643519</v>
      </c>
      <c r="C247" s="2" t="s">
        <v>194</v>
      </c>
      <c r="D247" s="2" t="s">
        <v>432</v>
      </c>
      <c r="E247" s="2" t="s">
        <v>78</v>
      </c>
      <c r="F247" s="2" t="s">
        <v>107</v>
      </c>
      <c r="G247" s="30" t="n">
        <v>37.59</v>
      </c>
      <c r="H247" s="11" t="n">
        <v>442.79</v>
      </c>
      <c r="I247" s="11" t="s">
        <v>155</v>
      </c>
      <c r="J247" s="11" t="n">
        <v>91.99</v>
      </c>
      <c r="K247" s="11" t="n">
        <v>93.97</v>
      </c>
      <c r="L247" s="11" t="n">
        <v>0.4428</v>
      </c>
      <c r="M247" s="11" t="n">
        <v>0.8856</v>
      </c>
      <c r="N247" s="11" t="n">
        <v>1</v>
      </c>
      <c r="O247" s="11" t="n">
        <v>4.5</v>
      </c>
      <c r="P247" s="11" t="n">
        <v>2.28</v>
      </c>
      <c r="Q247" s="11" t="n">
        <v>17.1</v>
      </c>
      <c r="R247" s="11" t="n">
        <f aca="false">SUM(K247:Q247)</f>
        <v>120.1784</v>
      </c>
      <c r="S247" s="11" t="n">
        <f aca="false">R247/(1-Resumo!$C$6)</f>
        <v>136.566363636364</v>
      </c>
      <c r="T247" s="11" t="n">
        <f aca="false">S247-J247</f>
        <v>44.5763636363637</v>
      </c>
      <c r="U247" s="12" t="n">
        <f aca="false">IFERROR(S247/J247-1,0)</f>
        <v>0.484578363260829</v>
      </c>
      <c r="V247" s="2" t="str">
        <f aca="false">IF(S247&lt;J247,"SIM","NÃO")</f>
        <v>NÃO</v>
      </c>
      <c r="W247" s="2" t="n">
        <v>5</v>
      </c>
      <c r="X247" s="2" t="s">
        <v>156</v>
      </c>
    </row>
    <row r="248" customFormat="false" ht="15" hidden="false" customHeight="false" outlineLevel="0" collapsed="false">
      <c r="A248" s="2" t="n">
        <v>362013479</v>
      </c>
      <c r="B248" s="29" t="n">
        <v>46222.3481828704</v>
      </c>
      <c r="C248" s="2" t="s">
        <v>153</v>
      </c>
      <c r="D248" s="2" t="s">
        <v>433</v>
      </c>
      <c r="E248" s="2" t="s">
        <v>203</v>
      </c>
      <c r="F248" s="2" t="s">
        <v>106</v>
      </c>
      <c r="G248" s="30" t="n">
        <v>31</v>
      </c>
      <c r="H248" s="11" t="n">
        <v>299.99</v>
      </c>
      <c r="I248" s="11" t="s">
        <v>350</v>
      </c>
      <c r="J248" s="11" t="n">
        <v>108.45</v>
      </c>
      <c r="K248" s="11" t="n">
        <v>92.21</v>
      </c>
      <c r="L248" s="11" t="n">
        <v>0.3</v>
      </c>
      <c r="M248" s="11" t="n">
        <v>0.6</v>
      </c>
      <c r="N248" s="11" t="n">
        <v>1</v>
      </c>
      <c r="O248" s="11" t="n">
        <v>4.5</v>
      </c>
      <c r="P248" s="11" t="n">
        <v>1.86</v>
      </c>
      <c r="Q248" s="11" t="n">
        <v>13.95</v>
      </c>
      <c r="R248" s="11" t="n">
        <f aca="false">SUM(K248:Q248)</f>
        <v>114.42</v>
      </c>
      <c r="S248" s="11" t="n">
        <f aca="false">R248/(1-Resumo!$C$6)</f>
        <v>130.022727272727</v>
      </c>
      <c r="T248" s="11" t="n">
        <f aca="false">S248-J248</f>
        <v>21.5727272727273</v>
      </c>
      <c r="U248" s="12" t="n">
        <f aca="false">IFERROR(S248/J248-1,0)</f>
        <v>0.198918647051427</v>
      </c>
      <c r="V248" s="2" t="str">
        <f aca="false">IF(S248&lt;J248,"SIM","NÃO")</f>
        <v>NÃO</v>
      </c>
      <c r="W248" s="2" t="n">
        <v>5</v>
      </c>
      <c r="X248" s="2" t="s">
        <v>161</v>
      </c>
    </row>
    <row r="249" customFormat="false" ht="15" hidden="false" customHeight="false" outlineLevel="0" collapsed="false">
      <c r="A249" s="2" t="n">
        <v>362036575</v>
      </c>
      <c r="B249" s="29" t="n">
        <v>46222.4030092593</v>
      </c>
      <c r="C249" s="2" t="s">
        <v>153</v>
      </c>
      <c r="D249" s="2" t="s">
        <v>434</v>
      </c>
      <c r="E249" s="2" t="s">
        <v>82</v>
      </c>
      <c r="F249" s="2" t="s">
        <v>109</v>
      </c>
      <c r="G249" s="30" t="n">
        <v>59.9</v>
      </c>
      <c r="H249" s="11" t="n">
        <v>949.99</v>
      </c>
      <c r="I249" s="11" t="s">
        <v>155</v>
      </c>
      <c r="J249" s="11" t="n">
        <v>129.84</v>
      </c>
      <c r="K249" s="11" t="n">
        <v>128.14</v>
      </c>
      <c r="L249" s="11" t="n">
        <v>0.95</v>
      </c>
      <c r="M249" s="11" t="n">
        <v>1.9</v>
      </c>
      <c r="N249" s="11" t="n">
        <v>1</v>
      </c>
      <c r="O249" s="11" t="n">
        <v>4.5</v>
      </c>
      <c r="P249" s="11" t="n">
        <v>3.6</v>
      </c>
      <c r="Q249" s="11" t="n">
        <v>27</v>
      </c>
      <c r="R249" s="11" t="n">
        <f aca="false">SUM(K249:Q249)</f>
        <v>167.09</v>
      </c>
      <c r="S249" s="11" t="n">
        <f aca="false">R249/(1-Resumo!$C$6)</f>
        <v>189.875</v>
      </c>
      <c r="T249" s="11" t="n">
        <f aca="false">S249-J249</f>
        <v>60.035</v>
      </c>
      <c r="U249" s="12" t="n">
        <f aca="false">IFERROR(S249/J249-1,0)</f>
        <v>0.462376771410967</v>
      </c>
      <c r="V249" s="2" t="str">
        <f aca="false">IF(S249&lt;J249,"SIM","NÃO")</f>
        <v>NÃO</v>
      </c>
      <c r="W249" s="2" t="n">
        <v>7</v>
      </c>
      <c r="X249" s="2" t="s">
        <v>156</v>
      </c>
    </row>
    <row r="250" customFormat="false" ht="15" hidden="false" customHeight="false" outlineLevel="0" collapsed="false">
      <c r="A250" s="2" t="n">
        <v>362049935</v>
      </c>
      <c r="B250" s="29" t="n">
        <v>46222.4424074074</v>
      </c>
      <c r="C250" s="2" t="s">
        <v>158</v>
      </c>
      <c r="D250" s="2" t="s">
        <v>435</v>
      </c>
      <c r="E250" s="2" t="s">
        <v>436</v>
      </c>
      <c r="F250" s="2" t="s">
        <v>112</v>
      </c>
      <c r="G250" s="30" t="n">
        <v>97.2</v>
      </c>
      <c r="H250" s="11" t="n">
        <v>1164.49</v>
      </c>
      <c r="I250" s="11" t="s">
        <v>350</v>
      </c>
      <c r="J250" s="11" t="n">
        <v>196.85</v>
      </c>
      <c r="K250" s="11" t="n">
        <v>197.35</v>
      </c>
      <c r="L250" s="11" t="n">
        <v>1.1645</v>
      </c>
      <c r="M250" s="11" t="n">
        <v>2.329</v>
      </c>
      <c r="N250" s="11" t="n">
        <v>1</v>
      </c>
      <c r="O250" s="11" t="n">
        <v>4.5</v>
      </c>
      <c r="P250" s="11" t="n">
        <v>5.88</v>
      </c>
      <c r="Q250" s="11" t="n">
        <v>44.1</v>
      </c>
      <c r="R250" s="11" t="n">
        <f aca="false">SUM(K250:Q250)</f>
        <v>256.3235</v>
      </c>
      <c r="S250" s="11" t="n">
        <f aca="false">R250/(1-Resumo!$C$6)</f>
        <v>291.276704545455</v>
      </c>
      <c r="T250" s="11" t="n">
        <f aca="false">S250-J250</f>
        <v>94.4267045454546</v>
      </c>
      <c r="U250" s="12" t="n">
        <f aca="false">IFERROR(S250/J250-1,0)</f>
        <v>0.479688618468146</v>
      </c>
      <c r="V250" s="2" t="str">
        <f aca="false">IF(S250&lt;J250,"SIM","NÃO")</f>
        <v>NÃO</v>
      </c>
      <c r="W250" s="2" t="n">
        <v>10</v>
      </c>
      <c r="X250" s="2" t="s">
        <v>161</v>
      </c>
    </row>
    <row r="251" customFormat="false" ht="15" hidden="false" customHeight="false" outlineLevel="0" collapsed="false">
      <c r="A251" s="2" t="n">
        <v>362127089</v>
      </c>
      <c r="B251" s="29" t="n">
        <v>46222.5976967593</v>
      </c>
      <c r="C251" s="2" t="s">
        <v>153</v>
      </c>
      <c r="D251" s="2" t="s">
        <v>437</v>
      </c>
      <c r="E251" s="2" t="s">
        <v>164</v>
      </c>
      <c r="F251" s="2" t="s">
        <v>110</v>
      </c>
      <c r="G251" s="30" t="n">
        <v>63</v>
      </c>
      <c r="H251" s="11" t="n">
        <v>942.64</v>
      </c>
      <c r="I251" s="11" t="s">
        <v>350</v>
      </c>
      <c r="J251" s="11" t="n">
        <v>140.3</v>
      </c>
      <c r="K251" s="11" t="n">
        <v>131.02</v>
      </c>
      <c r="L251" s="11" t="n">
        <v>0.9426</v>
      </c>
      <c r="M251" s="11" t="n">
        <v>1.8853</v>
      </c>
      <c r="N251" s="11" t="n">
        <v>1</v>
      </c>
      <c r="O251" s="11" t="n">
        <v>4.5</v>
      </c>
      <c r="P251" s="11" t="n">
        <v>3.78</v>
      </c>
      <c r="Q251" s="11" t="n">
        <v>28.35</v>
      </c>
      <c r="R251" s="11" t="n">
        <f aca="false">SUM(K251:Q251)</f>
        <v>171.4779</v>
      </c>
      <c r="S251" s="11" t="n">
        <f aca="false">R251/(1-Resumo!$C$6)</f>
        <v>194.86125</v>
      </c>
      <c r="T251" s="11" t="n">
        <f aca="false">S251-J251</f>
        <v>54.56125</v>
      </c>
      <c r="U251" s="12" t="n">
        <f aca="false">IFERROR(S251/J251-1,0)</f>
        <v>0.388889878831076</v>
      </c>
      <c r="V251" s="2" t="str">
        <f aca="false">IF(S251&lt;J251,"SIM","NÃO")</f>
        <v>NÃO</v>
      </c>
      <c r="W251" s="2" t="n">
        <v>5</v>
      </c>
      <c r="X251" s="2" t="s">
        <v>161</v>
      </c>
    </row>
    <row r="252" customFormat="false" ht="15" hidden="false" customHeight="false" outlineLevel="0" collapsed="false">
      <c r="A252" s="2" t="n">
        <v>362163278</v>
      </c>
      <c r="B252" s="29" t="n">
        <v>46222.6770717593</v>
      </c>
      <c r="C252" s="2" t="s">
        <v>178</v>
      </c>
      <c r="D252" s="2" t="s">
        <v>438</v>
      </c>
      <c r="E252" s="2" t="s">
        <v>84</v>
      </c>
      <c r="F252" s="2" t="s">
        <v>108</v>
      </c>
      <c r="G252" s="30" t="n">
        <v>45.3</v>
      </c>
      <c r="H252" s="11" t="n">
        <v>629.99</v>
      </c>
      <c r="I252" s="11" t="s">
        <v>350</v>
      </c>
      <c r="J252" s="11" t="n">
        <v>117.39</v>
      </c>
      <c r="K252" s="11" t="n">
        <v>93.97</v>
      </c>
      <c r="L252" s="11" t="n">
        <v>0.63</v>
      </c>
      <c r="M252" s="11" t="n">
        <v>1.26</v>
      </c>
      <c r="N252" s="11" t="n">
        <v>1</v>
      </c>
      <c r="O252" s="11" t="n">
        <v>4.5</v>
      </c>
      <c r="P252" s="11" t="n">
        <v>2.76</v>
      </c>
      <c r="Q252" s="11" t="n">
        <v>20.7</v>
      </c>
      <c r="R252" s="11" t="n">
        <f aca="false">SUM(K252:Q252)</f>
        <v>124.82</v>
      </c>
      <c r="S252" s="11" t="n">
        <f aca="false">R252/(1-Resumo!$C$6)</f>
        <v>141.840909090909</v>
      </c>
      <c r="T252" s="11" t="n">
        <f aca="false">S252-J252</f>
        <v>24.4509090909091</v>
      </c>
      <c r="U252" s="12" t="n">
        <f aca="false">IFERROR(S252/J252-1,0)</f>
        <v>0.208287836194813</v>
      </c>
      <c r="V252" s="2" t="str">
        <f aca="false">IF(S252&lt;J252,"SIM","NÃO")</f>
        <v>NÃO</v>
      </c>
      <c r="W252" s="2" t="n">
        <v>5</v>
      </c>
      <c r="X252" s="2" t="s">
        <v>156</v>
      </c>
    </row>
    <row r="253" customFormat="false" ht="15" hidden="false" customHeight="false" outlineLevel="0" collapsed="false">
      <c r="A253" s="2" t="n">
        <v>362168341</v>
      </c>
      <c r="B253" s="29" t="n">
        <v>46222.6880324074</v>
      </c>
      <c r="C253" s="2" t="s">
        <v>158</v>
      </c>
      <c r="D253" s="2" t="s">
        <v>439</v>
      </c>
      <c r="E253" s="2" t="s">
        <v>78</v>
      </c>
      <c r="F253" s="2" t="s">
        <v>107</v>
      </c>
      <c r="G253" s="30" t="n">
        <v>36.8</v>
      </c>
      <c r="H253" s="11" t="n">
        <v>449.99</v>
      </c>
      <c r="I253" s="11" t="s">
        <v>155</v>
      </c>
      <c r="J253" s="11" t="n">
        <v>92.01</v>
      </c>
      <c r="K253" s="11" t="n">
        <v>93.97</v>
      </c>
      <c r="L253" s="11" t="n">
        <v>0.45</v>
      </c>
      <c r="M253" s="11" t="n">
        <v>0.9</v>
      </c>
      <c r="N253" s="11" t="n">
        <v>1</v>
      </c>
      <c r="O253" s="11" t="n">
        <v>4.5</v>
      </c>
      <c r="P253" s="11" t="n">
        <v>2.22</v>
      </c>
      <c r="Q253" s="11" t="n">
        <v>16.65</v>
      </c>
      <c r="R253" s="11" t="n">
        <f aca="false">SUM(K253:Q253)</f>
        <v>119.69</v>
      </c>
      <c r="S253" s="11" t="n">
        <f aca="false">R253/(1-Resumo!$C$6)</f>
        <v>136.011363636364</v>
      </c>
      <c r="T253" s="11" t="n">
        <f aca="false">S253-J253</f>
        <v>44.0013636363636</v>
      </c>
      <c r="U253" s="12" t="n">
        <f aca="false">IFERROR(S253/J253-1,0)</f>
        <v>0.478223710861468</v>
      </c>
      <c r="V253" s="2" t="str">
        <f aca="false">IF(S253&lt;J253,"SIM","NÃO")</f>
        <v>NÃO</v>
      </c>
      <c r="W253" s="2" t="n">
        <v>5</v>
      </c>
      <c r="X253" s="2" t="s">
        <v>156</v>
      </c>
    </row>
    <row r="254" customFormat="false" ht="15" hidden="false" customHeight="false" outlineLevel="0" collapsed="false">
      <c r="A254" s="2" t="n">
        <v>362168495</v>
      </c>
      <c r="B254" s="29" t="n">
        <v>46222.6884606482</v>
      </c>
      <c r="C254" s="2" t="s">
        <v>158</v>
      </c>
      <c r="D254" s="2" t="s">
        <v>440</v>
      </c>
      <c r="E254" s="2" t="s">
        <v>89</v>
      </c>
      <c r="F254" s="2" t="s">
        <v>114</v>
      </c>
      <c r="G254" s="30" t="n">
        <v>124.2</v>
      </c>
      <c r="H254" s="11" t="n">
        <v>1611.28</v>
      </c>
      <c r="I254" s="11" t="s">
        <v>350</v>
      </c>
      <c r="J254" s="11" t="n">
        <v>253.3</v>
      </c>
      <c r="K254" s="11" t="n">
        <v>264.84</v>
      </c>
      <c r="L254" s="11" t="n">
        <v>1.6113</v>
      </c>
      <c r="M254" s="11" t="n">
        <v>3.2226</v>
      </c>
      <c r="N254" s="11" t="n">
        <v>1</v>
      </c>
      <c r="O254" s="11" t="n">
        <v>9</v>
      </c>
      <c r="P254" s="11" t="n">
        <v>7.5</v>
      </c>
      <c r="Q254" s="11" t="n">
        <v>56.25</v>
      </c>
      <c r="R254" s="11" t="n">
        <f aca="false">SUM(K254:Q254)</f>
        <v>343.4239</v>
      </c>
      <c r="S254" s="11" t="n">
        <f aca="false">R254/(1-Resumo!$C$6)</f>
        <v>390.254431818182</v>
      </c>
      <c r="T254" s="11" t="n">
        <f aca="false">S254-J254</f>
        <v>136.954431818182</v>
      </c>
      <c r="U254" s="12" t="n">
        <f aca="false">IFERROR(S254/J254-1,0)</f>
        <v>0.540680741485124</v>
      </c>
      <c r="V254" s="2" t="str">
        <f aca="false">IF(S254&lt;J254,"SIM","NÃO")</f>
        <v>NÃO</v>
      </c>
      <c r="W254" s="2" t="n">
        <v>8</v>
      </c>
      <c r="X254" s="2" t="s">
        <v>156</v>
      </c>
    </row>
    <row r="255" customFormat="false" ht="15" hidden="false" customHeight="false" outlineLevel="0" collapsed="false">
      <c r="A255" s="2" t="n">
        <v>362185703</v>
      </c>
      <c r="B255" s="29" t="n">
        <v>46222.7369560185</v>
      </c>
      <c r="C255" s="2" t="s">
        <v>153</v>
      </c>
      <c r="D255" s="2" t="s">
        <v>441</v>
      </c>
      <c r="E255" s="2" t="s">
        <v>78</v>
      </c>
      <c r="F255" s="2" t="s">
        <v>106</v>
      </c>
      <c r="G255" s="30" t="n">
        <v>29.2</v>
      </c>
      <c r="H255" s="11" t="n">
        <v>449.99</v>
      </c>
      <c r="I255" s="11" t="s">
        <v>155</v>
      </c>
      <c r="J255" s="11" t="n">
        <v>82.48</v>
      </c>
      <c r="K255" s="11" t="n">
        <v>82.21</v>
      </c>
      <c r="L255" s="11" t="n">
        <v>0.45</v>
      </c>
      <c r="M255" s="11" t="n">
        <v>0.9</v>
      </c>
      <c r="N255" s="11" t="n">
        <v>1</v>
      </c>
      <c r="O255" s="11" t="n">
        <v>4.5</v>
      </c>
      <c r="P255" s="11" t="n">
        <v>1.8</v>
      </c>
      <c r="Q255" s="11" t="n">
        <v>13.5</v>
      </c>
      <c r="R255" s="11" t="n">
        <f aca="false">SUM(K255:Q255)</f>
        <v>104.36</v>
      </c>
      <c r="S255" s="11" t="n">
        <f aca="false">R255/(1-Resumo!$C$6)</f>
        <v>118.590909090909</v>
      </c>
      <c r="T255" s="11" t="n">
        <f aca="false">S255-J255</f>
        <v>36.1109090909091</v>
      </c>
      <c r="U255" s="12" t="n">
        <f aca="false">IFERROR(S255/J255-1,0)</f>
        <v>0.437814125738471</v>
      </c>
      <c r="V255" s="2" t="str">
        <f aca="false">IF(S255&lt;J255,"SIM","NÃO")</f>
        <v>NÃO</v>
      </c>
      <c r="W255" s="2" t="n">
        <v>5</v>
      </c>
      <c r="X255" s="2" t="s">
        <v>156</v>
      </c>
    </row>
    <row r="256" customFormat="false" ht="15" hidden="false" customHeight="false" outlineLevel="0" collapsed="false">
      <c r="A256" s="2" t="n">
        <v>362200434</v>
      </c>
      <c r="B256" s="29" t="n">
        <v>46222.772037037</v>
      </c>
      <c r="C256" s="2" t="s">
        <v>153</v>
      </c>
      <c r="D256" s="2" t="s">
        <v>442</v>
      </c>
      <c r="E256" s="2" t="s">
        <v>80</v>
      </c>
      <c r="F256" s="2" t="s">
        <v>114</v>
      </c>
      <c r="G256" s="30" t="n">
        <v>124.2</v>
      </c>
      <c r="H256" s="11" t="n">
        <v>1649.99</v>
      </c>
      <c r="I256" s="11" t="s">
        <v>155</v>
      </c>
      <c r="J256" s="11" t="n">
        <v>244.51</v>
      </c>
      <c r="K256" s="11" t="n">
        <v>239.25</v>
      </c>
      <c r="L256" s="11" t="n">
        <v>1.65</v>
      </c>
      <c r="M256" s="11" t="n">
        <v>3.3</v>
      </c>
      <c r="N256" s="11" t="n">
        <v>1</v>
      </c>
      <c r="O256" s="11" t="n">
        <v>9</v>
      </c>
      <c r="P256" s="11" t="n">
        <v>7.5</v>
      </c>
      <c r="Q256" s="11" t="n">
        <v>56.25</v>
      </c>
      <c r="R256" s="11" t="n">
        <f aca="false">SUM(K256:Q256)</f>
        <v>317.95</v>
      </c>
      <c r="S256" s="11" t="n">
        <f aca="false">R256/(1-Resumo!$C$6)</f>
        <v>361.306818181818</v>
      </c>
      <c r="T256" s="11" t="n">
        <f aca="false">S256-J256</f>
        <v>116.796818181818</v>
      </c>
      <c r="U256" s="12" t="n">
        <f aca="false">IFERROR(S256/J256-1,0)</f>
        <v>0.477677060986537</v>
      </c>
      <c r="V256" s="2" t="str">
        <f aca="false">IF(S256&lt;J256,"SIM","NÃO")</f>
        <v>NÃO</v>
      </c>
      <c r="W256" s="2" t="n">
        <v>5</v>
      </c>
      <c r="X256" s="2" t="s">
        <v>156</v>
      </c>
    </row>
    <row r="257" customFormat="false" ht="15" hidden="false" customHeight="false" outlineLevel="0" collapsed="false">
      <c r="A257" s="2" t="n">
        <v>362225398</v>
      </c>
      <c r="B257" s="29" t="n">
        <v>46222.8196527778</v>
      </c>
      <c r="C257" s="2" t="s">
        <v>153</v>
      </c>
      <c r="D257" s="2" t="s">
        <v>443</v>
      </c>
      <c r="E257" s="2" t="s">
        <v>79</v>
      </c>
      <c r="F257" s="2" t="s">
        <v>106</v>
      </c>
      <c r="G257" s="30" t="n">
        <v>31.9</v>
      </c>
      <c r="H257" s="11" t="n">
        <v>508.42</v>
      </c>
      <c r="I257" s="11" t="s">
        <v>350</v>
      </c>
      <c r="J257" s="11" t="n">
        <v>102.2</v>
      </c>
      <c r="K257" s="11" t="n">
        <v>100.58</v>
      </c>
      <c r="L257" s="11" t="n">
        <v>0.5084</v>
      </c>
      <c r="M257" s="11" t="n">
        <v>1.0168</v>
      </c>
      <c r="N257" s="11" t="n">
        <v>1</v>
      </c>
      <c r="O257" s="11" t="n">
        <v>4.5</v>
      </c>
      <c r="P257" s="11" t="n">
        <v>1.92</v>
      </c>
      <c r="Q257" s="11" t="n">
        <v>14.4</v>
      </c>
      <c r="R257" s="11" t="n">
        <f aca="false">SUM(K257:Q257)</f>
        <v>123.9252</v>
      </c>
      <c r="S257" s="11" t="n">
        <f aca="false">R257/(1-Resumo!$C$6)</f>
        <v>140.824090909091</v>
      </c>
      <c r="T257" s="11" t="n">
        <f aca="false">S257-J257</f>
        <v>38.6240909090909</v>
      </c>
      <c r="U257" s="12" t="n">
        <f aca="false">IFERROR(S257/J257-1,0)</f>
        <v>0.377926525529265</v>
      </c>
      <c r="V257" s="2" t="str">
        <f aca="false">IF(S257&lt;J257,"SIM","NÃO")</f>
        <v>NÃO</v>
      </c>
      <c r="W257" s="2" t="n">
        <v>7</v>
      </c>
      <c r="X257" s="2" t="s">
        <v>156</v>
      </c>
    </row>
    <row r="258" customFormat="false" ht="15" hidden="false" customHeight="false" outlineLevel="0" collapsed="false">
      <c r="A258" s="2" t="n">
        <v>362243131</v>
      </c>
      <c r="B258" s="29" t="n">
        <v>46222.8546180556</v>
      </c>
      <c r="C258" s="2" t="s">
        <v>153</v>
      </c>
      <c r="D258" s="2" t="s">
        <v>444</v>
      </c>
      <c r="E258" s="2" t="s">
        <v>78</v>
      </c>
      <c r="F258" s="2" t="s">
        <v>106</v>
      </c>
      <c r="G258" s="30" t="n">
        <v>31</v>
      </c>
      <c r="H258" s="11" t="n">
        <v>299.99</v>
      </c>
      <c r="I258" s="11" t="s">
        <v>350</v>
      </c>
      <c r="J258" s="11" t="n">
        <v>81.73</v>
      </c>
      <c r="K258" s="11" t="n">
        <v>82.21</v>
      </c>
      <c r="L258" s="11" t="n">
        <v>0.3</v>
      </c>
      <c r="M258" s="11" t="n">
        <v>0.6</v>
      </c>
      <c r="N258" s="11" t="n">
        <v>1</v>
      </c>
      <c r="O258" s="11" t="n">
        <v>4.5</v>
      </c>
      <c r="P258" s="11" t="n">
        <v>1.86</v>
      </c>
      <c r="Q258" s="11" t="n">
        <v>13.95</v>
      </c>
      <c r="R258" s="11" t="n">
        <f aca="false">SUM(K258:Q258)</f>
        <v>104.42</v>
      </c>
      <c r="S258" s="11" t="n">
        <f aca="false">R258/(1-Resumo!$C$6)</f>
        <v>118.659090909091</v>
      </c>
      <c r="T258" s="11" t="n">
        <f aca="false">S258-J258</f>
        <v>36.9290909090909</v>
      </c>
      <c r="U258" s="12" t="n">
        <f aca="false">IFERROR(S258/J258-1,0)</f>
        <v>0.451842541405737</v>
      </c>
      <c r="V258" s="2" t="str">
        <f aca="false">IF(S258&lt;J258,"SIM","NÃO")</f>
        <v>NÃO</v>
      </c>
      <c r="W258" s="2" t="n">
        <v>5</v>
      </c>
      <c r="X258" s="2" t="s">
        <v>156</v>
      </c>
    </row>
    <row r="259" customFormat="false" ht="15" hidden="false" customHeight="false" outlineLevel="0" collapsed="false">
      <c r="A259" s="2" t="n">
        <v>362507018</v>
      </c>
      <c r="B259" s="29" t="n">
        <v>46223.4271875</v>
      </c>
      <c r="C259" s="2" t="s">
        <v>153</v>
      </c>
      <c r="D259" s="2" t="s">
        <v>445</v>
      </c>
      <c r="E259" s="2" t="s">
        <v>90</v>
      </c>
      <c r="F259" s="2" t="s">
        <v>111</v>
      </c>
      <c r="G259" s="30" t="n">
        <v>73</v>
      </c>
      <c r="H259" s="11" t="n">
        <v>999.99</v>
      </c>
      <c r="I259" s="11" t="s">
        <v>350</v>
      </c>
      <c r="J259" s="11" t="n">
        <v>168.66</v>
      </c>
      <c r="K259" s="11" t="n">
        <v>142.74</v>
      </c>
      <c r="L259" s="11" t="n">
        <v>1</v>
      </c>
      <c r="M259" s="11" t="n">
        <v>2</v>
      </c>
      <c r="N259" s="11" t="n">
        <v>1</v>
      </c>
      <c r="O259" s="11" t="n">
        <v>4.5</v>
      </c>
      <c r="P259" s="11" t="n">
        <v>4.38</v>
      </c>
      <c r="Q259" s="11" t="n">
        <v>32.85</v>
      </c>
      <c r="R259" s="11" t="n">
        <f aca="false">SUM(K259:Q259)</f>
        <v>188.47</v>
      </c>
      <c r="S259" s="11" t="n">
        <f aca="false">R259/(1-Resumo!$C$6)</f>
        <v>214.170454545455</v>
      </c>
      <c r="T259" s="11" t="n">
        <f aca="false">S259-J259</f>
        <v>45.5104545454545</v>
      </c>
      <c r="U259" s="12" t="n">
        <f aca="false">IFERROR(S259/J259-1,0)</f>
        <v>0.269835494755452</v>
      </c>
      <c r="V259" s="2" t="str">
        <f aca="false">IF(S259&lt;J259,"SIM","NÃO")</f>
        <v>NÃO</v>
      </c>
      <c r="W259" s="2" t="n">
        <v>7</v>
      </c>
      <c r="X259" s="2" t="s">
        <v>156</v>
      </c>
    </row>
    <row r="260" customFormat="false" ht="15" hidden="false" customHeight="false" outlineLevel="0" collapsed="false">
      <c r="A260" s="2" t="n">
        <v>362540072</v>
      </c>
      <c r="B260" s="29" t="n">
        <v>46223.4930208333</v>
      </c>
      <c r="C260" s="2" t="s">
        <v>153</v>
      </c>
      <c r="D260" s="2" t="s">
        <v>446</v>
      </c>
      <c r="E260" s="2" t="s">
        <v>78</v>
      </c>
      <c r="F260" s="2" t="s">
        <v>106</v>
      </c>
      <c r="G260" s="30" t="n">
        <v>31</v>
      </c>
      <c r="H260" s="11" t="n">
        <v>299.99</v>
      </c>
      <c r="I260" s="11" t="s">
        <v>350</v>
      </c>
      <c r="J260" s="11" t="n">
        <v>81.73</v>
      </c>
      <c r="K260" s="11" t="n">
        <v>82.21</v>
      </c>
      <c r="L260" s="11" t="n">
        <v>0.3</v>
      </c>
      <c r="M260" s="11" t="n">
        <v>0.6</v>
      </c>
      <c r="N260" s="11" t="n">
        <v>1</v>
      </c>
      <c r="O260" s="11" t="n">
        <v>4.5</v>
      </c>
      <c r="P260" s="11" t="n">
        <v>1.86</v>
      </c>
      <c r="Q260" s="11" t="n">
        <v>13.95</v>
      </c>
      <c r="R260" s="11" t="n">
        <f aca="false">SUM(K260:Q260)</f>
        <v>104.42</v>
      </c>
      <c r="S260" s="11" t="n">
        <f aca="false">R260/(1-Resumo!$C$6)</f>
        <v>118.659090909091</v>
      </c>
      <c r="T260" s="11" t="n">
        <f aca="false">S260-J260</f>
        <v>36.9290909090909</v>
      </c>
      <c r="U260" s="12" t="n">
        <f aca="false">IFERROR(S260/J260-1,0)</f>
        <v>0.451842541405737</v>
      </c>
      <c r="V260" s="2" t="str">
        <f aca="false">IF(S260&lt;J260,"SIM","NÃO")</f>
        <v>NÃO</v>
      </c>
      <c r="W260" s="2" t="n">
        <v>5</v>
      </c>
      <c r="X260" s="2" t="s">
        <v>156</v>
      </c>
    </row>
    <row r="261" customFormat="false" ht="15" hidden="false" customHeight="false" outlineLevel="0" collapsed="false">
      <c r="A261" s="2" t="n">
        <v>362579744</v>
      </c>
      <c r="B261" s="29" t="n">
        <v>46223.5623726852</v>
      </c>
      <c r="C261" s="2" t="s">
        <v>153</v>
      </c>
      <c r="D261" s="2" t="s">
        <v>447</v>
      </c>
      <c r="E261" s="2" t="s">
        <v>448</v>
      </c>
      <c r="F261" s="2" t="s">
        <v>107</v>
      </c>
      <c r="G261" s="30" t="n">
        <v>36.8</v>
      </c>
      <c r="H261" s="11" t="n">
        <v>479.99</v>
      </c>
      <c r="I261" s="11" t="s">
        <v>350</v>
      </c>
      <c r="J261" s="11" t="n">
        <v>123</v>
      </c>
      <c r="K261" s="11" t="n">
        <v>124.38</v>
      </c>
      <c r="L261" s="11" t="n">
        <v>0.48</v>
      </c>
      <c r="M261" s="11" t="n">
        <v>0.96</v>
      </c>
      <c r="N261" s="11" t="n">
        <v>1</v>
      </c>
      <c r="O261" s="11" t="n">
        <v>4.5</v>
      </c>
      <c r="P261" s="11" t="n">
        <v>2.22</v>
      </c>
      <c r="Q261" s="11" t="n">
        <v>16.65</v>
      </c>
      <c r="R261" s="11" t="n">
        <f aca="false">SUM(K261:Q261)</f>
        <v>150.19</v>
      </c>
      <c r="S261" s="11" t="n">
        <f aca="false">R261/(1-Resumo!$C$6)</f>
        <v>170.670454545455</v>
      </c>
      <c r="T261" s="11" t="n">
        <f aca="false">S261-J261</f>
        <v>47.6704545454545</v>
      </c>
      <c r="U261" s="12" t="n">
        <f aca="false">IFERROR(S261/J261-1,0)</f>
        <v>0.387564671101256</v>
      </c>
      <c r="V261" s="2" t="str">
        <f aca="false">IF(S261&lt;J261,"SIM","NÃO")</f>
        <v>NÃO</v>
      </c>
      <c r="W261" s="2" t="n">
        <v>10</v>
      </c>
      <c r="X261" s="2" t="s">
        <v>161</v>
      </c>
    </row>
    <row r="262" customFormat="false" ht="15" hidden="false" customHeight="false" outlineLevel="0" collapsed="false">
      <c r="A262" s="2" t="n">
        <v>362586052</v>
      </c>
      <c r="B262" s="29" t="n">
        <v>46223.5748958333</v>
      </c>
      <c r="C262" s="2" t="s">
        <v>158</v>
      </c>
      <c r="D262" s="2" t="s">
        <v>449</v>
      </c>
      <c r="E262" s="2" t="s">
        <v>91</v>
      </c>
      <c r="F262" s="2" t="s">
        <v>109</v>
      </c>
      <c r="G262" s="30" t="n">
        <v>56.7</v>
      </c>
      <c r="H262" s="11" t="n">
        <v>630.57</v>
      </c>
      <c r="I262" s="11" t="s">
        <v>350</v>
      </c>
      <c r="J262" s="11" t="n">
        <v>143.72</v>
      </c>
      <c r="K262" s="11" t="n">
        <v>142.32</v>
      </c>
      <c r="L262" s="11" t="n">
        <v>0.6306</v>
      </c>
      <c r="M262" s="11" t="n">
        <v>1.2611</v>
      </c>
      <c r="N262" s="11" t="n">
        <v>1</v>
      </c>
      <c r="O262" s="11" t="n">
        <v>4.5</v>
      </c>
      <c r="P262" s="11" t="n">
        <v>3.42</v>
      </c>
      <c r="Q262" s="11" t="n">
        <v>25.65</v>
      </c>
      <c r="R262" s="11" t="n">
        <f aca="false">SUM(K262:Q262)</f>
        <v>178.7817</v>
      </c>
      <c r="S262" s="11" t="n">
        <f aca="false">R262/(1-Resumo!$C$6)</f>
        <v>203.161022727273</v>
      </c>
      <c r="T262" s="11" t="n">
        <f aca="false">S262-J262</f>
        <v>59.4410227272727</v>
      </c>
      <c r="U262" s="12" t="n">
        <f aca="false">IFERROR(S262/J262-1,0)</f>
        <v>0.413589081041419</v>
      </c>
      <c r="V262" s="2" t="str">
        <f aca="false">IF(S262&lt;J262,"SIM","NÃO")</f>
        <v>NÃO</v>
      </c>
      <c r="W262" s="2" t="n">
        <v>10</v>
      </c>
      <c r="X262" s="2" t="s">
        <v>156</v>
      </c>
    </row>
    <row r="263" customFormat="false" ht="15" hidden="false" customHeight="false" outlineLevel="0" collapsed="false">
      <c r="A263" s="2" t="n">
        <v>362588416</v>
      </c>
      <c r="B263" s="29" t="n">
        <v>46223.5805324074</v>
      </c>
      <c r="C263" s="2" t="s">
        <v>153</v>
      </c>
      <c r="D263" s="2" t="s">
        <v>450</v>
      </c>
      <c r="E263" s="2" t="s">
        <v>78</v>
      </c>
      <c r="F263" s="2" t="s">
        <v>109</v>
      </c>
      <c r="G263" s="30" t="n">
        <v>56.7</v>
      </c>
      <c r="H263" s="11" t="n">
        <v>705.47</v>
      </c>
      <c r="I263" s="11" t="s">
        <v>155</v>
      </c>
      <c r="J263" s="11" t="n">
        <v>114.52</v>
      </c>
      <c r="K263" s="11" t="n">
        <v>112.3</v>
      </c>
      <c r="L263" s="11" t="n">
        <v>0.7055</v>
      </c>
      <c r="M263" s="11" t="n">
        <v>1.4109</v>
      </c>
      <c r="N263" s="11" t="n">
        <v>1</v>
      </c>
      <c r="O263" s="11" t="n">
        <v>4.5</v>
      </c>
      <c r="P263" s="11" t="n">
        <v>3.42</v>
      </c>
      <c r="Q263" s="11" t="n">
        <v>25.65</v>
      </c>
      <c r="R263" s="11" t="n">
        <f aca="false">SUM(K263:Q263)</f>
        <v>148.9864</v>
      </c>
      <c r="S263" s="11" t="n">
        <f aca="false">R263/(1-Resumo!$C$6)</f>
        <v>169.302727272727</v>
      </c>
      <c r="T263" s="11" t="n">
        <f aca="false">S263-J263</f>
        <v>54.7827272727273</v>
      </c>
      <c r="U263" s="12" t="n">
        <f aca="false">IFERROR(S263/J263-1,0)</f>
        <v>0.478368208808307</v>
      </c>
      <c r="V263" s="2" t="str">
        <f aca="false">IF(S263&lt;J263,"SIM","NÃO")</f>
        <v>NÃO</v>
      </c>
      <c r="W263" s="2" t="n">
        <v>5</v>
      </c>
      <c r="X263" s="2" t="s">
        <v>156</v>
      </c>
    </row>
    <row r="264" customFormat="false" ht="15" hidden="false" customHeight="false" outlineLevel="0" collapsed="false">
      <c r="A264" s="2" t="n">
        <v>362628696</v>
      </c>
      <c r="B264" s="29" t="n">
        <v>46223.6480671296</v>
      </c>
      <c r="C264" s="2" t="s">
        <v>153</v>
      </c>
      <c r="D264" s="2" t="s">
        <v>451</v>
      </c>
      <c r="E264" s="2" t="s">
        <v>79</v>
      </c>
      <c r="F264" s="2" t="s">
        <v>108</v>
      </c>
      <c r="G264" s="30" t="n">
        <v>45.3</v>
      </c>
      <c r="H264" s="11" t="n">
        <v>699.99</v>
      </c>
      <c r="I264" s="11" t="s">
        <v>350</v>
      </c>
      <c r="J264" s="11" t="n">
        <v>117.73</v>
      </c>
      <c r="K264" s="11" t="n">
        <v>114.95</v>
      </c>
      <c r="L264" s="11" t="n">
        <v>0.7</v>
      </c>
      <c r="M264" s="11" t="n">
        <v>1.4</v>
      </c>
      <c r="N264" s="11" t="n">
        <v>1</v>
      </c>
      <c r="O264" s="11" t="n">
        <v>4.5</v>
      </c>
      <c r="P264" s="11" t="n">
        <v>2.76</v>
      </c>
      <c r="Q264" s="11" t="n">
        <v>20.7</v>
      </c>
      <c r="R264" s="11" t="n">
        <f aca="false">SUM(K264:Q264)</f>
        <v>146.01</v>
      </c>
      <c r="S264" s="11" t="n">
        <f aca="false">R264/(1-Resumo!$C$6)</f>
        <v>165.920454545455</v>
      </c>
      <c r="T264" s="11" t="n">
        <f aca="false">S264-J264</f>
        <v>48.1904545454545</v>
      </c>
      <c r="U264" s="12" t="n">
        <f aca="false">IFERROR(S264/J264-1,0)</f>
        <v>0.409330285784885</v>
      </c>
      <c r="V264" s="2" t="str">
        <f aca="false">IF(S264&lt;J264,"SIM","NÃO")</f>
        <v>NÃO</v>
      </c>
      <c r="W264" s="2" t="n">
        <v>7</v>
      </c>
      <c r="X264" s="2" t="s">
        <v>156</v>
      </c>
    </row>
    <row r="265" customFormat="false" ht="15" hidden="false" customHeight="false" outlineLevel="0" collapsed="false">
      <c r="A265" s="2" t="n">
        <v>362671141</v>
      </c>
      <c r="B265" s="29" t="n">
        <v>46223.7188310185</v>
      </c>
      <c r="C265" s="2" t="s">
        <v>191</v>
      </c>
      <c r="D265" s="2" t="s">
        <v>452</v>
      </c>
      <c r="E265" s="2" t="s">
        <v>78</v>
      </c>
      <c r="F265" s="2" t="s">
        <v>109</v>
      </c>
      <c r="G265" s="30" t="n">
        <v>58.5</v>
      </c>
      <c r="H265" s="11" t="n">
        <v>989.99</v>
      </c>
      <c r="I265" s="11" t="s">
        <v>155</v>
      </c>
      <c r="J265" s="11" t="n">
        <v>115.9</v>
      </c>
      <c r="K265" s="11" t="n">
        <v>112.3</v>
      </c>
      <c r="L265" s="11" t="n">
        <v>0.99</v>
      </c>
      <c r="M265" s="11" t="n">
        <v>1.98</v>
      </c>
      <c r="N265" s="11" t="n">
        <v>1</v>
      </c>
      <c r="O265" s="11" t="n">
        <v>4.5</v>
      </c>
      <c r="P265" s="11" t="n">
        <v>3.54</v>
      </c>
      <c r="Q265" s="11" t="n">
        <v>26.55</v>
      </c>
      <c r="R265" s="11" t="n">
        <f aca="false">SUM(K265:Q265)</f>
        <v>150.86</v>
      </c>
      <c r="S265" s="11" t="n">
        <f aca="false">R265/(1-Resumo!$C$6)</f>
        <v>171.431818181818</v>
      </c>
      <c r="T265" s="11" t="n">
        <f aca="false">S265-J265</f>
        <v>55.5318181818182</v>
      </c>
      <c r="U265" s="12" t="n">
        <f aca="false">IFERROR(S265/J265-1,0)</f>
        <v>0.479135618479881</v>
      </c>
      <c r="V265" s="2" t="str">
        <f aca="false">IF(S265&lt;J265,"SIM","NÃO")</f>
        <v>NÃO</v>
      </c>
      <c r="W265" s="2" t="n">
        <v>5</v>
      </c>
      <c r="X265" s="2" t="s">
        <v>156</v>
      </c>
    </row>
    <row r="266" customFormat="false" ht="15" hidden="false" customHeight="false" outlineLevel="0" collapsed="false">
      <c r="A266" s="2" t="n">
        <v>362696085</v>
      </c>
      <c r="B266" s="29" t="n">
        <v>46223.769537037</v>
      </c>
      <c r="C266" s="2" t="s">
        <v>153</v>
      </c>
      <c r="D266" s="2" t="s">
        <v>453</v>
      </c>
      <c r="E266" s="2" t="s">
        <v>81</v>
      </c>
      <c r="F266" s="2" t="s">
        <v>106</v>
      </c>
      <c r="G266" s="30" t="n">
        <v>31</v>
      </c>
      <c r="H266" s="11" t="n">
        <v>299.99</v>
      </c>
      <c r="I266" s="11" t="s">
        <v>350</v>
      </c>
      <c r="J266" s="11" t="n">
        <v>100.69</v>
      </c>
      <c r="K266" s="11" t="n">
        <v>82.21</v>
      </c>
      <c r="L266" s="11" t="n">
        <v>0.3</v>
      </c>
      <c r="M266" s="11" t="n">
        <v>0.6</v>
      </c>
      <c r="N266" s="11" t="n">
        <v>1</v>
      </c>
      <c r="O266" s="11" t="n">
        <v>4.5</v>
      </c>
      <c r="P266" s="11" t="n">
        <v>1.86</v>
      </c>
      <c r="Q266" s="11" t="n">
        <v>13.95</v>
      </c>
      <c r="R266" s="11" t="n">
        <f aca="false">SUM(K266:Q266)</f>
        <v>104.42</v>
      </c>
      <c r="S266" s="11" t="n">
        <f aca="false">R266/(1-Resumo!$C$6)</f>
        <v>118.659090909091</v>
      </c>
      <c r="T266" s="11" t="n">
        <f aca="false">S266-J266</f>
        <v>17.9690909090909</v>
      </c>
      <c r="U266" s="12" t="n">
        <f aca="false">IFERROR(S266/J266-1,0)</f>
        <v>0.178459538276799</v>
      </c>
      <c r="V266" s="2" t="str">
        <f aca="false">IF(S266&lt;J266,"SIM","NÃO")</f>
        <v>NÃO</v>
      </c>
      <c r="W266" s="2" t="n">
        <v>5</v>
      </c>
      <c r="X266" s="2" t="s">
        <v>156</v>
      </c>
    </row>
    <row r="267" customFormat="false" ht="15" hidden="false" customHeight="false" outlineLevel="0" collapsed="false">
      <c r="A267" s="2" t="n">
        <v>362702165</v>
      </c>
      <c r="B267" s="29" t="n">
        <v>46223.779224537</v>
      </c>
      <c r="C267" s="2" t="s">
        <v>158</v>
      </c>
      <c r="D267" s="2" t="s">
        <v>454</v>
      </c>
      <c r="E267" s="2" t="s">
        <v>80</v>
      </c>
      <c r="F267" s="2" t="s">
        <v>109</v>
      </c>
      <c r="G267" s="30" t="n">
        <v>52.3</v>
      </c>
      <c r="H267" s="11" t="n">
        <v>637.43</v>
      </c>
      <c r="I267" s="11" t="s">
        <v>350</v>
      </c>
      <c r="J267" s="11" t="n">
        <v>127.4</v>
      </c>
      <c r="K267" s="11" t="n">
        <v>112.3</v>
      </c>
      <c r="L267" s="11" t="n">
        <v>0.6374</v>
      </c>
      <c r="M267" s="11" t="n">
        <v>1.2749</v>
      </c>
      <c r="N267" s="11" t="n">
        <v>1</v>
      </c>
      <c r="O267" s="11" t="n">
        <v>4.5</v>
      </c>
      <c r="P267" s="11" t="n">
        <v>3.18</v>
      </c>
      <c r="Q267" s="11" t="n">
        <v>23.85</v>
      </c>
      <c r="R267" s="11" t="n">
        <f aca="false">SUM(K267:Q267)</f>
        <v>146.7423</v>
      </c>
      <c r="S267" s="11" t="n">
        <f aca="false">R267/(1-Resumo!$C$6)</f>
        <v>166.752613636364</v>
      </c>
      <c r="T267" s="11" t="n">
        <f aca="false">S267-J267</f>
        <v>39.3526136363636</v>
      </c>
      <c r="U267" s="12" t="n">
        <f aca="false">IFERROR(S267/J267-1,0)</f>
        <v>0.308890216925931</v>
      </c>
      <c r="V267" s="2" t="str">
        <f aca="false">IF(S267&lt;J267,"SIM","NÃO")</f>
        <v>NÃO</v>
      </c>
      <c r="W267" s="2" t="n">
        <v>5</v>
      </c>
      <c r="X267" s="2" t="s">
        <v>156</v>
      </c>
    </row>
    <row r="268" customFormat="false" ht="15" hidden="false" customHeight="false" outlineLevel="0" collapsed="false">
      <c r="A268" s="2" t="n">
        <v>362728848</v>
      </c>
      <c r="B268" s="29" t="n">
        <v>46223.8207638889</v>
      </c>
      <c r="C268" s="2" t="s">
        <v>153</v>
      </c>
      <c r="D268" s="2" t="s">
        <v>455</v>
      </c>
      <c r="E268" s="2" t="s">
        <v>78</v>
      </c>
      <c r="F268" s="2" t="s">
        <v>105</v>
      </c>
      <c r="G268" s="30" t="n">
        <v>19.5</v>
      </c>
      <c r="H268" s="11" t="n">
        <v>389.99</v>
      </c>
      <c r="I268" s="11" t="s">
        <v>155</v>
      </c>
      <c r="J268" s="11" t="n">
        <v>65.09</v>
      </c>
      <c r="K268" s="11" t="n">
        <v>46.98</v>
      </c>
      <c r="L268" s="11" t="n">
        <v>0.39</v>
      </c>
      <c r="M268" s="11" t="n">
        <v>0.78</v>
      </c>
      <c r="N268" s="11" t="n">
        <v>1</v>
      </c>
      <c r="O268" s="11" t="n">
        <v>4.5</v>
      </c>
      <c r="P268" s="11" t="n">
        <v>1.2</v>
      </c>
      <c r="Q268" s="11" t="n">
        <v>9</v>
      </c>
      <c r="R268" s="11" t="n">
        <f aca="false">SUM(K268:Q268)</f>
        <v>63.85</v>
      </c>
      <c r="S268" s="11" t="n">
        <f aca="false">R268/(1-Resumo!$C$6)</f>
        <v>72.5568181818182</v>
      </c>
      <c r="T268" s="11" t="n">
        <f aca="false">S268-J268</f>
        <v>7.46681818181817</v>
      </c>
      <c r="U268" s="12" t="n">
        <f aca="false">IFERROR(S268/J268-1,0)</f>
        <v>0.114715289319683</v>
      </c>
      <c r="V268" s="2" t="str">
        <f aca="false">IF(S268&lt;J268,"SIM","NÃO")</f>
        <v>NÃO</v>
      </c>
      <c r="W268" s="2" t="n">
        <v>5</v>
      </c>
      <c r="X268" s="2" t="s">
        <v>156</v>
      </c>
    </row>
    <row r="269" customFormat="false" ht="15" hidden="false" customHeight="false" outlineLevel="0" collapsed="false">
      <c r="A269" s="2" t="n">
        <v>362743719</v>
      </c>
      <c r="B269" s="29" t="n">
        <v>46223.8447222222</v>
      </c>
      <c r="C269" s="2" t="s">
        <v>153</v>
      </c>
      <c r="D269" s="2" t="s">
        <v>456</v>
      </c>
      <c r="E269" s="2" t="s">
        <v>78</v>
      </c>
      <c r="F269" s="2" t="s">
        <v>105</v>
      </c>
      <c r="G269" s="30" t="n">
        <v>19.9</v>
      </c>
      <c r="H269" s="11" t="n">
        <v>259.99</v>
      </c>
      <c r="I269" s="11" t="s">
        <v>350</v>
      </c>
      <c r="J269" s="11" t="n">
        <v>66.05</v>
      </c>
      <c r="K269" s="11" t="n">
        <v>46.98</v>
      </c>
      <c r="L269" s="11" t="n">
        <v>0.26</v>
      </c>
      <c r="M269" s="11" t="n">
        <v>0.52</v>
      </c>
      <c r="N269" s="11" t="n">
        <v>1</v>
      </c>
      <c r="O269" s="11" t="n">
        <v>4.5</v>
      </c>
      <c r="P269" s="11" t="n">
        <v>1.2</v>
      </c>
      <c r="Q269" s="11" t="n">
        <v>9</v>
      </c>
      <c r="R269" s="11" t="n">
        <f aca="false">SUM(K269:Q269)</f>
        <v>63.46</v>
      </c>
      <c r="S269" s="11" t="n">
        <f aca="false">R269/(1-Resumo!$C$6)</f>
        <v>72.1136363636364</v>
      </c>
      <c r="T269" s="11" t="n">
        <f aca="false">S269-J269</f>
        <v>6.06363636363636</v>
      </c>
      <c r="U269" s="12" t="n">
        <f aca="false">IFERROR(S269/J269-1,0)</f>
        <v>0.0918037299566443</v>
      </c>
      <c r="V269" s="2" t="str">
        <f aca="false">IF(S269&lt;J269,"SIM","NÃO")</f>
        <v>NÃO</v>
      </c>
      <c r="W269" s="2" t="n">
        <v>5</v>
      </c>
      <c r="X269" s="2" t="s">
        <v>156</v>
      </c>
    </row>
    <row r="270" customFormat="false" ht="15" hidden="false" customHeight="false" outlineLevel="0" collapsed="false">
      <c r="A270" s="2" t="n">
        <v>362335823</v>
      </c>
      <c r="B270" s="29" t="n">
        <v>46223.8718634259</v>
      </c>
      <c r="C270" s="2" t="s">
        <v>178</v>
      </c>
      <c r="D270" s="2" t="s">
        <v>457</v>
      </c>
      <c r="E270" s="2" t="s">
        <v>78</v>
      </c>
      <c r="F270" s="2" t="s">
        <v>106</v>
      </c>
      <c r="G270" s="30" t="n">
        <v>31</v>
      </c>
      <c r="H270" s="11" t="n">
        <v>339.99</v>
      </c>
      <c r="I270" s="11" t="s">
        <v>350</v>
      </c>
      <c r="J270" s="11" t="n">
        <v>81.91</v>
      </c>
      <c r="K270" s="11" t="n">
        <v>82.21</v>
      </c>
      <c r="L270" s="11" t="n">
        <v>0.34</v>
      </c>
      <c r="M270" s="11" t="n">
        <v>0.68</v>
      </c>
      <c r="N270" s="11" t="n">
        <v>1</v>
      </c>
      <c r="O270" s="11" t="n">
        <v>4.5</v>
      </c>
      <c r="P270" s="11" t="n">
        <v>1.86</v>
      </c>
      <c r="Q270" s="11" t="n">
        <v>13.95</v>
      </c>
      <c r="R270" s="11" t="n">
        <f aca="false">SUM(K270:Q270)</f>
        <v>104.54</v>
      </c>
      <c r="S270" s="11" t="n">
        <f aca="false">R270/(1-Resumo!$C$6)</f>
        <v>118.795454545455</v>
      </c>
      <c r="T270" s="11" t="n">
        <f aca="false">S270-J270</f>
        <v>36.8854545454545</v>
      </c>
      <c r="U270" s="12" t="n">
        <f aca="false">IFERROR(S270/J270-1,0)</f>
        <v>0.450316866627451</v>
      </c>
      <c r="V270" s="2" t="str">
        <f aca="false">IF(S270&lt;J270,"SIM","NÃO")</f>
        <v>NÃO</v>
      </c>
      <c r="W270" s="2" t="n">
        <v>5</v>
      </c>
      <c r="X270" s="2" t="s">
        <v>156</v>
      </c>
    </row>
    <row r="271" customFormat="false" ht="15" hidden="false" customHeight="false" outlineLevel="0" collapsed="false">
      <c r="A271" s="2" t="n">
        <v>362769025</v>
      </c>
      <c r="B271" s="29" t="n">
        <v>46223.8948726852</v>
      </c>
      <c r="C271" s="2" t="s">
        <v>198</v>
      </c>
      <c r="D271" s="2" t="s">
        <v>458</v>
      </c>
      <c r="E271" s="2" t="s">
        <v>78</v>
      </c>
      <c r="F271" s="2" t="s">
        <v>109</v>
      </c>
      <c r="G271" s="30" t="n">
        <v>52.3</v>
      </c>
      <c r="H271" s="11" t="n">
        <v>616.99</v>
      </c>
      <c r="I271" s="11" t="s">
        <v>350</v>
      </c>
      <c r="J271" s="11" t="n">
        <v>113.24</v>
      </c>
      <c r="K271" s="11" t="n">
        <v>112.3</v>
      </c>
      <c r="L271" s="11" t="n">
        <v>0.617</v>
      </c>
      <c r="M271" s="11" t="n">
        <v>1.234</v>
      </c>
      <c r="N271" s="11" t="n">
        <v>1</v>
      </c>
      <c r="O271" s="11" t="n">
        <v>4.5</v>
      </c>
      <c r="P271" s="11" t="n">
        <v>3.18</v>
      </c>
      <c r="Q271" s="11" t="n">
        <v>23.85</v>
      </c>
      <c r="R271" s="11" t="n">
        <f aca="false">SUM(K271:Q271)</f>
        <v>146.681</v>
      </c>
      <c r="S271" s="11" t="n">
        <f aca="false">R271/(1-Resumo!$C$6)</f>
        <v>166.682954545455</v>
      </c>
      <c r="T271" s="11" t="n">
        <f aca="false">S271-J271</f>
        <v>53.4429545454546</v>
      </c>
      <c r="U271" s="12" t="n">
        <f aca="false">IFERROR(S271/J271-1,0)</f>
        <v>0.471944141164381</v>
      </c>
      <c r="V271" s="2" t="str">
        <f aca="false">IF(S271&lt;J271,"SIM","NÃO")</f>
        <v>NÃO</v>
      </c>
      <c r="W271" s="2" t="n">
        <v>5</v>
      </c>
      <c r="X271" s="2" t="s">
        <v>156</v>
      </c>
    </row>
    <row r="272" customFormat="false" ht="15" hidden="false" customHeight="false" outlineLevel="0" collapsed="false">
      <c r="A272" s="2" t="n">
        <v>362781581</v>
      </c>
      <c r="B272" s="29" t="n">
        <v>46223.915162037</v>
      </c>
      <c r="C272" s="2" t="s">
        <v>153</v>
      </c>
      <c r="D272" s="2" t="s">
        <v>459</v>
      </c>
      <c r="E272" s="2" t="s">
        <v>78</v>
      </c>
      <c r="F272" s="2" t="s">
        <v>106</v>
      </c>
      <c r="G272" s="30" t="n">
        <v>31</v>
      </c>
      <c r="H272" s="11" t="n">
        <v>299.99</v>
      </c>
      <c r="I272" s="11" t="s">
        <v>350</v>
      </c>
      <c r="J272" s="11" t="n">
        <v>81.73</v>
      </c>
      <c r="K272" s="11" t="n">
        <v>82.21</v>
      </c>
      <c r="L272" s="11" t="n">
        <v>0.3</v>
      </c>
      <c r="M272" s="11" t="n">
        <v>0.6</v>
      </c>
      <c r="N272" s="11" t="n">
        <v>1</v>
      </c>
      <c r="O272" s="11" t="n">
        <v>4.5</v>
      </c>
      <c r="P272" s="11" t="n">
        <v>1.86</v>
      </c>
      <c r="Q272" s="11" t="n">
        <v>13.95</v>
      </c>
      <c r="R272" s="11" t="n">
        <f aca="false">SUM(K272:Q272)</f>
        <v>104.42</v>
      </c>
      <c r="S272" s="11" t="n">
        <f aca="false">R272/(1-Resumo!$C$6)</f>
        <v>118.659090909091</v>
      </c>
      <c r="T272" s="11" t="n">
        <f aca="false">S272-J272</f>
        <v>36.9290909090909</v>
      </c>
      <c r="U272" s="12" t="n">
        <f aca="false">IFERROR(S272/J272-1,0)</f>
        <v>0.451842541405737</v>
      </c>
      <c r="V272" s="2" t="str">
        <f aca="false">IF(S272&lt;J272,"SIM","NÃO")</f>
        <v>NÃO</v>
      </c>
      <c r="W272" s="2" t="n">
        <v>5</v>
      </c>
      <c r="X272" s="2" t="s">
        <v>156</v>
      </c>
    </row>
    <row r="273" customFormat="false" ht="15" hidden="false" customHeight="false" outlineLevel="0" collapsed="false">
      <c r="A273" s="2" t="n">
        <v>362786339</v>
      </c>
      <c r="B273" s="29" t="n">
        <v>46223.9234375</v>
      </c>
      <c r="C273" s="2" t="s">
        <v>153</v>
      </c>
      <c r="D273" s="2" t="s">
        <v>460</v>
      </c>
      <c r="E273" s="2" t="s">
        <v>87</v>
      </c>
      <c r="F273" s="2" t="s">
        <v>109</v>
      </c>
      <c r="G273" s="30" t="n">
        <v>56.7</v>
      </c>
      <c r="H273" s="11" t="n">
        <v>705.47</v>
      </c>
      <c r="I273" s="11" t="s">
        <v>350</v>
      </c>
      <c r="J273" s="11" t="n">
        <v>144.08</v>
      </c>
      <c r="K273" s="11" t="n">
        <v>142.32</v>
      </c>
      <c r="L273" s="11" t="n">
        <v>0.7055</v>
      </c>
      <c r="M273" s="11" t="n">
        <v>1.4109</v>
      </c>
      <c r="N273" s="11" t="n">
        <v>1</v>
      </c>
      <c r="O273" s="11" t="n">
        <v>4.5</v>
      </c>
      <c r="P273" s="11" t="n">
        <v>3.42</v>
      </c>
      <c r="Q273" s="11" t="n">
        <v>25.65</v>
      </c>
      <c r="R273" s="11" t="n">
        <f aca="false">SUM(K273:Q273)</f>
        <v>179.0064</v>
      </c>
      <c r="S273" s="11" t="n">
        <f aca="false">R273/(1-Resumo!$C$6)</f>
        <v>203.416363636364</v>
      </c>
      <c r="T273" s="11" t="n">
        <f aca="false">S273-J273</f>
        <v>59.3363636363636</v>
      </c>
      <c r="U273" s="12" t="n">
        <f aca="false">IFERROR(S273/J273-1,0)</f>
        <v>0.411829286759881</v>
      </c>
      <c r="V273" s="2" t="str">
        <f aca="false">IF(S273&lt;J273,"SIM","NÃO")</f>
        <v>NÃO</v>
      </c>
      <c r="W273" s="2" t="n">
        <v>10</v>
      </c>
      <c r="X273" s="2" t="s">
        <v>156</v>
      </c>
    </row>
    <row r="274" customFormat="false" ht="15" hidden="false" customHeight="false" outlineLevel="0" collapsed="false">
      <c r="A274" s="2" t="n">
        <v>362784636</v>
      </c>
      <c r="B274" s="29" t="n">
        <v>46223.9236111111</v>
      </c>
      <c r="C274" s="2" t="s">
        <v>191</v>
      </c>
      <c r="D274" s="2" t="s">
        <v>461</v>
      </c>
      <c r="E274" s="2" t="s">
        <v>78</v>
      </c>
      <c r="F274" s="2" t="s">
        <v>107</v>
      </c>
      <c r="G274" s="30" t="n">
        <v>37.58</v>
      </c>
      <c r="H274" s="11" t="n">
        <v>499.99</v>
      </c>
      <c r="I274" s="11" t="s">
        <v>155</v>
      </c>
      <c r="J274" s="11" t="n">
        <v>92.25</v>
      </c>
      <c r="K274" s="11" t="n">
        <v>93.97</v>
      </c>
      <c r="L274" s="11" t="n">
        <v>0.5</v>
      </c>
      <c r="M274" s="11" t="n">
        <v>1</v>
      </c>
      <c r="N274" s="11" t="n">
        <v>1</v>
      </c>
      <c r="O274" s="11" t="n">
        <v>4.5</v>
      </c>
      <c r="P274" s="11" t="n">
        <v>2.28</v>
      </c>
      <c r="Q274" s="11" t="n">
        <v>17.1</v>
      </c>
      <c r="R274" s="11" t="n">
        <f aca="false">SUM(K274:Q274)</f>
        <v>120.35</v>
      </c>
      <c r="S274" s="11" t="n">
        <f aca="false">R274/(1-Resumo!$C$6)</f>
        <v>136.761363636364</v>
      </c>
      <c r="T274" s="11" t="n">
        <f aca="false">S274-J274</f>
        <v>44.5113636363636</v>
      </c>
      <c r="U274" s="12" t="n">
        <f aca="false">IFERROR(S274/J274-1,0)</f>
        <v>0.482508006898251</v>
      </c>
      <c r="V274" s="2" t="str">
        <f aca="false">IF(S274&lt;J274,"SIM","NÃO")</f>
        <v>NÃO</v>
      </c>
      <c r="W274" s="2" t="n">
        <v>5</v>
      </c>
      <c r="X274" s="2" t="s">
        <v>156</v>
      </c>
    </row>
    <row r="275" customFormat="false" ht="15" hidden="false" customHeight="false" outlineLevel="0" collapsed="false">
      <c r="A275" s="2" t="n">
        <v>362787381</v>
      </c>
      <c r="B275" s="29" t="n">
        <v>46223.9249421296</v>
      </c>
      <c r="C275" s="2" t="s">
        <v>158</v>
      </c>
      <c r="D275" s="2" t="s">
        <v>462</v>
      </c>
      <c r="E275" s="2" t="s">
        <v>412</v>
      </c>
      <c r="F275" s="2" t="s">
        <v>106</v>
      </c>
      <c r="G275" s="30" t="n">
        <v>33</v>
      </c>
      <c r="H275" s="11" t="n">
        <v>523.75</v>
      </c>
      <c r="I275" s="11" t="s">
        <v>350</v>
      </c>
      <c r="J275" s="11" t="n">
        <v>110.55</v>
      </c>
      <c r="K275" s="11" t="n">
        <v>108.83</v>
      </c>
      <c r="L275" s="11" t="n">
        <v>0.5238</v>
      </c>
      <c r="M275" s="11" t="n">
        <v>1.0475</v>
      </c>
      <c r="N275" s="11" t="n">
        <v>1</v>
      </c>
      <c r="O275" s="11" t="n">
        <v>4.5</v>
      </c>
      <c r="P275" s="11" t="n">
        <v>1.98</v>
      </c>
      <c r="Q275" s="11" t="n">
        <v>14.85</v>
      </c>
      <c r="R275" s="11" t="n">
        <f aca="false">SUM(K275:Q275)</f>
        <v>132.7313</v>
      </c>
      <c r="S275" s="11" t="n">
        <f aca="false">R275/(1-Resumo!$C$6)</f>
        <v>150.831022727273</v>
      </c>
      <c r="T275" s="11" t="n">
        <f aca="false">S275-J275</f>
        <v>40.2810227272727</v>
      </c>
      <c r="U275" s="12" t="n">
        <f aca="false">IFERROR(S275/J275-1,0)</f>
        <v>0.364369269355701</v>
      </c>
      <c r="V275" s="2" t="str">
        <f aca="false">IF(S275&lt;J275,"SIM","NÃO")</f>
        <v>NÃO</v>
      </c>
      <c r="W275" s="2" t="n">
        <v>10</v>
      </c>
      <c r="X275" s="2" t="s">
        <v>161</v>
      </c>
    </row>
    <row r="276" customFormat="false" ht="15" hidden="false" customHeight="false" outlineLevel="0" collapsed="false">
      <c r="A276" s="2" t="n">
        <v>362787236</v>
      </c>
      <c r="B276" s="29" t="n">
        <v>46223.9250578704</v>
      </c>
      <c r="C276" s="2" t="s">
        <v>153</v>
      </c>
      <c r="D276" s="2" t="s">
        <v>380</v>
      </c>
      <c r="E276" s="2" t="s">
        <v>381</v>
      </c>
      <c r="F276" s="2" t="s">
        <v>109</v>
      </c>
      <c r="G276" s="30" t="n">
        <v>52.3</v>
      </c>
      <c r="H276" s="11" t="n">
        <v>619.99</v>
      </c>
      <c r="I276" s="11" t="s">
        <v>350</v>
      </c>
      <c r="J276" s="11" t="n">
        <v>141.63</v>
      </c>
      <c r="K276" s="11" t="n">
        <v>162.04</v>
      </c>
      <c r="L276" s="11" t="n">
        <v>0.62</v>
      </c>
      <c r="M276" s="11" t="n">
        <v>1.24</v>
      </c>
      <c r="N276" s="11" t="n">
        <v>1</v>
      </c>
      <c r="O276" s="11" t="n">
        <v>4.5</v>
      </c>
      <c r="P276" s="11" t="n">
        <v>3.18</v>
      </c>
      <c r="Q276" s="11" t="n">
        <v>23.85</v>
      </c>
      <c r="R276" s="11" t="n">
        <f aca="false">SUM(K276:Q276)</f>
        <v>196.43</v>
      </c>
      <c r="S276" s="11" t="n">
        <f aca="false">R276/(1-Resumo!$C$6)</f>
        <v>223.215909090909</v>
      </c>
      <c r="T276" s="11" t="n">
        <f aca="false">S276-J276</f>
        <v>81.5859090909091</v>
      </c>
      <c r="U276" s="12" t="n">
        <f aca="false">IFERROR(S276/J276-1,0)</f>
        <v>0.5760496299577</v>
      </c>
      <c r="V276" s="2" t="str">
        <f aca="false">IF(S276&lt;J276,"SIM","NÃO")</f>
        <v>NÃO</v>
      </c>
      <c r="W276" s="2" t="n">
        <v>11</v>
      </c>
      <c r="X276" s="2" t="s">
        <v>161</v>
      </c>
    </row>
    <row r="277" customFormat="false" ht="15" hidden="false" customHeight="false" outlineLevel="0" collapsed="false">
      <c r="A277" s="2" t="n">
        <v>362790049</v>
      </c>
      <c r="B277" s="29" t="n">
        <v>46223.9302662037</v>
      </c>
      <c r="C277" s="2" t="s">
        <v>153</v>
      </c>
      <c r="D277" s="2" t="s">
        <v>463</v>
      </c>
      <c r="E277" s="2" t="s">
        <v>84</v>
      </c>
      <c r="F277" s="2" t="s">
        <v>112</v>
      </c>
      <c r="G277" s="30" t="n">
        <v>82.4</v>
      </c>
      <c r="H277" s="11" t="n">
        <v>1210.05</v>
      </c>
      <c r="I277" s="11" t="s">
        <v>350</v>
      </c>
      <c r="J277" s="11" t="n">
        <v>169.72</v>
      </c>
      <c r="K277" s="11" t="n">
        <v>167.99</v>
      </c>
      <c r="L277" s="11" t="n">
        <v>1.21</v>
      </c>
      <c r="M277" s="11" t="n">
        <v>2.4201</v>
      </c>
      <c r="N277" s="11" t="n">
        <v>1</v>
      </c>
      <c r="O277" s="11" t="n">
        <v>4.5</v>
      </c>
      <c r="P277" s="11" t="n">
        <v>4.98</v>
      </c>
      <c r="Q277" s="11" t="n">
        <v>37.35</v>
      </c>
      <c r="R277" s="11" t="n">
        <f aca="false">SUM(K277:Q277)</f>
        <v>219.4501</v>
      </c>
      <c r="S277" s="11" t="n">
        <f aca="false">R277/(1-Resumo!$C$6)</f>
        <v>249.375113636364</v>
      </c>
      <c r="T277" s="11" t="n">
        <f aca="false">S277-J277</f>
        <v>79.6551136363636</v>
      </c>
      <c r="U277" s="12" t="n">
        <f aca="false">IFERROR(S277/J277-1,0)</f>
        <v>0.469332510230754</v>
      </c>
      <c r="V277" s="2" t="str">
        <f aca="false">IF(S277&lt;J277,"SIM","NÃO")</f>
        <v>NÃO</v>
      </c>
      <c r="W277" s="2" t="n">
        <v>5</v>
      </c>
      <c r="X277" s="2" t="s">
        <v>156</v>
      </c>
    </row>
    <row r="278" customFormat="false" ht="15" hidden="false" customHeight="false" outlineLevel="0" collapsed="false">
      <c r="A278" s="2" t="n">
        <v>362819660</v>
      </c>
      <c r="B278" s="29" t="n">
        <v>46223.9947800926</v>
      </c>
      <c r="C278" s="2" t="s">
        <v>158</v>
      </c>
      <c r="D278" s="2" t="s">
        <v>464</v>
      </c>
      <c r="E278" s="2" t="s">
        <v>78</v>
      </c>
      <c r="F278" s="2" t="s">
        <v>110</v>
      </c>
      <c r="G278" s="30" t="n">
        <v>69.15</v>
      </c>
      <c r="H278" s="11" t="n">
        <v>715.06</v>
      </c>
      <c r="I278" s="11" t="s">
        <v>155</v>
      </c>
      <c r="J278" s="11" t="n">
        <v>124.64</v>
      </c>
      <c r="K278" s="11" t="n">
        <v>131.02</v>
      </c>
      <c r="L278" s="11" t="n">
        <v>0.7151</v>
      </c>
      <c r="M278" s="11" t="n">
        <v>1.4301</v>
      </c>
      <c r="N278" s="11" t="n">
        <v>1</v>
      </c>
      <c r="O278" s="11" t="n">
        <v>4.5</v>
      </c>
      <c r="P278" s="11" t="n">
        <v>4.2</v>
      </c>
      <c r="Q278" s="11" t="n">
        <v>31.5</v>
      </c>
      <c r="R278" s="11" t="n">
        <f aca="false">SUM(K278:Q278)</f>
        <v>174.3652</v>
      </c>
      <c r="S278" s="11" t="n">
        <f aca="false">R278/(1-Resumo!$C$6)</f>
        <v>198.142272727273</v>
      </c>
      <c r="T278" s="11" t="n">
        <f aca="false">S278-J278</f>
        <v>73.5022727272727</v>
      </c>
      <c r="U278" s="12" t="n">
        <f aca="false">IFERROR(S278/J278-1,0)</f>
        <v>0.589716565526899</v>
      </c>
      <c r="V278" s="2" t="str">
        <f aca="false">IF(S278&lt;J278,"SIM","NÃO")</f>
        <v>NÃO</v>
      </c>
      <c r="W278" s="2" t="n">
        <v>5</v>
      </c>
      <c r="X278" s="2" t="s">
        <v>156</v>
      </c>
    </row>
    <row r="279" customFormat="false" ht="15" hidden="false" customHeight="false" outlineLevel="0" collapsed="false">
      <c r="A279" s="2" t="n">
        <v>362875558</v>
      </c>
      <c r="B279" s="29" t="n">
        <v>46224.1478703704</v>
      </c>
      <c r="C279" s="2" t="s">
        <v>153</v>
      </c>
      <c r="D279" s="2" t="s">
        <v>465</v>
      </c>
      <c r="E279" s="2" t="s">
        <v>78</v>
      </c>
      <c r="F279" s="2" t="s">
        <v>106</v>
      </c>
      <c r="G279" s="30" t="n">
        <v>34.4</v>
      </c>
      <c r="H279" s="11" t="n">
        <v>399.99</v>
      </c>
      <c r="I279" s="11" t="s">
        <v>155</v>
      </c>
      <c r="J279" s="11" t="n">
        <v>82.24</v>
      </c>
      <c r="K279" s="11" t="n">
        <v>82.21</v>
      </c>
      <c r="L279" s="11" t="n">
        <v>0.4</v>
      </c>
      <c r="M279" s="11" t="n">
        <v>0.8</v>
      </c>
      <c r="N279" s="11" t="n">
        <v>1</v>
      </c>
      <c r="O279" s="11" t="n">
        <v>4.5</v>
      </c>
      <c r="P279" s="11" t="n">
        <v>2.1</v>
      </c>
      <c r="Q279" s="11" t="n">
        <v>15.75</v>
      </c>
      <c r="R279" s="11" t="n">
        <f aca="false">SUM(K279:Q279)</f>
        <v>106.76</v>
      </c>
      <c r="S279" s="11" t="n">
        <f aca="false">R279/(1-Resumo!$C$6)</f>
        <v>121.318181818182</v>
      </c>
      <c r="T279" s="11" t="n">
        <f aca="false">S279-J279</f>
        <v>39.0781818181818</v>
      </c>
      <c r="U279" s="12" t="n">
        <f aca="false">IFERROR(S279/J279-1,0)</f>
        <v>0.47517244428723</v>
      </c>
      <c r="V279" s="2" t="str">
        <f aca="false">IF(S279&lt;J279,"SIM","NÃO")</f>
        <v>NÃO</v>
      </c>
      <c r="W279" s="2" t="n">
        <v>5</v>
      </c>
      <c r="X279" s="2" t="s">
        <v>156</v>
      </c>
    </row>
    <row r="280" customFormat="false" ht="15" hidden="false" customHeight="false" outlineLevel="0" collapsed="false">
      <c r="A280" s="2" t="n">
        <v>363100760</v>
      </c>
      <c r="B280" s="29" t="n">
        <v>46224.6301157407</v>
      </c>
      <c r="C280" s="2" t="s">
        <v>158</v>
      </c>
      <c r="D280" s="2" t="s">
        <v>466</v>
      </c>
      <c r="E280" s="2" t="s">
        <v>78</v>
      </c>
      <c r="F280" s="2" t="s">
        <v>106</v>
      </c>
      <c r="G280" s="30" t="n">
        <v>33.21</v>
      </c>
      <c r="H280" s="11" t="n">
        <v>378.56</v>
      </c>
      <c r="I280" s="11" t="s">
        <v>155</v>
      </c>
      <c r="J280" s="11" t="n">
        <v>82.15</v>
      </c>
      <c r="K280" s="11" t="n">
        <v>82.21</v>
      </c>
      <c r="L280" s="11" t="n">
        <v>0.3786</v>
      </c>
      <c r="M280" s="11" t="n">
        <v>0.7571</v>
      </c>
      <c r="N280" s="11" t="n">
        <v>1</v>
      </c>
      <c r="O280" s="11" t="n">
        <v>4.5</v>
      </c>
      <c r="P280" s="11" t="n">
        <v>2.04</v>
      </c>
      <c r="Q280" s="11" t="n">
        <v>15.3</v>
      </c>
      <c r="R280" s="11" t="n">
        <f aca="false">SUM(K280:Q280)</f>
        <v>106.1857</v>
      </c>
      <c r="S280" s="11" t="n">
        <f aca="false">R280/(1-Resumo!$C$6)</f>
        <v>120.665568181818</v>
      </c>
      <c r="T280" s="11" t="n">
        <f aca="false">S280-J280</f>
        <v>38.5155681818182</v>
      </c>
      <c r="U280" s="12" t="n">
        <f aca="false">IFERROR(S280/J280-1,0)</f>
        <v>0.468844408786588</v>
      </c>
      <c r="V280" s="2" t="str">
        <f aca="false">IF(S280&lt;J280,"SIM","NÃO")</f>
        <v>NÃO</v>
      </c>
      <c r="W280" s="2" t="n">
        <v>5</v>
      </c>
      <c r="X280" s="2" t="s">
        <v>156</v>
      </c>
    </row>
    <row r="281" customFormat="false" ht="15" hidden="false" customHeight="false" outlineLevel="0" collapsed="false">
      <c r="A281" s="2" t="n">
        <v>363176335</v>
      </c>
      <c r="B281" s="29" t="n">
        <v>46224.7577314815</v>
      </c>
      <c r="C281" s="2" t="s">
        <v>153</v>
      </c>
      <c r="D281" s="2" t="s">
        <v>467</v>
      </c>
      <c r="E281" s="2" t="s">
        <v>78</v>
      </c>
      <c r="F281" s="2" t="s">
        <v>108</v>
      </c>
      <c r="G281" s="30" t="n">
        <v>49.6</v>
      </c>
      <c r="H281" s="11" t="n">
        <v>799.99</v>
      </c>
      <c r="I281" s="11" t="s">
        <v>155</v>
      </c>
      <c r="J281" s="11" t="n">
        <v>104.42</v>
      </c>
      <c r="K281" s="11" t="n">
        <v>93.97</v>
      </c>
      <c r="L281" s="11" t="n">
        <v>0.8</v>
      </c>
      <c r="M281" s="11" t="n">
        <v>1.6</v>
      </c>
      <c r="N281" s="11" t="n">
        <v>1</v>
      </c>
      <c r="O281" s="11" t="n">
        <v>4.5</v>
      </c>
      <c r="P281" s="11" t="n">
        <v>3</v>
      </c>
      <c r="Q281" s="11" t="n">
        <v>22.5</v>
      </c>
      <c r="R281" s="11" t="n">
        <f aca="false">SUM(K281:Q281)</f>
        <v>127.37</v>
      </c>
      <c r="S281" s="11" t="n">
        <f aca="false">R281/(1-Resumo!$C$6)</f>
        <v>144.738636363636</v>
      </c>
      <c r="T281" s="11" t="n">
        <f aca="false">S281-J281</f>
        <v>40.3186363636364</v>
      </c>
      <c r="U281" s="12" t="n">
        <f aca="false">IFERROR(S281/J281-1,0)</f>
        <v>0.386119865577824</v>
      </c>
      <c r="V281" s="2" t="str">
        <f aca="false">IF(S281&lt;J281,"SIM","NÃO")</f>
        <v>NÃO</v>
      </c>
      <c r="W281" s="2" t="n">
        <v>5</v>
      </c>
      <c r="X281" s="2" t="s">
        <v>156</v>
      </c>
    </row>
    <row r="282" customFormat="false" ht="15" hidden="false" customHeight="false" outlineLevel="0" collapsed="false">
      <c r="A282" s="2" t="n">
        <v>363206605</v>
      </c>
      <c r="B282" s="29" t="n">
        <v>46224.8074768519</v>
      </c>
      <c r="C282" s="2" t="s">
        <v>153</v>
      </c>
      <c r="D282" s="2" t="s">
        <v>468</v>
      </c>
      <c r="E282" s="2" t="s">
        <v>79</v>
      </c>
      <c r="F282" s="2" t="s">
        <v>108</v>
      </c>
      <c r="G282" s="30" t="n">
        <v>46.8</v>
      </c>
      <c r="H282" s="11" t="n">
        <v>509.99</v>
      </c>
      <c r="I282" s="11" t="s">
        <v>350</v>
      </c>
      <c r="J282" s="11" t="n">
        <v>117.33</v>
      </c>
      <c r="K282" s="11" t="n">
        <v>114.95</v>
      </c>
      <c r="L282" s="11" t="n">
        <v>0.51</v>
      </c>
      <c r="M282" s="11" t="n">
        <v>1.02</v>
      </c>
      <c r="N282" s="11" t="n">
        <v>1</v>
      </c>
      <c r="O282" s="11" t="n">
        <v>4.5</v>
      </c>
      <c r="P282" s="11" t="n">
        <v>2.82</v>
      </c>
      <c r="Q282" s="11" t="n">
        <v>21.15</v>
      </c>
      <c r="R282" s="11" t="n">
        <f aca="false">SUM(K282:Q282)</f>
        <v>145.95</v>
      </c>
      <c r="S282" s="11" t="n">
        <f aca="false">R282/(1-Resumo!$C$6)</f>
        <v>165.852272727273</v>
      </c>
      <c r="T282" s="11" t="n">
        <f aca="false">S282-J282</f>
        <v>48.5222727272727</v>
      </c>
      <c r="U282" s="12" t="n">
        <f aca="false">IFERROR(S282/J282-1,0)</f>
        <v>0.413553845796239</v>
      </c>
      <c r="V282" s="2" t="str">
        <f aca="false">IF(S282&lt;J282,"SIM","NÃO")</f>
        <v>NÃO</v>
      </c>
      <c r="W282" s="2" t="n">
        <v>7</v>
      </c>
      <c r="X282" s="2" t="s">
        <v>156</v>
      </c>
    </row>
    <row r="283" customFormat="false" ht="15" hidden="false" customHeight="false" outlineLevel="0" collapsed="false">
      <c r="A283" s="2" t="n">
        <v>363210624</v>
      </c>
      <c r="B283" s="29" t="n">
        <v>46224.8176736111</v>
      </c>
      <c r="C283" s="2" t="s">
        <v>153</v>
      </c>
      <c r="D283" s="2" t="s">
        <v>469</v>
      </c>
      <c r="E283" s="2" t="s">
        <v>78</v>
      </c>
      <c r="F283" s="2" t="s">
        <v>109</v>
      </c>
      <c r="G283" s="30" t="n">
        <v>52.3</v>
      </c>
      <c r="H283" s="11" t="n">
        <v>699.99</v>
      </c>
      <c r="I283" s="11" t="s">
        <v>350</v>
      </c>
      <c r="J283" s="11" t="n">
        <v>113.63</v>
      </c>
      <c r="K283" s="11" t="n">
        <v>112.3</v>
      </c>
      <c r="L283" s="11" t="n">
        <v>0.7</v>
      </c>
      <c r="M283" s="11" t="n">
        <v>1.4</v>
      </c>
      <c r="N283" s="11" t="n">
        <v>1</v>
      </c>
      <c r="O283" s="11" t="n">
        <v>4.5</v>
      </c>
      <c r="P283" s="11" t="n">
        <v>3.18</v>
      </c>
      <c r="Q283" s="11" t="n">
        <v>23.85</v>
      </c>
      <c r="R283" s="11" t="n">
        <f aca="false">SUM(K283:Q283)</f>
        <v>146.93</v>
      </c>
      <c r="S283" s="11" t="n">
        <f aca="false">R283/(1-Resumo!$C$6)</f>
        <v>166.965909090909</v>
      </c>
      <c r="T283" s="11" t="n">
        <f aca="false">S283-J283</f>
        <v>53.3359090909091</v>
      </c>
      <c r="U283" s="12" t="n">
        <f aca="false">IFERROR(S283/J283-1,0)</f>
        <v>0.469382285407983</v>
      </c>
      <c r="V283" s="2" t="str">
        <f aca="false">IF(S283&lt;J283,"SIM","NÃO")</f>
        <v>NÃO</v>
      </c>
      <c r="W283" s="2" t="n">
        <v>5</v>
      </c>
      <c r="X283" s="2" t="s">
        <v>156</v>
      </c>
    </row>
    <row r="284" customFormat="false" ht="15" hidden="false" customHeight="false" outlineLevel="0" collapsed="false">
      <c r="A284" s="2" t="n">
        <v>363265593</v>
      </c>
      <c r="B284" s="29" t="n">
        <v>46224.8861458333</v>
      </c>
      <c r="C284" s="2" t="s">
        <v>153</v>
      </c>
      <c r="D284" s="2" t="s">
        <v>470</v>
      </c>
      <c r="E284" s="2" t="s">
        <v>78</v>
      </c>
      <c r="F284" s="2" t="s">
        <v>107</v>
      </c>
      <c r="G284" s="30" t="n">
        <v>39.8</v>
      </c>
      <c r="H284" s="11" t="n">
        <v>449.99</v>
      </c>
      <c r="I284" s="11" t="s">
        <v>350</v>
      </c>
      <c r="J284" s="11" t="n">
        <v>94.13</v>
      </c>
      <c r="K284" s="11" t="n">
        <v>93.97</v>
      </c>
      <c r="L284" s="11" t="n">
        <v>0.45</v>
      </c>
      <c r="M284" s="11" t="n">
        <v>0.9</v>
      </c>
      <c r="N284" s="11" t="n">
        <v>1</v>
      </c>
      <c r="O284" s="11" t="n">
        <v>4.5</v>
      </c>
      <c r="P284" s="11" t="n">
        <v>2.4</v>
      </c>
      <c r="Q284" s="11" t="n">
        <v>18</v>
      </c>
      <c r="R284" s="11" t="n">
        <f aca="false">SUM(K284:Q284)</f>
        <v>121.22</v>
      </c>
      <c r="S284" s="11" t="n">
        <f aca="false">R284/(1-Resumo!$C$6)</f>
        <v>137.75</v>
      </c>
      <c r="T284" s="11" t="n">
        <f aca="false">S284-J284</f>
        <v>43.62</v>
      </c>
      <c r="U284" s="12" t="n">
        <f aca="false">IFERROR(S284/J284-1,0)</f>
        <v>0.463401678529693</v>
      </c>
      <c r="V284" s="2" t="str">
        <f aca="false">IF(S284&lt;J284,"SIM","NÃO")</f>
        <v>NÃO</v>
      </c>
      <c r="W284" s="2" t="n">
        <v>5</v>
      </c>
      <c r="X284" s="2" t="s">
        <v>156</v>
      </c>
    </row>
    <row r="285" customFormat="false" ht="15" hidden="false" customHeight="false" outlineLevel="0" collapsed="false">
      <c r="A285" s="2" t="n">
        <v>363292006</v>
      </c>
      <c r="B285" s="29" t="n">
        <v>46224.9212152778</v>
      </c>
      <c r="C285" s="2" t="s">
        <v>153</v>
      </c>
      <c r="D285" s="2" t="s">
        <v>471</v>
      </c>
      <c r="E285" s="2" t="s">
        <v>78</v>
      </c>
      <c r="F285" s="2" t="s">
        <v>108</v>
      </c>
      <c r="G285" s="30" t="n">
        <v>46.8</v>
      </c>
      <c r="H285" s="11" t="n">
        <v>599.99</v>
      </c>
      <c r="I285" s="11" t="s">
        <v>350</v>
      </c>
      <c r="J285" s="11" t="n">
        <v>104.34</v>
      </c>
      <c r="K285" s="11" t="n">
        <v>93.97</v>
      </c>
      <c r="L285" s="11" t="n">
        <v>0.6</v>
      </c>
      <c r="M285" s="11" t="n">
        <v>1.2</v>
      </c>
      <c r="N285" s="11" t="n">
        <v>1</v>
      </c>
      <c r="O285" s="11" t="n">
        <v>4.5</v>
      </c>
      <c r="P285" s="11" t="n">
        <v>2.82</v>
      </c>
      <c r="Q285" s="11" t="n">
        <v>21.15</v>
      </c>
      <c r="R285" s="11" t="n">
        <f aca="false">SUM(K285:Q285)</f>
        <v>125.24</v>
      </c>
      <c r="S285" s="11" t="n">
        <f aca="false">R285/(1-Resumo!$C$6)</f>
        <v>142.318181818182</v>
      </c>
      <c r="T285" s="11" t="n">
        <f aca="false">S285-J285</f>
        <v>37.9781818181818</v>
      </c>
      <c r="U285" s="12" t="n">
        <f aca="false">IFERROR(S285/J285-1,0)</f>
        <v>0.363984874623173</v>
      </c>
      <c r="V285" s="2" t="str">
        <f aca="false">IF(S285&lt;J285,"SIM","NÃO")</f>
        <v>NÃO</v>
      </c>
      <c r="W285" s="2" t="n">
        <v>5</v>
      </c>
      <c r="X285" s="2" t="s">
        <v>156</v>
      </c>
    </row>
    <row r="286" customFormat="false" ht="15" hidden="false" customHeight="false" outlineLevel="0" collapsed="false">
      <c r="A286" s="2" t="n">
        <v>363532299</v>
      </c>
      <c r="B286" s="29" t="n">
        <v>46225.3809606481</v>
      </c>
      <c r="C286" s="2" t="s">
        <v>158</v>
      </c>
      <c r="D286" s="2" t="s">
        <v>472</v>
      </c>
      <c r="E286" s="2" t="s">
        <v>78</v>
      </c>
      <c r="F286" s="2" t="s">
        <v>109</v>
      </c>
      <c r="G286" s="30" t="n">
        <v>52.3</v>
      </c>
      <c r="H286" s="11" t="n">
        <v>637.57</v>
      </c>
      <c r="I286" s="11" t="s">
        <v>350</v>
      </c>
      <c r="J286" s="11" t="n">
        <v>113.33</v>
      </c>
      <c r="K286" s="11" t="n">
        <v>112.3</v>
      </c>
      <c r="L286" s="11" t="n">
        <v>0.6376</v>
      </c>
      <c r="M286" s="11" t="n">
        <v>1.2751</v>
      </c>
      <c r="N286" s="11" t="n">
        <v>1</v>
      </c>
      <c r="O286" s="11" t="n">
        <v>4.5</v>
      </c>
      <c r="P286" s="11" t="n">
        <v>3.18</v>
      </c>
      <c r="Q286" s="11" t="n">
        <v>23.85</v>
      </c>
      <c r="R286" s="11" t="n">
        <f aca="false">SUM(K286:Q286)</f>
        <v>146.7427</v>
      </c>
      <c r="S286" s="11" t="n">
        <f aca="false">R286/(1-Resumo!$C$6)</f>
        <v>166.753068181818</v>
      </c>
      <c r="T286" s="11" t="n">
        <f aca="false">S286-J286</f>
        <v>53.4230681818182</v>
      </c>
      <c r="U286" s="12" t="n">
        <f aca="false">IFERROR(S286/J286-1,0)</f>
        <v>0.471393877894804</v>
      </c>
      <c r="V286" s="2" t="str">
        <f aca="false">IF(S286&lt;J286,"SIM","NÃO")</f>
        <v>NÃO</v>
      </c>
      <c r="W286" s="2" t="n">
        <v>5</v>
      </c>
      <c r="X286" s="2" t="s">
        <v>156</v>
      </c>
    </row>
    <row r="287" customFormat="false" ht="15" hidden="false" customHeight="false" outlineLevel="0" collapsed="false">
      <c r="A287" s="2" t="n">
        <v>363533063</v>
      </c>
      <c r="B287" s="29" t="n">
        <v>46225.3823726852</v>
      </c>
      <c r="C287" s="2" t="s">
        <v>153</v>
      </c>
      <c r="D287" s="2" t="s">
        <v>473</v>
      </c>
      <c r="E287" s="2" t="s">
        <v>82</v>
      </c>
      <c r="F287" s="2" t="s">
        <v>109</v>
      </c>
      <c r="G287" s="30" t="n">
        <v>52.3</v>
      </c>
      <c r="H287" s="11" t="n">
        <v>685.84</v>
      </c>
      <c r="I287" s="11" t="s">
        <v>350</v>
      </c>
      <c r="J287" s="11" t="n">
        <v>127.62</v>
      </c>
      <c r="K287" s="11" t="n">
        <v>128.14</v>
      </c>
      <c r="L287" s="11" t="n">
        <v>0.6858</v>
      </c>
      <c r="M287" s="11" t="n">
        <v>1.3717</v>
      </c>
      <c r="N287" s="11" t="n">
        <v>1</v>
      </c>
      <c r="O287" s="11" t="n">
        <v>4.5</v>
      </c>
      <c r="P287" s="11" t="n">
        <v>3.18</v>
      </c>
      <c r="Q287" s="11" t="n">
        <v>23.85</v>
      </c>
      <c r="R287" s="11" t="n">
        <f aca="false">SUM(K287:Q287)</f>
        <v>162.7275</v>
      </c>
      <c r="S287" s="11" t="n">
        <f aca="false">R287/(1-Resumo!$C$6)</f>
        <v>184.917613636364</v>
      </c>
      <c r="T287" s="11" t="n">
        <f aca="false">S287-J287</f>
        <v>57.2976136363636</v>
      </c>
      <c r="U287" s="12" t="n">
        <f aca="false">IFERROR(S287/J287-1,0)</f>
        <v>0.448970487669359</v>
      </c>
      <c r="V287" s="2" t="str">
        <f aca="false">IF(S287&lt;J287,"SIM","NÃO")</f>
        <v>NÃO</v>
      </c>
      <c r="W287" s="2" t="n">
        <v>7</v>
      </c>
      <c r="X287" s="2" t="s">
        <v>156</v>
      </c>
    </row>
    <row r="288" customFormat="false" ht="15" hidden="false" customHeight="false" outlineLevel="0" collapsed="false">
      <c r="A288" s="2" t="n">
        <v>363572779</v>
      </c>
      <c r="B288" s="29" t="n">
        <v>46225.4376388889</v>
      </c>
      <c r="C288" s="2" t="s">
        <v>158</v>
      </c>
      <c r="D288" s="2" t="s">
        <v>474</v>
      </c>
      <c r="E288" s="2" t="s">
        <v>78</v>
      </c>
      <c r="F288" s="2" t="s">
        <v>106</v>
      </c>
      <c r="G288" s="30" t="n">
        <v>33.21</v>
      </c>
      <c r="H288" s="11" t="n">
        <v>377.9</v>
      </c>
      <c r="I288" s="11" t="s">
        <v>350</v>
      </c>
      <c r="J288" s="11" t="n">
        <v>83.62</v>
      </c>
      <c r="K288" s="11" t="n">
        <v>82.21</v>
      </c>
      <c r="L288" s="11" t="n">
        <v>0.3779</v>
      </c>
      <c r="M288" s="11" t="n">
        <v>0.7558</v>
      </c>
      <c r="N288" s="11" t="n">
        <v>1</v>
      </c>
      <c r="O288" s="11" t="n">
        <v>4.5</v>
      </c>
      <c r="P288" s="11" t="n">
        <v>2.04</v>
      </c>
      <c r="Q288" s="11" t="n">
        <v>15.3</v>
      </c>
      <c r="R288" s="11" t="n">
        <f aca="false">SUM(K288:Q288)</f>
        <v>106.1837</v>
      </c>
      <c r="S288" s="11" t="n">
        <f aca="false">R288/(1-Resumo!$C$6)</f>
        <v>120.663295454545</v>
      </c>
      <c r="T288" s="11" t="n">
        <f aca="false">S288-J288</f>
        <v>37.0432954545454</v>
      </c>
      <c r="U288" s="12" t="n">
        <f aca="false">IFERROR(S288/J288-1,0)</f>
        <v>0.442995640451392</v>
      </c>
      <c r="V288" s="2" t="str">
        <f aca="false">IF(S288&lt;J288,"SIM","NÃO")</f>
        <v>NÃO</v>
      </c>
      <c r="W288" s="2" t="n">
        <v>5</v>
      </c>
      <c r="X288" s="2" t="s">
        <v>156</v>
      </c>
    </row>
    <row r="289" customFormat="false" ht="15" hidden="false" customHeight="false" outlineLevel="0" collapsed="false">
      <c r="A289" s="2" t="n">
        <v>363602741</v>
      </c>
      <c r="B289" s="29" t="n">
        <v>46225.4850578704</v>
      </c>
      <c r="C289" s="2" t="s">
        <v>153</v>
      </c>
      <c r="D289" s="2" t="s">
        <v>475</v>
      </c>
      <c r="E289" s="2" t="s">
        <v>78</v>
      </c>
      <c r="F289" s="2" t="s">
        <v>109</v>
      </c>
      <c r="G289" s="30" t="n">
        <v>52.3</v>
      </c>
      <c r="H289" s="11" t="n">
        <v>685.84</v>
      </c>
      <c r="I289" s="11" t="s">
        <v>350</v>
      </c>
      <c r="J289" s="11" t="n">
        <v>113.56</v>
      </c>
      <c r="K289" s="11" t="n">
        <v>112.3</v>
      </c>
      <c r="L289" s="11" t="n">
        <v>0.6858</v>
      </c>
      <c r="M289" s="11" t="n">
        <v>1.3717</v>
      </c>
      <c r="N289" s="11" t="n">
        <v>1</v>
      </c>
      <c r="O289" s="11" t="n">
        <v>4.5</v>
      </c>
      <c r="P289" s="11" t="n">
        <v>3.18</v>
      </c>
      <c r="Q289" s="11" t="n">
        <v>23.85</v>
      </c>
      <c r="R289" s="11" t="n">
        <f aca="false">SUM(K289:Q289)</f>
        <v>146.8875</v>
      </c>
      <c r="S289" s="11" t="n">
        <f aca="false">R289/(1-Resumo!$C$6)</f>
        <v>166.917613636364</v>
      </c>
      <c r="T289" s="11" t="n">
        <f aca="false">S289-J289</f>
        <v>53.3576136363636</v>
      </c>
      <c r="U289" s="12" t="n">
        <f aca="false">IFERROR(S289/J289-1,0)</f>
        <v>0.469862747766499</v>
      </c>
      <c r="V289" s="2" t="str">
        <f aca="false">IF(S289&lt;J289,"SIM","NÃO")</f>
        <v>NÃO</v>
      </c>
      <c r="W289" s="2" t="n">
        <v>5</v>
      </c>
      <c r="X289" s="2" t="s">
        <v>156</v>
      </c>
    </row>
    <row r="290" customFormat="false" ht="15" hidden="false" customHeight="false" outlineLevel="0" collapsed="false">
      <c r="A290" s="2" t="n">
        <v>363655738</v>
      </c>
      <c r="B290" s="29" t="n">
        <v>46225.5594097222</v>
      </c>
      <c r="C290" s="2" t="s">
        <v>153</v>
      </c>
      <c r="D290" s="2" t="s">
        <v>476</v>
      </c>
      <c r="E290" s="2" t="s">
        <v>94</v>
      </c>
      <c r="F290" s="2" t="s">
        <v>106</v>
      </c>
      <c r="G290" s="30" t="n">
        <v>27.4</v>
      </c>
      <c r="H290" s="11" t="n">
        <v>359.99</v>
      </c>
      <c r="I290" s="11" t="s">
        <v>350</v>
      </c>
      <c r="J290" s="11" t="n">
        <v>99.45</v>
      </c>
      <c r="K290" s="11" t="n">
        <v>82.21</v>
      </c>
      <c r="L290" s="11" t="n">
        <v>0.36</v>
      </c>
      <c r="M290" s="11" t="n">
        <v>0.72</v>
      </c>
      <c r="N290" s="11" t="n">
        <v>1</v>
      </c>
      <c r="O290" s="11" t="n">
        <v>4.5</v>
      </c>
      <c r="P290" s="11" t="n">
        <v>1.68</v>
      </c>
      <c r="Q290" s="11" t="n">
        <v>12.6</v>
      </c>
      <c r="R290" s="11" t="n">
        <f aca="false">SUM(K290:Q290)</f>
        <v>103.07</v>
      </c>
      <c r="S290" s="11" t="n">
        <f aca="false">R290/(1-Resumo!$C$6)</f>
        <v>117.125</v>
      </c>
      <c r="T290" s="11" t="n">
        <f aca="false">S290-J290</f>
        <v>17.675</v>
      </c>
      <c r="U290" s="12" t="n">
        <f aca="false">IFERROR(S290/J290-1,0)</f>
        <v>0.177727501256913</v>
      </c>
      <c r="V290" s="2" t="str">
        <f aca="false">IF(S290&lt;J290,"SIM","NÃO")</f>
        <v>NÃO</v>
      </c>
      <c r="W290" s="2" t="n">
        <v>5</v>
      </c>
      <c r="X290" s="2" t="s">
        <v>156</v>
      </c>
    </row>
    <row r="291" customFormat="false" ht="15" hidden="false" customHeight="false" outlineLevel="0" collapsed="false">
      <c r="A291" s="2" t="n">
        <v>363763804</v>
      </c>
      <c r="B291" s="29" t="n">
        <v>46225.7134259259</v>
      </c>
      <c r="C291" s="2" t="s">
        <v>194</v>
      </c>
      <c r="D291" s="2" t="s">
        <v>477</v>
      </c>
      <c r="E291" s="2" t="s">
        <v>78</v>
      </c>
      <c r="F291" s="2" t="s">
        <v>108</v>
      </c>
      <c r="G291" s="30" t="n">
        <v>48</v>
      </c>
      <c r="H291" s="11" t="n">
        <v>737.99</v>
      </c>
      <c r="I291" s="11" t="s">
        <v>155</v>
      </c>
      <c r="J291" s="11" t="n">
        <v>104.14</v>
      </c>
      <c r="K291" s="11" t="n">
        <v>93.97</v>
      </c>
      <c r="L291" s="11" t="n">
        <v>0.738</v>
      </c>
      <c r="M291" s="11" t="n">
        <v>1.476</v>
      </c>
      <c r="N291" s="11" t="n">
        <v>1</v>
      </c>
      <c r="O291" s="11" t="n">
        <v>4.5</v>
      </c>
      <c r="P291" s="11" t="n">
        <v>2.88</v>
      </c>
      <c r="Q291" s="11" t="n">
        <v>21.6</v>
      </c>
      <c r="R291" s="11" t="n">
        <f aca="false">SUM(K291:Q291)</f>
        <v>126.164</v>
      </c>
      <c r="S291" s="11" t="n">
        <f aca="false">R291/(1-Resumo!$C$6)</f>
        <v>143.368181818182</v>
      </c>
      <c r="T291" s="11" t="n">
        <f aca="false">S291-J291</f>
        <v>39.2281818181818</v>
      </c>
      <c r="U291" s="12" t="n">
        <f aca="false">IFERROR(S291/J291-1,0)</f>
        <v>0.376686977320739</v>
      </c>
      <c r="V291" s="2" t="str">
        <f aca="false">IF(S291&lt;J291,"SIM","NÃO")</f>
        <v>NÃO</v>
      </c>
      <c r="W291" s="2" t="n">
        <v>5</v>
      </c>
      <c r="X291" s="2" t="s">
        <v>156</v>
      </c>
    </row>
    <row r="292" customFormat="false" ht="15" hidden="false" customHeight="false" outlineLevel="0" collapsed="false">
      <c r="A292" s="2" t="n">
        <v>363787812</v>
      </c>
      <c r="B292" s="29" t="n">
        <v>46225.7394791667</v>
      </c>
      <c r="C292" s="2" t="s">
        <v>153</v>
      </c>
      <c r="D292" s="2" t="s">
        <v>478</v>
      </c>
      <c r="E292" s="2" t="s">
        <v>78</v>
      </c>
      <c r="F292" s="2" t="s">
        <v>106</v>
      </c>
      <c r="G292" s="30" t="n">
        <v>27.4</v>
      </c>
      <c r="H292" s="11" t="n">
        <v>359.99</v>
      </c>
      <c r="I292" s="11" t="s">
        <v>155</v>
      </c>
      <c r="J292" s="11" t="n">
        <v>82.05</v>
      </c>
      <c r="K292" s="11" t="n">
        <v>82.21</v>
      </c>
      <c r="L292" s="11" t="n">
        <v>0.36</v>
      </c>
      <c r="M292" s="11" t="n">
        <v>0.72</v>
      </c>
      <c r="N292" s="11" t="n">
        <v>1</v>
      </c>
      <c r="O292" s="11" t="n">
        <v>4.5</v>
      </c>
      <c r="P292" s="11" t="n">
        <v>1.68</v>
      </c>
      <c r="Q292" s="11" t="n">
        <v>12.6</v>
      </c>
      <c r="R292" s="11" t="n">
        <f aca="false">SUM(K292:Q292)</f>
        <v>103.07</v>
      </c>
      <c r="S292" s="11" t="n">
        <f aca="false">R292/(1-Resumo!$C$6)</f>
        <v>117.125</v>
      </c>
      <c r="T292" s="11" t="n">
        <f aca="false">S292-J292</f>
        <v>35.075</v>
      </c>
      <c r="U292" s="12" t="n">
        <f aca="false">IFERROR(S292/J292-1,0)</f>
        <v>0.427483241925655</v>
      </c>
      <c r="V292" s="2" t="str">
        <f aca="false">IF(S292&lt;J292,"SIM","NÃO")</f>
        <v>NÃO</v>
      </c>
      <c r="W292" s="2" t="n">
        <v>5</v>
      </c>
      <c r="X292" s="2" t="s">
        <v>156</v>
      </c>
    </row>
    <row r="293" customFormat="false" ht="15" hidden="false" customHeight="false" outlineLevel="0" collapsed="false">
      <c r="A293" s="2" t="n">
        <v>363848931</v>
      </c>
      <c r="B293" s="29" t="n">
        <v>46225.8247800926</v>
      </c>
      <c r="C293" s="2" t="s">
        <v>153</v>
      </c>
      <c r="D293" s="2" t="s">
        <v>479</v>
      </c>
      <c r="E293" s="2" t="s">
        <v>90</v>
      </c>
      <c r="F293" s="2" t="s">
        <v>107</v>
      </c>
      <c r="G293" s="30" t="n">
        <v>40</v>
      </c>
      <c r="H293" s="11" t="n">
        <v>599.99</v>
      </c>
      <c r="I293" s="11" t="s">
        <v>350</v>
      </c>
      <c r="J293" s="11" t="n">
        <v>125.1</v>
      </c>
      <c r="K293" s="11" t="n">
        <v>114.95</v>
      </c>
      <c r="L293" s="11" t="n">
        <v>0.6</v>
      </c>
      <c r="M293" s="11" t="n">
        <v>1.2</v>
      </c>
      <c r="N293" s="11" t="n">
        <v>1</v>
      </c>
      <c r="O293" s="11" t="n">
        <v>4.5</v>
      </c>
      <c r="P293" s="11" t="n">
        <v>2.4</v>
      </c>
      <c r="Q293" s="11" t="n">
        <v>18</v>
      </c>
      <c r="R293" s="11" t="n">
        <f aca="false">SUM(K293:Q293)</f>
        <v>142.65</v>
      </c>
      <c r="S293" s="11" t="n">
        <f aca="false">R293/(1-Resumo!$C$6)</f>
        <v>162.102272727273</v>
      </c>
      <c r="T293" s="11" t="n">
        <f aca="false">S293-J293</f>
        <v>37.0022727272727</v>
      </c>
      <c r="U293" s="12" t="n">
        <f aca="false">IFERROR(S293/J293-1,0)</f>
        <v>0.295781556572923</v>
      </c>
      <c r="V293" s="2" t="str">
        <f aca="false">IF(S293&lt;J293,"SIM","NÃO")</f>
        <v>NÃO</v>
      </c>
      <c r="W293" s="2" t="n">
        <v>7</v>
      </c>
      <c r="X293" s="2" t="s">
        <v>156</v>
      </c>
    </row>
    <row r="294" customFormat="false" ht="15" hidden="false" customHeight="false" outlineLevel="0" collapsed="false">
      <c r="A294" s="2" t="n">
        <v>363872952</v>
      </c>
      <c r="B294" s="29" t="n">
        <v>46225.8529166667</v>
      </c>
      <c r="C294" s="2" t="s">
        <v>153</v>
      </c>
      <c r="D294" s="2" t="s">
        <v>480</v>
      </c>
      <c r="E294" s="2" t="s">
        <v>78</v>
      </c>
      <c r="F294" s="2" t="s">
        <v>109</v>
      </c>
      <c r="G294" s="30" t="n">
        <v>52.3</v>
      </c>
      <c r="H294" s="11" t="n">
        <v>699.99</v>
      </c>
      <c r="I294" s="11" t="s">
        <v>350</v>
      </c>
      <c r="J294" s="11" t="n">
        <v>113.63</v>
      </c>
      <c r="K294" s="11" t="n">
        <v>112.3</v>
      </c>
      <c r="L294" s="11" t="n">
        <v>0.7</v>
      </c>
      <c r="M294" s="11" t="n">
        <v>1.4</v>
      </c>
      <c r="N294" s="11" t="n">
        <v>1</v>
      </c>
      <c r="O294" s="11" t="n">
        <v>4.5</v>
      </c>
      <c r="P294" s="11" t="n">
        <v>3.18</v>
      </c>
      <c r="Q294" s="11" t="n">
        <v>23.85</v>
      </c>
      <c r="R294" s="11" t="n">
        <f aca="false">SUM(K294:Q294)</f>
        <v>146.93</v>
      </c>
      <c r="S294" s="11" t="n">
        <f aca="false">R294/(1-Resumo!$C$6)</f>
        <v>166.965909090909</v>
      </c>
      <c r="T294" s="11" t="n">
        <f aca="false">S294-J294</f>
        <v>53.3359090909091</v>
      </c>
      <c r="U294" s="12" t="n">
        <f aca="false">IFERROR(S294/J294-1,0)</f>
        <v>0.469382285407983</v>
      </c>
      <c r="V294" s="2" t="str">
        <f aca="false">IF(S294&lt;J294,"SIM","NÃO")</f>
        <v>NÃO</v>
      </c>
      <c r="W294" s="2" t="n">
        <v>5</v>
      </c>
      <c r="X294" s="2" t="s">
        <v>156</v>
      </c>
    </row>
    <row r="295" customFormat="false" ht="15" hidden="false" customHeight="false" outlineLevel="0" collapsed="false">
      <c r="A295" s="2" t="n">
        <v>363897578</v>
      </c>
      <c r="B295" s="29" t="n">
        <v>46225.8781481482</v>
      </c>
      <c r="C295" s="2" t="s">
        <v>153</v>
      </c>
      <c r="D295" s="2" t="s">
        <v>481</v>
      </c>
      <c r="E295" s="2" t="s">
        <v>78</v>
      </c>
      <c r="F295" s="2" t="s">
        <v>108</v>
      </c>
      <c r="G295" s="30" t="n">
        <v>43.5</v>
      </c>
      <c r="H295" s="11" t="n">
        <v>769.99</v>
      </c>
      <c r="I295" s="11" t="s">
        <v>350</v>
      </c>
      <c r="J295" s="11" t="n">
        <v>103.63</v>
      </c>
      <c r="K295" s="11" t="n">
        <v>93.97</v>
      </c>
      <c r="L295" s="11" t="n">
        <v>0.77</v>
      </c>
      <c r="M295" s="11" t="n">
        <v>1.54</v>
      </c>
      <c r="N295" s="11" t="n">
        <v>1</v>
      </c>
      <c r="O295" s="11" t="n">
        <v>4.5</v>
      </c>
      <c r="P295" s="11" t="n">
        <v>2.64</v>
      </c>
      <c r="Q295" s="11" t="n">
        <v>19.8</v>
      </c>
      <c r="R295" s="11" t="n">
        <f aca="false">SUM(K295:Q295)</f>
        <v>124.22</v>
      </c>
      <c r="S295" s="11" t="n">
        <f aca="false">R295/(1-Resumo!$C$6)</f>
        <v>141.159090909091</v>
      </c>
      <c r="T295" s="11" t="n">
        <f aca="false">S295-J295</f>
        <v>37.5290909090909</v>
      </c>
      <c r="U295" s="12" t="n">
        <f aca="false">IFERROR(S295/J295-1,0)</f>
        <v>0.36214504399393</v>
      </c>
      <c r="V295" s="2" t="str">
        <f aca="false">IF(S295&lt;J295,"SIM","NÃO")</f>
        <v>NÃO</v>
      </c>
      <c r="W295" s="2" t="n">
        <v>5</v>
      </c>
      <c r="X295" s="2" t="s">
        <v>156</v>
      </c>
    </row>
    <row r="296" customFormat="false" ht="15" hidden="false" customHeight="false" outlineLevel="0" collapsed="false">
      <c r="A296" s="2" t="n">
        <v>363921126</v>
      </c>
      <c r="B296" s="29" t="n">
        <v>46225.8906365741</v>
      </c>
      <c r="C296" s="2" t="s">
        <v>369</v>
      </c>
      <c r="D296" s="2" t="s">
        <v>482</v>
      </c>
      <c r="E296" s="2" t="s">
        <v>78</v>
      </c>
      <c r="F296" s="2" t="s">
        <v>108</v>
      </c>
      <c r="G296" s="30" t="n">
        <v>49.6</v>
      </c>
      <c r="H296" s="11" t="n">
        <v>649.79</v>
      </c>
      <c r="I296" s="11" t="s">
        <v>155</v>
      </c>
      <c r="J296" s="11" t="n">
        <v>103.7</v>
      </c>
      <c r="K296" s="11" t="n">
        <v>93.97</v>
      </c>
      <c r="L296" s="11" t="n">
        <v>0.6498</v>
      </c>
      <c r="M296" s="11" t="n">
        <v>1.2996</v>
      </c>
      <c r="N296" s="11" t="n">
        <v>1</v>
      </c>
      <c r="O296" s="11" t="n">
        <v>4.5</v>
      </c>
      <c r="P296" s="11" t="n">
        <v>3</v>
      </c>
      <c r="Q296" s="11" t="n">
        <v>22.5</v>
      </c>
      <c r="R296" s="11" t="n">
        <f aca="false">SUM(K296:Q296)</f>
        <v>126.9194</v>
      </c>
      <c r="S296" s="11" t="n">
        <f aca="false">R296/(1-Resumo!$C$6)</f>
        <v>144.226590909091</v>
      </c>
      <c r="T296" s="11" t="n">
        <f aca="false">S296-J296</f>
        <v>40.5265909090909</v>
      </c>
      <c r="U296" s="12" t="n">
        <f aca="false">IFERROR(S296/J296-1,0)</f>
        <v>0.390806083983519</v>
      </c>
      <c r="V296" s="2" t="str">
        <f aca="false">IF(S296&lt;J296,"SIM","NÃO")</f>
        <v>NÃO</v>
      </c>
      <c r="W296" s="2" t="n">
        <v>5</v>
      </c>
      <c r="X296" s="2" t="s">
        <v>156</v>
      </c>
    </row>
    <row r="297" customFormat="false" ht="15" hidden="false" customHeight="false" outlineLevel="0" collapsed="false">
      <c r="A297" s="2" t="n">
        <v>363993202</v>
      </c>
      <c r="B297" s="29" t="n">
        <v>46226.0095486111</v>
      </c>
      <c r="C297" s="2" t="s">
        <v>153</v>
      </c>
      <c r="D297" s="2" t="s">
        <v>483</v>
      </c>
      <c r="E297" s="2" t="s">
        <v>78</v>
      </c>
      <c r="F297" s="2" t="s">
        <v>109</v>
      </c>
      <c r="G297" s="30" t="n">
        <v>52.3</v>
      </c>
      <c r="H297" s="11" t="n">
        <v>619.99</v>
      </c>
      <c r="I297" s="11" t="s">
        <v>350</v>
      </c>
      <c r="J297" s="11" t="n">
        <v>113.24</v>
      </c>
      <c r="K297" s="11" t="n">
        <v>112.3</v>
      </c>
      <c r="L297" s="11" t="n">
        <v>0.62</v>
      </c>
      <c r="M297" s="11" t="n">
        <v>1.24</v>
      </c>
      <c r="N297" s="11" t="n">
        <v>1</v>
      </c>
      <c r="O297" s="11" t="n">
        <v>4.5</v>
      </c>
      <c r="P297" s="11" t="n">
        <v>3.18</v>
      </c>
      <c r="Q297" s="11" t="n">
        <v>23.85</v>
      </c>
      <c r="R297" s="11" t="n">
        <f aca="false">SUM(K297:Q297)</f>
        <v>146.69</v>
      </c>
      <c r="S297" s="11" t="n">
        <f aca="false">R297/(1-Resumo!$C$6)</f>
        <v>166.693181818182</v>
      </c>
      <c r="T297" s="11" t="n">
        <f aca="false">S297-J297</f>
        <v>53.4531818181818</v>
      </c>
      <c r="U297" s="12" t="n">
        <f aca="false">IFERROR(S297/J297-1,0)</f>
        <v>0.472034456183167</v>
      </c>
      <c r="V297" s="2" t="str">
        <f aca="false">IF(S297&lt;J297,"SIM","NÃO")</f>
        <v>NÃO</v>
      </c>
      <c r="W297" s="2" t="n">
        <v>5</v>
      </c>
      <c r="X297" s="2" t="s">
        <v>156</v>
      </c>
    </row>
    <row r="298" customFormat="false" ht="15" hidden="false" customHeight="false" outlineLevel="0" collapsed="false">
      <c r="A298" s="2" t="n">
        <v>364021104</v>
      </c>
      <c r="B298" s="29" t="n">
        <v>46226.0633449074</v>
      </c>
      <c r="C298" s="2" t="s">
        <v>153</v>
      </c>
      <c r="D298" s="2" t="s">
        <v>484</v>
      </c>
      <c r="E298" s="2" t="s">
        <v>78</v>
      </c>
      <c r="F298" s="2" t="s">
        <v>109</v>
      </c>
      <c r="G298" s="30" t="n">
        <v>52.3</v>
      </c>
      <c r="H298" s="11" t="n">
        <v>643.99</v>
      </c>
      <c r="I298" s="11" t="s">
        <v>350</v>
      </c>
      <c r="J298" s="11" t="n">
        <v>113.35</v>
      </c>
      <c r="K298" s="11" t="n">
        <v>112.3</v>
      </c>
      <c r="L298" s="11" t="n">
        <v>0.644</v>
      </c>
      <c r="M298" s="11" t="n">
        <v>1.288</v>
      </c>
      <c r="N298" s="11" t="n">
        <v>1</v>
      </c>
      <c r="O298" s="11" t="n">
        <v>4.5</v>
      </c>
      <c r="P298" s="11" t="n">
        <v>3.18</v>
      </c>
      <c r="Q298" s="11" t="n">
        <v>23.85</v>
      </c>
      <c r="R298" s="11" t="n">
        <f aca="false">SUM(K298:Q298)</f>
        <v>146.762</v>
      </c>
      <c r="S298" s="11" t="n">
        <f aca="false">R298/(1-Resumo!$C$6)</f>
        <v>166.775</v>
      </c>
      <c r="T298" s="11" t="n">
        <f aca="false">S298-J298</f>
        <v>53.425</v>
      </c>
      <c r="U298" s="12" t="n">
        <f aca="false">IFERROR(S298/J298-1,0)</f>
        <v>0.471327745919718</v>
      </c>
      <c r="V298" s="2" t="str">
        <f aca="false">IF(S298&lt;J298,"SIM","NÃO")</f>
        <v>NÃO</v>
      </c>
      <c r="W298" s="2" t="n">
        <v>5</v>
      </c>
      <c r="X298" s="2" t="s">
        <v>156</v>
      </c>
    </row>
    <row r="299" customFormat="false" ht="15" hidden="false" customHeight="false" outlineLevel="0" collapsed="false">
      <c r="A299" s="2" t="n">
        <v>364057799</v>
      </c>
      <c r="B299" s="29" t="n">
        <v>46226.1292476852</v>
      </c>
      <c r="C299" s="2" t="s">
        <v>153</v>
      </c>
      <c r="D299" s="2" t="s">
        <v>485</v>
      </c>
      <c r="E299" s="2" t="s">
        <v>78</v>
      </c>
      <c r="F299" s="2" t="s">
        <v>106</v>
      </c>
      <c r="G299" s="30" t="n">
        <v>31</v>
      </c>
      <c r="H299" s="11" t="n">
        <v>297.99</v>
      </c>
      <c r="I299" s="11" t="s">
        <v>350</v>
      </c>
      <c r="J299" s="11" t="n">
        <v>81.73</v>
      </c>
      <c r="K299" s="11" t="n">
        <v>82.21</v>
      </c>
      <c r="L299" s="11" t="n">
        <v>0.298</v>
      </c>
      <c r="M299" s="11" t="n">
        <v>0.596</v>
      </c>
      <c r="N299" s="11" t="n">
        <v>1</v>
      </c>
      <c r="O299" s="11" t="n">
        <v>4.5</v>
      </c>
      <c r="P299" s="11" t="n">
        <v>1.86</v>
      </c>
      <c r="Q299" s="11" t="n">
        <v>13.95</v>
      </c>
      <c r="R299" s="11" t="n">
        <f aca="false">SUM(K299:Q299)</f>
        <v>104.414</v>
      </c>
      <c r="S299" s="11" t="n">
        <f aca="false">R299/(1-Resumo!$C$6)</f>
        <v>118.652272727273</v>
      </c>
      <c r="T299" s="11" t="n">
        <f aca="false">S299-J299</f>
        <v>36.9222727272727</v>
      </c>
      <c r="U299" s="12" t="n">
        <f aca="false">IFERROR(S299/J299-1,0)</f>
        <v>0.451759118160684</v>
      </c>
      <c r="V299" s="2" t="str">
        <f aca="false">IF(S299&lt;J299,"SIM","NÃO")</f>
        <v>NÃO</v>
      </c>
      <c r="W299" s="2" t="n">
        <v>5</v>
      </c>
      <c r="X299" s="2" t="s">
        <v>156</v>
      </c>
    </row>
    <row r="300" customFormat="false" ht="15" hidden="false" customHeight="false" outlineLevel="0" collapsed="false">
      <c r="A300" s="2" t="n">
        <v>364195273</v>
      </c>
      <c r="B300" s="29" t="n">
        <v>46226.3615740741</v>
      </c>
      <c r="C300" s="2" t="s">
        <v>153</v>
      </c>
      <c r="D300" s="2" t="s">
        <v>486</v>
      </c>
      <c r="E300" s="2" t="s">
        <v>81</v>
      </c>
      <c r="F300" s="2" t="s">
        <v>106</v>
      </c>
      <c r="G300" s="30" t="n">
        <v>31</v>
      </c>
      <c r="H300" s="11" t="n">
        <v>297.99</v>
      </c>
      <c r="I300" s="11" t="s">
        <v>350</v>
      </c>
      <c r="J300" s="11" t="n">
        <v>100.69</v>
      </c>
      <c r="K300" s="11" t="n">
        <v>82.21</v>
      </c>
      <c r="L300" s="11" t="n">
        <v>0.298</v>
      </c>
      <c r="M300" s="11" t="n">
        <v>0.596</v>
      </c>
      <c r="N300" s="11" t="n">
        <v>1</v>
      </c>
      <c r="O300" s="11" t="n">
        <v>4.5</v>
      </c>
      <c r="P300" s="11" t="n">
        <v>1.86</v>
      </c>
      <c r="Q300" s="11" t="n">
        <v>13.95</v>
      </c>
      <c r="R300" s="11" t="n">
        <f aca="false">SUM(K300:Q300)</f>
        <v>104.414</v>
      </c>
      <c r="S300" s="11" t="n">
        <f aca="false">R300/(1-Resumo!$C$6)</f>
        <v>118.652272727273</v>
      </c>
      <c r="T300" s="11" t="n">
        <f aca="false">S300-J300</f>
        <v>17.9622727272727</v>
      </c>
      <c r="U300" s="12" t="n">
        <f aca="false">IFERROR(S300/J300-1,0)</f>
        <v>0.178391823689271</v>
      </c>
      <c r="V300" s="2" t="str">
        <f aca="false">IF(S300&lt;J300,"SIM","NÃO")</f>
        <v>NÃO</v>
      </c>
      <c r="W300" s="2" t="n">
        <v>5</v>
      </c>
      <c r="X300" s="2" t="s">
        <v>156</v>
      </c>
    </row>
    <row r="301" customFormat="false" ht="15" hidden="false" customHeight="false" outlineLevel="0" collapsed="false">
      <c r="A301" s="2" t="n">
        <v>364197304</v>
      </c>
      <c r="B301" s="29" t="n">
        <v>46226.3653819444</v>
      </c>
      <c r="C301" s="2" t="s">
        <v>198</v>
      </c>
      <c r="D301" s="2" t="s">
        <v>487</v>
      </c>
      <c r="E301" s="2" t="s">
        <v>78</v>
      </c>
      <c r="F301" s="2" t="s">
        <v>108</v>
      </c>
      <c r="G301" s="30" t="n">
        <v>41</v>
      </c>
      <c r="H301" s="11" t="n">
        <v>498.99</v>
      </c>
      <c r="I301" s="11" t="s">
        <v>350</v>
      </c>
      <c r="J301" s="11" t="n">
        <v>100.8</v>
      </c>
      <c r="K301" s="11" t="n">
        <v>93.97</v>
      </c>
      <c r="L301" s="11" t="n">
        <v>0.499</v>
      </c>
      <c r="M301" s="11" t="n">
        <v>0.998</v>
      </c>
      <c r="N301" s="11" t="n">
        <v>1</v>
      </c>
      <c r="O301" s="11" t="n">
        <v>4.5</v>
      </c>
      <c r="P301" s="11" t="n">
        <v>2.46</v>
      </c>
      <c r="Q301" s="11" t="n">
        <v>18.45</v>
      </c>
      <c r="R301" s="11" t="n">
        <f aca="false">SUM(K301:Q301)</f>
        <v>121.877</v>
      </c>
      <c r="S301" s="11" t="n">
        <f aca="false">R301/(1-Resumo!$C$6)</f>
        <v>138.496590909091</v>
      </c>
      <c r="T301" s="11" t="n">
        <f aca="false">S301-J301</f>
        <v>37.6965909090909</v>
      </c>
      <c r="U301" s="12" t="n">
        <f aca="false">IFERROR(S301/J301-1,0)</f>
        <v>0.373974116161616</v>
      </c>
      <c r="V301" s="2" t="str">
        <f aca="false">IF(S301&lt;J301,"SIM","NÃO")</f>
        <v>NÃO</v>
      </c>
      <c r="W301" s="2" t="n">
        <v>5</v>
      </c>
      <c r="X301" s="2" t="s">
        <v>156</v>
      </c>
    </row>
    <row r="302" customFormat="false" ht="15" hidden="false" customHeight="false" outlineLevel="0" collapsed="false">
      <c r="A302" s="2" t="n">
        <v>364246264</v>
      </c>
      <c r="B302" s="29" t="n">
        <v>46226.4262037037</v>
      </c>
      <c r="C302" s="2" t="s">
        <v>153</v>
      </c>
      <c r="D302" s="2" t="s">
        <v>488</v>
      </c>
      <c r="E302" s="2" t="s">
        <v>80</v>
      </c>
      <c r="F302" s="2" t="s">
        <v>109</v>
      </c>
      <c r="G302" s="30" t="n">
        <v>52.3</v>
      </c>
      <c r="H302" s="11" t="n">
        <v>619.99</v>
      </c>
      <c r="I302" s="11" t="s">
        <v>350</v>
      </c>
      <c r="J302" s="11" t="n">
        <v>127.31</v>
      </c>
      <c r="K302" s="11" t="n">
        <v>112.3</v>
      </c>
      <c r="L302" s="11" t="n">
        <v>0.62</v>
      </c>
      <c r="M302" s="11" t="n">
        <v>1.24</v>
      </c>
      <c r="N302" s="11" t="n">
        <v>1</v>
      </c>
      <c r="O302" s="11" t="n">
        <v>4.5</v>
      </c>
      <c r="P302" s="11" t="n">
        <v>3.18</v>
      </c>
      <c r="Q302" s="11" t="n">
        <v>23.85</v>
      </c>
      <c r="R302" s="11" t="n">
        <f aca="false">SUM(K302:Q302)</f>
        <v>146.69</v>
      </c>
      <c r="S302" s="11" t="n">
        <f aca="false">R302/(1-Resumo!$C$6)</f>
        <v>166.693181818182</v>
      </c>
      <c r="T302" s="11" t="n">
        <f aca="false">S302-J302</f>
        <v>39.3831818181818</v>
      </c>
      <c r="U302" s="12" t="n">
        <f aca="false">IFERROR(S302/J302-1,0)</f>
        <v>0.309348690740569</v>
      </c>
      <c r="V302" s="2" t="str">
        <f aca="false">IF(S302&lt;J302,"SIM","NÃO")</f>
        <v>NÃO</v>
      </c>
      <c r="W302" s="2" t="n">
        <v>5</v>
      </c>
      <c r="X302" s="2" t="s">
        <v>156</v>
      </c>
    </row>
    <row r="303" customFormat="false" ht="15" hidden="false" customHeight="false" outlineLevel="0" collapsed="false">
      <c r="A303" s="2" t="n">
        <v>364267881</v>
      </c>
      <c r="B303" s="29" t="n">
        <v>46226.4576736111</v>
      </c>
      <c r="C303" s="2" t="s">
        <v>158</v>
      </c>
      <c r="D303" s="2" t="s">
        <v>489</v>
      </c>
      <c r="E303" s="2" t="s">
        <v>78</v>
      </c>
      <c r="F303" s="2" t="s">
        <v>107</v>
      </c>
      <c r="G303" s="30" t="n">
        <v>37.5</v>
      </c>
      <c r="H303" s="11" t="n">
        <v>418.48</v>
      </c>
      <c r="I303" s="11" t="s">
        <v>350</v>
      </c>
      <c r="J303" s="11" t="n">
        <v>92.97</v>
      </c>
      <c r="K303" s="11" t="n">
        <v>93.97</v>
      </c>
      <c r="L303" s="11" t="n">
        <v>0.4185</v>
      </c>
      <c r="M303" s="11" t="n">
        <v>0.837</v>
      </c>
      <c r="N303" s="11" t="n">
        <v>1</v>
      </c>
      <c r="O303" s="11" t="n">
        <v>4.5</v>
      </c>
      <c r="P303" s="11" t="n">
        <v>2.28</v>
      </c>
      <c r="Q303" s="11" t="n">
        <v>17.1</v>
      </c>
      <c r="R303" s="11" t="n">
        <f aca="false">SUM(K303:Q303)</f>
        <v>120.1055</v>
      </c>
      <c r="S303" s="11" t="n">
        <f aca="false">R303/(1-Resumo!$C$6)</f>
        <v>136.483522727273</v>
      </c>
      <c r="T303" s="11" t="n">
        <f aca="false">S303-J303</f>
        <v>43.5135227272727</v>
      </c>
      <c r="U303" s="12" t="n">
        <f aca="false">IFERROR(S303/J303-1,0)</f>
        <v>0.468038321257102</v>
      </c>
      <c r="V303" s="2" t="str">
        <f aca="false">IF(S303&lt;J303,"SIM","NÃO")</f>
        <v>NÃO</v>
      </c>
      <c r="W303" s="2" t="n">
        <v>5</v>
      </c>
      <c r="X303" s="2" t="s">
        <v>156</v>
      </c>
    </row>
    <row r="304" customFormat="false" ht="15" hidden="false" customHeight="false" outlineLevel="0" collapsed="false">
      <c r="A304" s="2" t="n">
        <v>364296101</v>
      </c>
      <c r="B304" s="29" t="n">
        <v>46226.4911226852</v>
      </c>
      <c r="C304" s="2" t="s">
        <v>158</v>
      </c>
      <c r="D304" s="2" t="s">
        <v>490</v>
      </c>
      <c r="E304" s="2" t="s">
        <v>83</v>
      </c>
      <c r="F304" s="2" t="s">
        <v>106</v>
      </c>
      <c r="G304" s="30" t="n">
        <v>34.6</v>
      </c>
      <c r="H304" s="11" t="n">
        <v>629</v>
      </c>
      <c r="I304" s="11" t="s">
        <v>350</v>
      </c>
      <c r="J304" s="11" t="n">
        <v>112.07</v>
      </c>
      <c r="K304" s="11" t="n">
        <v>138.29</v>
      </c>
      <c r="L304" s="11" t="n">
        <v>0.629</v>
      </c>
      <c r="M304" s="11" t="n">
        <v>1.258</v>
      </c>
      <c r="N304" s="11" t="n">
        <v>1</v>
      </c>
      <c r="O304" s="11" t="n">
        <v>4.5</v>
      </c>
      <c r="P304" s="11" t="n">
        <v>2.1</v>
      </c>
      <c r="Q304" s="11" t="n">
        <v>15.75</v>
      </c>
      <c r="R304" s="11" t="n">
        <f aca="false">SUM(K304:Q304)</f>
        <v>163.527</v>
      </c>
      <c r="S304" s="11" t="n">
        <f aca="false">R304/(1-Resumo!$C$6)</f>
        <v>185.826136363636</v>
      </c>
      <c r="T304" s="11" t="n">
        <f aca="false">S304-J304</f>
        <v>73.7561363636364</v>
      </c>
      <c r="U304" s="12" t="n">
        <f aca="false">IFERROR(S304/J304-1,0)</f>
        <v>0.658125603316109</v>
      </c>
      <c r="V304" s="2" t="str">
        <f aca="false">IF(S304&lt;J304,"SIM","NÃO")</f>
        <v>NÃO</v>
      </c>
      <c r="W304" s="2" t="n">
        <v>11</v>
      </c>
      <c r="X304" s="2" t="s">
        <v>156</v>
      </c>
    </row>
    <row r="305" customFormat="false" ht="15" hidden="false" customHeight="false" outlineLevel="0" collapsed="false">
      <c r="A305" s="2" t="n">
        <v>364393577</v>
      </c>
      <c r="B305" s="29" t="n">
        <v>46226.632037037</v>
      </c>
      <c r="C305" s="2" t="s">
        <v>198</v>
      </c>
      <c r="D305" s="2" t="s">
        <v>491</v>
      </c>
      <c r="E305" s="2" t="s">
        <v>82</v>
      </c>
      <c r="F305" s="2" t="s">
        <v>108</v>
      </c>
      <c r="G305" s="30" t="n">
        <v>41</v>
      </c>
      <c r="H305" s="11" t="n">
        <v>498.99</v>
      </c>
      <c r="I305" s="11" t="s">
        <v>350</v>
      </c>
      <c r="J305" s="11" t="n">
        <v>114.22</v>
      </c>
      <c r="K305" s="11" t="n">
        <v>114.95</v>
      </c>
      <c r="L305" s="11" t="n">
        <v>0.499</v>
      </c>
      <c r="M305" s="11" t="n">
        <v>0.998</v>
      </c>
      <c r="N305" s="11" t="n">
        <v>1</v>
      </c>
      <c r="O305" s="11" t="n">
        <v>4.5</v>
      </c>
      <c r="P305" s="11" t="n">
        <v>2.46</v>
      </c>
      <c r="Q305" s="11" t="n">
        <v>18.45</v>
      </c>
      <c r="R305" s="11" t="n">
        <f aca="false">SUM(K305:Q305)</f>
        <v>142.857</v>
      </c>
      <c r="S305" s="11" t="n">
        <f aca="false">R305/(1-Resumo!$C$6)</f>
        <v>162.3375</v>
      </c>
      <c r="T305" s="11" t="n">
        <f aca="false">S305-J305</f>
        <v>48.1175</v>
      </c>
      <c r="U305" s="12" t="n">
        <f aca="false">IFERROR(S305/J305-1,0)</f>
        <v>0.421270355454386</v>
      </c>
      <c r="V305" s="2" t="str">
        <f aca="false">IF(S305&lt;J305,"SIM","NÃO")</f>
        <v>NÃO</v>
      </c>
      <c r="W305" s="2" t="n">
        <v>7</v>
      </c>
      <c r="X305" s="2" t="s">
        <v>156</v>
      </c>
    </row>
    <row r="306" customFormat="false" ht="15" hidden="false" customHeight="false" outlineLevel="0" collapsed="false">
      <c r="A306" s="2" t="n">
        <v>364396305</v>
      </c>
      <c r="B306" s="29" t="n">
        <v>46226.642962963</v>
      </c>
      <c r="C306" s="2" t="s">
        <v>178</v>
      </c>
      <c r="D306" s="2" t="s">
        <v>492</v>
      </c>
      <c r="E306" s="2" t="s">
        <v>493</v>
      </c>
      <c r="F306" s="2" t="s">
        <v>107</v>
      </c>
      <c r="G306" s="30" t="n">
        <v>36.9</v>
      </c>
      <c r="H306" s="11" t="n">
        <v>390.99</v>
      </c>
      <c r="I306" s="11" t="s">
        <v>350</v>
      </c>
      <c r="J306" s="11" t="n">
        <v>122.57</v>
      </c>
      <c r="K306" s="11" t="n">
        <v>124.38</v>
      </c>
      <c r="L306" s="11" t="n">
        <v>0.391</v>
      </c>
      <c r="M306" s="11" t="n">
        <v>0.782</v>
      </c>
      <c r="N306" s="11" t="n">
        <v>1</v>
      </c>
      <c r="O306" s="11" t="n">
        <v>4.5</v>
      </c>
      <c r="P306" s="11" t="n">
        <v>2.22</v>
      </c>
      <c r="Q306" s="11" t="n">
        <v>16.65</v>
      </c>
      <c r="R306" s="11" t="n">
        <f aca="false">SUM(K306:Q306)</f>
        <v>149.923</v>
      </c>
      <c r="S306" s="11" t="n">
        <f aca="false">R306/(1-Resumo!$C$6)</f>
        <v>170.367045454545</v>
      </c>
      <c r="T306" s="11" t="n">
        <f aca="false">S306-J306</f>
        <v>47.7970454545455</v>
      </c>
      <c r="U306" s="12" t="n">
        <f aca="false">IFERROR(S306/J306-1,0)</f>
        <v>0.389957130248393</v>
      </c>
      <c r="V306" s="2" t="str">
        <f aca="false">IF(S306&lt;J306,"SIM","NÃO")</f>
        <v>NÃO</v>
      </c>
      <c r="W306" s="2" t="n">
        <v>10</v>
      </c>
      <c r="X306" s="2" t="s">
        <v>161</v>
      </c>
    </row>
    <row r="307" customFormat="false" ht="15" hidden="false" customHeight="false" outlineLevel="0" collapsed="false">
      <c r="A307" s="2" t="n">
        <v>364444956</v>
      </c>
      <c r="B307" s="29" t="n">
        <v>46226.7175462963</v>
      </c>
      <c r="C307" s="2" t="s">
        <v>153</v>
      </c>
      <c r="D307" s="2" t="s">
        <v>494</v>
      </c>
      <c r="E307" s="2" t="s">
        <v>78</v>
      </c>
      <c r="F307" s="2" t="s">
        <v>109</v>
      </c>
      <c r="G307" s="30" t="n">
        <v>52.3</v>
      </c>
      <c r="H307" s="11" t="n">
        <v>643.99</v>
      </c>
      <c r="I307" s="11" t="s">
        <v>350</v>
      </c>
      <c r="J307" s="11" t="n">
        <v>113.35</v>
      </c>
      <c r="K307" s="11" t="n">
        <v>112.3</v>
      </c>
      <c r="L307" s="11" t="n">
        <v>0.644</v>
      </c>
      <c r="M307" s="11" t="n">
        <v>1.288</v>
      </c>
      <c r="N307" s="11" t="n">
        <v>1</v>
      </c>
      <c r="O307" s="11" t="n">
        <v>4.5</v>
      </c>
      <c r="P307" s="11" t="n">
        <v>3.18</v>
      </c>
      <c r="Q307" s="11" t="n">
        <v>23.85</v>
      </c>
      <c r="R307" s="11" t="n">
        <f aca="false">SUM(K307:Q307)</f>
        <v>146.762</v>
      </c>
      <c r="S307" s="11" t="n">
        <f aca="false">R307/(1-Resumo!$C$6)</f>
        <v>166.775</v>
      </c>
      <c r="T307" s="11" t="n">
        <f aca="false">S307-J307</f>
        <v>53.425</v>
      </c>
      <c r="U307" s="12" t="n">
        <f aca="false">IFERROR(S307/J307-1,0)</f>
        <v>0.471327745919718</v>
      </c>
      <c r="V307" s="2" t="str">
        <f aca="false">IF(S307&lt;J307,"SIM","NÃO")</f>
        <v>NÃO</v>
      </c>
      <c r="W307" s="2" t="n">
        <v>5</v>
      </c>
      <c r="X307" s="2" t="s">
        <v>156</v>
      </c>
    </row>
    <row r="308" customFormat="false" ht="15" hidden="false" customHeight="false" outlineLevel="0" collapsed="false">
      <c r="A308" s="2" t="n">
        <v>364455233</v>
      </c>
      <c r="B308" s="29" t="n">
        <v>46226.7306365741</v>
      </c>
      <c r="C308" s="2" t="s">
        <v>153</v>
      </c>
      <c r="D308" s="2" t="s">
        <v>495</v>
      </c>
      <c r="E308" s="2" t="s">
        <v>87</v>
      </c>
      <c r="F308" s="2" t="s">
        <v>108</v>
      </c>
      <c r="G308" s="30" t="n">
        <v>48.3</v>
      </c>
      <c r="H308" s="11" t="n">
        <v>499.99</v>
      </c>
      <c r="I308" s="11" t="s">
        <v>350</v>
      </c>
      <c r="J308" s="11" t="n">
        <v>132.33</v>
      </c>
      <c r="K308" s="11" t="n">
        <v>124.38</v>
      </c>
      <c r="L308" s="11" t="n">
        <v>0.5</v>
      </c>
      <c r="M308" s="11" t="n">
        <v>1</v>
      </c>
      <c r="N308" s="11" t="n">
        <v>1</v>
      </c>
      <c r="O308" s="11" t="n">
        <v>4.5</v>
      </c>
      <c r="P308" s="11" t="n">
        <v>2.94</v>
      </c>
      <c r="Q308" s="11" t="n">
        <v>22.05</v>
      </c>
      <c r="R308" s="11" t="n">
        <f aca="false">SUM(K308:Q308)</f>
        <v>156.37</v>
      </c>
      <c r="S308" s="11" t="n">
        <f aca="false">R308/(1-Resumo!$C$6)</f>
        <v>177.693181818182</v>
      </c>
      <c r="T308" s="11" t="n">
        <f aca="false">S308-J308</f>
        <v>45.3631818181818</v>
      </c>
      <c r="U308" s="12" t="n">
        <f aca="false">IFERROR(S308/J308-1,0)</f>
        <v>0.342803459670383</v>
      </c>
      <c r="V308" s="2" t="str">
        <f aca="false">IF(S308&lt;J308,"SIM","NÃO")</f>
        <v>NÃO</v>
      </c>
      <c r="W308" s="2" t="n">
        <v>10</v>
      </c>
      <c r="X308" s="2" t="s">
        <v>156</v>
      </c>
    </row>
    <row r="309" customFormat="false" ht="15" hidden="false" customHeight="false" outlineLevel="0" collapsed="false">
      <c r="A309" s="2" t="n">
        <v>364580811</v>
      </c>
      <c r="B309" s="29" t="n">
        <v>46226.8985416667</v>
      </c>
      <c r="C309" s="2" t="s">
        <v>153</v>
      </c>
      <c r="D309" s="2" t="s">
        <v>496</v>
      </c>
      <c r="E309" s="2" t="s">
        <v>82</v>
      </c>
      <c r="F309" s="2" t="s">
        <v>107</v>
      </c>
      <c r="G309" s="30" t="n">
        <v>35.4</v>
      </c>
      <c r="H309" s="11" t="n">
        <v>539.99</v>
      </c>
      <c r="I309" s="11" t="s">
        <v>155</v>
      </c>
      <c r="J309" s="11" t="n">
        <v>113.55</v>
      </c>
      <c r="K309" s="11" t="n">
        <v>114.95</v>
      </c>
      <c r="L309" s="11" t="n">
        <v>0.54</v>
      </c>
      <c r="M309" s="11" t="n">
        <v>1.08</v>
      </c>
      <c r="N309" s="11" t="n">
        <v>1</v>
      </c>
      <c r="O309" s="11" t="n">
        <v>4.5</v>
      </c>
      <c r="P309" s="11" t="n">
        <v>2.16</v>
      </c>
      <c r="Q309" s="11" t="n">
        <v>16.2</v>
      </c>
      <c r="R309" s="11" t="n">
        <f aca="false">SUM(K309:Q309)</f>
        <v>140.43</v>
      </c>
      <c r="S309" s="11" t="n">
        <f aca="false">R309/(1-Resumo!$C$6)</f>
        <v>159.579545454545</v>
      </c>
      <c r="T309" s="11" t="n">
        <f aca="false">S309-J309</f>
        <v>46.0295454545455</v>
      </c>
      <c r="U309" s="12" t="n">
        <f aca="false">IFERROR(S309/J309-1,0)</f>
        <v>0.405368079740603</v>
      </c>
      <c r="V309" s="2" t="str">
        <f aca="false">IF(S309&lt;J309,"SIM","NÃO")</f>
        <v>NÃO</v>
      </c>
      <c r="W309" s="2" t="n">
        <v>7</v>
      </c>
      <c r="X309" s="2" t="s">
        <v>156</v>
      </c>
    </row>
    <row r="310" customFormat="false" ht="15" hidden="false" customHeight="false" outlineLevel="0" collapsed="false">
      <c r="A310" s="2" t="n">
        <v>364590376</v>
      </c>
      <c r="B310" s="29" t="n">
        <v>46226.9081597222</v>
      </c>
      <c r="C310" s="2" t="s">
        <v>153</v>
      </c>
      <c r="D310" s="2" t="s">
        <v>497</v>
      </c>
      <c r="E310" s="2" t="s">
        <v>78</v>
      </c>
      <c r="F310" s="2" t="s">
        <v>110</v>
      </c>
      <c r="G310" s="30" t="n">
        <v>66.8</v>
      </c>
      <c r="H310" s="11" t="n">
        <v>643.99</v>
      </c>
      <c r="I310" s="11" t="s">
        <v>155</v>
      </c>
      <c r="J310" s="11" t="n">
        <v>124.3</v>
      </c>
      <c r="K310" s="11" t="n">
        <v>131.02</v>
      </c>
      <c r="L310" s="11" t="n">
        <v>0.644</v>
      </c>
      <c r="M310" s="11" t="n">
        <v>1.288</v>
      </c>
      <c r="N310" s="11" t="n">
        <v>1</v>
      </c>
      <c r="O310" s="11" t="n">
        <v>4.5</v>
      </c>
      <c r="P310" s="11" t="n">
        <v>4.02</v>
      </c>
      <c r="Q310" s="11" t="n">
        <v>30.15</v>
      </c>
      <c r="R310" s="11" t="n">
        <f aca="false">SUM(K310:Q310)</f>
        <v>172.622</v>
      </c>
      <c r="S310" s="11" t="n">
        <f aca="false">R310/(1-Resumo!$C$6)</f>
        <v>196.161363636364</v>
      </c>
      <c r="T310" s="11" t="n">
        <f aca="false">S310-J310</f>
        <v>71.8613636363637</v>
      </c>
      <c r="U310" s="12" t="n">
        <f aca="false">IFERROR(S310/J310-1,0)</f>
        <v>0.57812842828933</v>
      </c>
      <c r="V310" s="2" t="str">
        <f aca="false">IF(S310&lt;J310,"SIM","NÃO")</f>
        <v>NÃO</v>
      </c>
      <c r="W310" s="2" t="n">
        <v>5</v>
      </c>
      <c r="X310" s="2" t="s">
        <v>156</v>
      </c>
    </row>
    <row r="311" customFormat="false" ht="15" hidden="false" customHeight="false" outlineLevel="0" collapsed="false">
      <c r="A311" s="2" t="n">
        <v>364618453</v>
      </c>
      <c r="B311" s="29" t="n">
        <v>46226.9450694445</v>
      </c>
      <c r="C311" s="2" t="s">
        <v>153</v>
      </c>
      <c r="D311" s="2" t="s">
        <v>498</v>
      </c>
      <c r="E311" s="2" t="s">
        <v>94</v>
      </c>
      <c r="F311" s="2" t="s">
        <v>108</v>
      </c>
      <c r="G311" s="30" t="n">
        <v>48.3</v>
      </c>
      <c r="H311" s="11" t="n">
        <v>414.99</v>
      </c>
      <c r="I311" s="11" t="s">
        <v>350</v>
      </c>
      <c r="J311" s="11" t="n">
        <v>117.9</v>
      </c>
      <c r="K311" s="11" t="n">
        <v>93.97</v>
      </c>
      <c r="L311" s="11" t="n">
        <v>0.415</v>
      </c>
      <c r="M311" s="11" t="n">
        <v>0.83</v>
      </c>
      <c r="N311" s="11" t="n">
        <v>1</v>
      </c>
      <c r="O311" s="11" t="n">
        <v>4.5</v>
      </c>
      <c r="P311" s="11" t="n">
        <v>2.94</v>
      </c>
      <c r="Q311" s="11" t="n">
        <v>22.05</v>
      </c>
      <c r="R311" s="11" t="n">
        <f aca="false">SUM(K311:Q311)</f>
        <v>125.705</v>
      </c>
      <c r="S311" s="11" t="n">
        <f aca="false">R311/(1-Resumo!$C$6)</f>
        <v>142.846590909091</v>
      </c>
      <c r="T311" s="11" t="n">
        <f aca="false">S311-J311</f>
        <v>24.9465909090909</v>
      </c>
      <c r="U311" s="12" t="n">
        <f aca="false">IFERROR(S311/J311-1,0)</f>
        <v>0.211591101858277</v>
      </c>
      <c r="V311" s="2" t="str">
        <f aca="false">IF(S311&lt;J311,"SIM","NÃO")</f>
        <v>NÃO</v>
      </c>
      <c r="W311" s="2" t="n">
        <v>5</v>
      </c>
      <c r="X311" s="2" t="s">
        <v>156</v>
      </c>
    </row>
    <row r="312" customFormat="false" ht="15" hidden="false" customHeight="false" outlineLevel="0" collapsed="false">
      <c r="A312" s="2" t="n">
        <v>364912688</v>
      </c>
      <c r="B312" s="29" t="n">
        <v>46227.5399421296</v>
      </c>
      <c r="C312" s="2" t="s">
        <v>178</v>
      </c>
      <c r="D312" s="2" t="s">
        <v>499</v>
      </c>
      <c r="E312" s="2" t="s">
        <v>78</v>
      </c>
      <c r="F312" s="2" t="s">
        <v>109</v>
      </c>
      <c r="G312" s="30" t="n">
        <v>60</v>
      </c>
      <c r="H312" s="11" t="n">
        <v>999.99</v>
      </c>
      <c r="I312" s="11" t="s">
        <v>155</v>
      </c>
      <c r="J312" s="11" t="n">
        <v>115.94</v>
      </c>
      <c r="K312" s="11" t="n">
        <v>112.3</v>
      </c>
      <c r="L312" s="11" t="n">
        <v>1</v>
      </c>
      <c r="M312" s="11" t="n">
        <v>2</v>
      </c>
      <c r="N312" s="11" t="n">
        <v>1</v>
      </c>
      <c r="O312" s="11" t="n">
        <v>4.5</v>
      </c>
      <c r="P312" s="11" t="n">
        <v>3.6</v>
      </c>
      <c r="Q312" s="11" t="n">
        <v>27</v>
      </c>
      <c r="R312" s="11" t="n">
        <f aca="false">SUM(K312:Q312)</f>
        <v>151.4</v>
      </c>
      <c r="S312" s="11" t="n">
        <f aca="false">R312/(1-Resumo!$C$6)</f>
        <v>172.045454545455</v>
      </c>
      <c r="T312" s="11" t="n">
        <f aca="false">S312-J312</f>
        <v>56.1054545454545</v>
      </c>
      <c r="U312" s="12" t="n">
        <f aca="false">IFERROR(S312/J312-1,0)</f>
        <v>0.483918014019791</v>
      </c>
      <c r="V312" s="2" t="str">
        <f aca="false">IF(S312&lt;J312,"SIM","NÃO")</f>
        <v>NÃO</v>
      </c>
      <c r="W312" s="2" t="n">
        <v>5</v>
      </c>
      <c r="X312" s="2" t="s">
        <v>156</v>
      </c>
    </row>
    <row r="313" customFormat="false" ht="15" hidden="false" customHeight="false" outlineLevel="0" collapsed="false">
      <c r="A313" s="2" t="n">
        <v>364922421</v>
      </c>
      <c r="B313" s="29" t="n">
        <v>46227.5446875</v>
      </c>
      <c r="C313" s="2" t="s">
        <v>158</v>
      </c>
      <c r="D313" s="2" t="s">
        <v>500</v>
      </c>
      <c r="E313" s="2" t="s">
        <v>78</v>
      </c>
      <c r="F313" s="2" t="s">
        <v>115</v>
      </c>
      <c r="G313" s="30" t="n">
        <v>157.9</v>
      </c>
      <c r="H313" s="11" t="n">
        <v>1920.55</v>
      </c>
      <c r="I313" s="11" t="s">
        <v>155</v>
      </c>
      <c r="J313" s="11" t="n">
        <v>256.17</v>
      </c>
      <c r="K313" s="11" t="n">
        <v>271.15</v>
      </c>
      <c r="L313" s="11" t="n">
        <v>1.9206</v>
      </c>
      <c r="M313" s="11" t="n">
        <v>3.8411</v>
      </c>
      <c r="N313" s="11" t="n">
        <v>1</v>
      </c>
      <c r="O313" s="11" t="n">
        <v>9</v>
      </c>
      <c r="P313" s="11" t="n">
        <v>9.48</v>
      </c>
      <c r="Q313" s="11" t="n">
        <v>71.1</v>
      </c>
      <c r="R313" s="11" t="n">
        <f aca="false">SUM(K313:Q313)</f>
        <v>367.4917</v>
      </c>
      <c r="S313" s="11" t="n">
        <f aca="false">R313/(1-Resumo!$C$6)</f>
        <v>417.604204545455</v>
      </c>
      <c r="T313" s="11" t="n">
        <f aca="false">S313-J313</f>
        <v>161.434204545454</v>
      </c>
      <c r="U313" s="12" t="n">
        <f aca="false">IFERROR(S313/J313-1,0)</f>
        <v>0.630183880022854</v>
      </c>
      <c r="V313" s="2" t="str">
        <f aca="false">IF(S313&lt;J313,"SIM","NÃO")</f>
        <v>NÃO</v>
      </c>
      <c r="W313" s="2" t="n">
        <v>5</v>
      </c>
      <c r="X313" s="2" t="s">
        <v>156</v>
      </c>
    </row>
    <row r="314" customFormat="false" ht="15" hidden="false" customHeight="false" outlineLevel="0" collapsed="false">
      <c r="A314" s="2" t="n">
        <v>365005336</v>
      </c>
      <c r="B314" s="29" t="n">
        <v>46227.651087963</v>
      </c>
      <c r="C314" s="2" t="s">
        <v>178</v>
      </c>
      <c r="D314" s="2" t="s">
        <v>499</v>
      </c>
      <c r="E314" s="2" t="s">
        <v>78</v>
      </c>
      <c r="F314" s="2" t="s">
        <v>109</v>
      </c>
      <c r="G314" s="30" t="n">
        <v>60</v>
      </c>
      <c r="H314" s="11" t="n">
        <v>999.99</v>
      </c>
      <c r="I314" s="11" t="s">
        <v>155</v>
      </c>
      <c r="J314" s="11" t="n">
        <v>115.94</v>
      </c>
      <c r="K314" s="11" t="n">
        <v>112.3</v>
      </c>
      <c r="L314" s="11" t="n">
        <v>1</v>
      </c>
      <c r="M314" s="11" t="n">
        <v>2</v>
      </c>
      <c r="N314" s="11" t="n">
        <v>1</v>
      </c>
      <c r="O314" s="11" t="n">
        <v>4.5</v>
      </c>
      <c r="P314" s="11" t="n">
        <v>3.6</v>
      </c>
      <c r="Q314" s="11" t="n">
        <v>27</v>
      </c>
      <c r="R314" s="11" t="n">
        <f aca="false">SUM(K314:Q314)</f>
        <v>151.4</v>
      </c>
      <c r="S314" s="11" t="n">
        <f aca="false">R314/(1-Resumo!$C$6)</f>
        <v>172.045454545455</v>
      </c>
      <c r="T314" s="11" t="n">
        <f aca="false">S314-J314</f>
        <v>56.1054545454545</v>
      </c>
      <c r="U314" s="12" t="n">
        <f aca="false">IFERROR(S314/J314-1,0)</f>
        <v>0.483918014019791</v>
      </c>
      <c r="V314" s="2" t="str">
        <f aca="false">IF(S314&lt;J314,"SIM","NÃO")</f>
        <v>NÃO</v>
      </c>
      <c r="W314" s="2" t="n">
        <v>5</v>
      </c>
      <c r="X314" s="2" t="s">
        <v>156</v>
      </c>
    </row>
    <row r="315" customFormat="false" ht="15" hidden="false" customHeight="false" outlineLevel="0" collapsed="false">
      <c r="A315" s="2" t="n">
        <v>365039970</v>
      </c>
      <c r="B315" s="29" t="n">
        <v>46227.6859837963</v>
      </c>
      <c r="C315" s="2" t="s">
        <v>153</v>
      </c>
      <c r="D315" s="2" t="s">
        <v>501</v>
      </c>
      <c r="E315" s="2" t="s">
        <v>78</v>
      </c>
      <c r="F315" s="2" t="s">
        <v>108</v>
      </c>
      <c r="G315" s="30" t="n">
        <v>48.3</v>
      </c>
      <c r="H315" s="11" t="n">
        <v>429.99</v>
      </c>
      <c r="I315" s="11" t="s">
        <v>155</v>
      </c>
      <c r="J315" s="11" t="n">
        <v>102.65</v>
      </c>
      <c r="K315" s="11" t="n">
        <v>93.97</v>
      </c>
      <c r="L315" s="11" t="n">
        <v>0.43</v>
      </c>
      <c r="M315" s="11" t="n">
        <v>0.86</v>
      </c>
      <c r="N315" s="11" t="n">
        <v>1</v>
      </c>
      <c r="O315" s="11" t="n">
        <v>4.5</v>
      </c>
      <c r="P315" s="11" t="n">
        <v>2.94</v>
      </c>
      <c r="Q315" s="11" t="n">
        <v>22.05</v>
      </c>
      <c r="R315" s="11" t="n">
        <f aca="false">SUM(K315:Q315)</f>
        <v>125.75</v>
      </c>
      <c r="S315" s="11" t="n">
        <f aca="false">R315/(1-Resumo!$C$6)</f>
        <v>142.897727272727</v>
      </c>
      <c r="T315" s="11" t="n">
        <f aca="false">S315-J315</f>
        <v>40.2477272727273</v>
      </c>
      <c r="U315" s="12" t="n">
        <f aca="false">IFERROR(S315/J315-1,0)</f>
        <v>0.392086968073329</v>
      </c>
      <c r="V315" s="2" t="str">
        <f aca="false">IF(S315&lt;J315,"SIM","NÃO")</f>
        <v>NÃO</v>
      </c>
      <c r="W315" s="2" t="n">
        <v>5</v>
      </c>
      <c r="X315" s="2" t="s">
        <v>156</v>
      </c>
    </row>
    <row r="316" customFormat="false" ht="15" hidden="false" customHeight="false" outlineLevel="0" collapsed="false">
      <c r="A316" s="2" t="n">
        <v>365138826</v>
      </c>
      <c r="B316" s="29" t="n">
        <v>46227.8268055556</v>
      </c>
      <c r="C316" s="2" t="s">
        <v>153</v>
      </c>
      <c r="D316" s="2" t="s">
        <v>502</v>
      </c>
      <c r="E316" s="2" t="s">
        <v>78</v>
      </c>
      <c r="F316" s="2" t="s">
        <v>109</v>
      </c>
      <c r="G316" s="30" t="n">
        <v>52.3</v>
      </c>
      <c r="H316" s="11" t="n">
        <v>685.84</v>
      </c>
      <c r="I316" s="11" t="s">
        <v>350</v>
      </c>
      <c r="J316" s="11" t="n">
        <v>113.56</v>
      </c>
      <c r="K316" s="11" t="n">
        <v>112.3</v>
      </c>
      <c r="L316" s="11" t="n">
        <v>0.6858</v>
      </c>
      <c r="M316" s="11" t="n">
        <v>1.3717</v>
      </c>
      <c r="N316" s="11" t="n">
        <v>1</v>
      </c>
      <c r="O316" s="11" t="n">
        <v>4.5</v>
      </c>
      <c r="P316" s="11" t="n">
        <v>3.18</v>
      </c>
      <c r="Q316" s="11" t="n">
        <v>23.85</v>
      </c>
      <c r="R316" s="11" t="n">
        <f aca="false">SUM(K316:Q316)</f>
        <v>146.8875</v>
      </c>
      <c r="S316" s="11" t="n">
        <f aca="false">R316/(1-Resumo!$C$6)</f>
        <v>166.917613636364</v>
      </c>
      <c r="T316" s="11" t="n">
        <f aca="false">S316-J316</f>
        <v>53.3576136363636</v>
      </c>
      <c r="U316" s="12" t="n">
        <f aca="false">IFERROR(S316/J316-1,0)</f>
        <v>0.469862747766499</v>
      </c>
      <c r="V316" s="2" t="str">
        <f aca="false">IF(S316&lt;J316,"SIM","NÃO")</f>
        <v>NÃO</v>
      </c>
      <c r="W316" s="2" t="n">
        <v>5</v>
      </c>
      <c r="X316" s="2" t="s">
        <v>156</v>
      </c>
    </row>
    <row r="317" customFormat="false" ht="15" hidden="false" customHeight="false" outlineLevel="0" collapsed="false">
      <c r="A317" s="2" t="n">
        <v>365188333</v>
      </c>
      <c r="B317" s="29" t="n">
        <v>46227.8884143519</v>
      </c>
      <c r="C317" s="2" t="s">
        <v>153</v>
      </c>
      <c r="D317" s="2" t="s">
        <v>503</v>
      </c>
      <c r="E317" s="2" t="s">
        <v>81</v>
      </c>
      <c r="F317" s="2" t="s">
        <v>109</v>
      </c>
      <c r="G317" s="30" t="n">
        <v>52.3</v>
      </c>
      <c r="H317" s="11" t="n">
        <v>685.84</v>
      </c>
      <c r="I317" s="11" t="s">
        <v>350</v>
      </c>
      <c r="J317" s="11" t="n">
        <v>127.62</v>
      </c>
      <c r="K317" s="11" t="n">
        <v>112.3</v>
      </c>
      <c r="L317" s="11" t="n">
        <v>0.6858</v>
      </c>
      <c r="M317" s="11" t="n">
        <v>1.3717</v>
      </c>
      <c r="N317" s="11" t="n">
        <v>1</v>
      </c>
      <c r="O317" s="11" t="n">
        <v>4.5</v>
      </c>
      <c r="P317" s="11" t="n">
        <v>3.18</v>
      </c>
      <c r="Q317" s="11" t="n">
        <v>23.85</v>
      </c>
      <c r="R317" s="11" t="n">
        <f aca="false">SUM(K317:Q317)</f>
        <v>146.8875</v>
      </c>
      <c r="S317" s="11" t="n">
        <f aca="false">R317/(1-Resumo!$C$6)</f>
        <v>166.917613636364</v>
      </c>
      <c r="T317" s="11" t="n">
        <f aca="false">S317-J317</f>
        <v>39.2976136363636</v>
      </c>
      <c r="U317" s="12" t="n">
        <f aca="false">IFERROR(S317/J317-1,0)</f>
        <v>0.307926764115057</v>
      </c>
      <c r="V317" s="2" t="str">
        <f aca="false">IF(S317&lt;J317,"SIM","NÃO")</f>
        <v>NÃO</v>
      </c>
      <c r="W317" s="2" t="n">
        <v>5</v>
      </c>
      <c r="X317" s="2" t="s">
        <v>156</v>
      </c>
    </row>
    <row r="318" customFormat="false" ht="15" hidden="false" customHeight="false" outlineLevel="0" collapsed="false">
      <c r="A318" s="2" t="n">
        <v>365196543</v>
      </c>
      <c r="B318" s="29" t="n">
        <v>46227.9042824074</v>
      </c>
      <c r="C318" s="2" t="s">
        <v>198</v>
      </c>
      <c r="D318" s="2" t="s">
        <v>504</v>
      </c>
      <c r="E318" s="2" t="s">
        <v>78</v>
      </c>
      <c r="F318" s="2" t="s">
        <v>109</v>
      </c>
      <c r="G318" s="30" t="n">
        <v>52.3</v>
      </c>
      <c r="H318" s="11" t="n">
        <v>616.99</v>
      </c>
      <c r="I318" s="11" t="s">
        <v>350</v>
      </c>
      <c r="J318" s="11" t="n">
        <v>113.24</v>
      </c>
      <c r="K318" s="11" t="n">
        <v>112.3</v>
      </c>
      <c r="L318" s="11" t="n">
        <v>0.617</v>
      </c>
      <c r="M318" s="11" t="n">
        <v>1.234</v>
      </c>
      <c r="N318" s="11" t="n">
        <v>1</v>
      </c>
      <c r="O318" s="11" t="n">
        <v>4.5</v>
      </c>
      <c r="P318" s="11" t="n">
        <v>3.18</v>
      </c>
      <c r="Q318" s="11" t="n">
        <v>23.85</v>
      </c>
      <c r="R318" s="11" t="n">
        <f aca="false">SUM(K318:Q318)</f>
        <v>146.681</v>
      </c>
      <c r="S318" s="11" t="n">
        <f aca="false">R318/(1-Resumo!$C$6)</f>
        <v>166.682954545455</v>
      </c>
      <c r="T318" s="11" t="n">
        <f aca="false">S318-J318</f>
        <v>53.4429545454546</v>
      </c>
      <c r="U318" s="12" t="n">
        <f aca="false">IFERROR(S318/J318-1,0)</f>
        <v>0.471944141164381</v>
      </c>
      <c r="V318" s="2" t="str">
        <f aca="false">IF(S318&lt;J318,"SIM","NÃO")</f>
        <v>NÃO</v>
      </c>
      <c r="W318" s="2" t="n">
        <v>5</v>
      </c>
      <c r="X318" s="2" t="s">
        <v>156</v>
      </c>
    </row>
    <row r="319" customFormat="false" ht="15" hidden="false" customHeight="false" outlineLevel="0" collapsed="false">
      <c r="A319" s="2" t="n">
        <v>365204504</v>
      </c>
      <c r="B319" s="29" t="n">
        <v>46227.9150462963</v>
      </c>
      <c r="C319" s="2" t="s">
        <v>153</v>
      </c>
      <c r="D319" s="2" t="s">
        <v>505</v>
      </c>
      <c r="E319" s="2" t="s">
        <v>78</v>
      </c>
      <c r="F319" s="2" t="s">
        <v>109</v>
      </c>
      <c r="G319" s="30" t="n">
        <v>52.3</v>
      </c>
      <c r="H319" s="11" t="n">
        <v>699.99</v>
      </c>
      <c r="I319" s="11" t="s">
        <v>350</v>
      </c>
      <c r="J319" s="11" t="n">
        <v>113.63</v>
      </c>
      <c r="K319" s="11" t="n">
        <v>112.3</v>
      </c>
      <c r="L319" s="11" t="n">
        <v>0.7</v>
      </c>
      <c r="M319" s="11" t="n">
        <v>1.4</v>
      </c>
      <c r="N319" s="11" t="n">
        <v>1</v>
      </c>
      <c r="O319" s="11" t="n">
        <v>4.5</v>
      </c>
      <c r="P319" s="11" t="n">
        <v>3.18</v>
      </c>
      <c r="Q319" s="11" t="n">
        <v>23.85</v>
      </c>
      <c r="R319" s="11" t="n">
        <f aca="false">SUM(K319:Q319)</f>
        <v>146.93</v>
      </c>
      <c r="S319" s="11" t="n">
        <f aca="false">R319/(1-Resumo!$C$6)</f>
        <v>166.965909090909</v>
      </c>
      <c r="T319" s="11" t="n">
        <f aca="false">S319-J319</f>
        <v>53.3359090909091</v>
      </c>
      <c r="U319" s="12" t="n">
        <f aca="false">IFERROR(S319/J319-1,0)</f>
        <v>0.469382285407983</v>
      </c>
      <c r="V319" s="2" t="str">
        <f aca="false">IF(S319&lt;J319,"SIM","NÃO")</f>
        <v>NÃO</v>
      </c>
      <c r="W319" s="2" t="n">
        <v>5</v>
      </c>
      <c r="X319" s="2" t="s">
        <v>156</v>
      </c>
    </row>
    <row r="320" customFormat="false" ht="15" hidden="false" customHeight="false" outlineLevel="0" collapsed="false">
      <c r="A320" s="2" t="n">
        <v>365242625</v>
      </c>
      <c r="B320" s="29" t="n">
        <v>46227.9572569444</v>
      </c>
      <c r="C320" s="2" t="s">
        <v>158</v>
      </c>
      <c r="D320" s="2" t="s">
        <v>506</v>
      </c>
      <c r="E320" s="2" t="s">
        <v>78</v>
      </c>
      <c r="F320" s="2" t="s">
        <v>114</v>
      </c>
      <c r="G320" s="30" t="n">
        <v>145.8</v>
      </c>
      <c r="H320" s="11" t="n">
        <v>1869.99</v>
      </c>
      <c r="I320" s="11" t="s">
        <v>350</v>
      </c>
      <c r="J320" s="11" t="n">
        <v>238.41</v>
      </c>
      <c r="K320" s="11" t="n">
        <v>239.25</v>
      </c>
      <c r="L320" s="11" t="n">
        <v>1.87</v>
      </c>
      <c r="M320" s="11" t="n">
        <v>3.74</v>
      </c>
      <c r="N320" s="11" t="n">
        <v>1</v>
      </c>
      <c r="O320" s="11" t="n">
        <v>9</v>
      </c>
      <c r="P320" s="11" t="n">
        <v>8.76</v>
      </c>
      <c r="Q320" s="11" t="n">
        <v>65.7</v>
      </c>
      <c r="R320" s="11" t="n">
        <f aca="false">SUM(K320:Q320)</f>
        <v>329.32</v>
      </c>
      <c r="S320" s="11" t="n">
        <f aca="false">R320/(1-Resumo!$C$6)</f>
        <v>374.227272727273</v>
      </c>
      <c r="T320" s="11" t="n">
        <f aca="false">S320-J320</f>
        <v>135.817272727273</v>
      </c>
      <c r="U320" s="12" t="n">
        <f aca="false">IFERROR(S320/J320-1,0)</f>
        <v>0.569679429249078</v>
      </c>
      <c r="V320" s="2" t="str">
        <f aca="false">IF(S320&lt;J320,"SIM","NÃO")</f>
        <v>NÃO</v>
      </c>
      <c r="W320" s="2" t="n">
        <v>5</v>
      </c>
      <c r="X320" s="2" t="s">
        <v>156</v>
      </c>
    </row>
    <row r="321" customFormat="false" ht="15" hidden="false" customHeight="false" outlineLevel="0" collapsed="false">
      <c r="A321" s="2" t="n">
        <v>365248742</v>
      </c>
      <c r="B321" s="29" t="n">
        <v>46227.9659837963</v>
      </c>
      <c r="C321" s="2" t="s">
        <v>153</v>
      </c>
      <c r="D321" s="2" t="s">
        <v>507</v>
      </c>
      <c r="E321" s="2" t="s">
        <v>79</v>
      </c>
      <c r="F321" s="2" t="s">
        <v>110</v>
      </c>
      <c r="G321" s="30" t="n">
        <v>66.8</v>
      </c>
      <c r="H321" s="11" t="n">
        <v>639.99</v>
      </c>
      <c r="I321" s="11" t="s">
        <v>350</v>
      </c>
      <c r="J321" s="11" t="n">
        <v>140.89</v>
      </c>
      <c r="K321" s="11" t="n">
        <v>149.5</v>
      </c>
      <c r="L321" s="11" t="n">
        <v>0.64</v>
      </c>
      <c r="M321" s="11" t="n">
        <v>1.28</v>
      </c>
      <c r="N321" s="11" t="n">
        <v>1</v>
      </c>
      <c r="O321" s="11" t="n">
        <v>4.5</v>
      </c>
      <c r="P321" s="11" t="n">
        <v>4.02</v>
      </c>
      <c r="Q321" s="11" t="n">
        <v>30.15</v>
      </c>
      <c r="R321" s="11" t="n">
        <f aca="false">SUM(K321:Q321)</f>
        <v>191.09</v>
      </c>
      <c r="S321" s="11" t="n">
        <f aca="false">R321/(1-Resumo!$C$6)</f>
        <v>217.147727272727</v>
      </c>
      <c r="T321" s="11" t="n">
        <f aca="false">S321-J321</f>
        <v>76.2577272727273</v>
      </c>
      <c r="U321" s="12" t="n">
        <f aca="false">IFERROR(S321/J321-1,0)</f>
        <v>0.541257202588738</v>
      </c>
      <c r="V321" s="2" t="str">
        <f aca="false">IF(S321&lt;J321,"SIM","NÃO")</f>
        <v>NÃO</v>
      </c>
      <c r="W321" s="2" t="n">
        <v>7</v>
      </c>
      <c r="X321" s="2" t="s">
        <v>156</v>
      </c>
    </row>
    <row r="322" customFormat="false" ht="15" hidden="false" customHeight="false" outlineLevel="0" collapsed="false">
      <c r="A322" s="2" t="n">
        <v>365581559</v>
      </c>
      <c r="B322" s="29" t="n">
        <v>46228.4722453704</v>
      </c>
      <c r="C322" s="2" t="s">
        <v>153</v>
      </c>
      <c r="D322" s="2" t="s">
        <v>508</v>
      </c>
      <c r="E322" s="2" t="s">
        <v>79</v>
      </c>
      <c r="F322" s="2" t="s">
        <v>107</v>
      </c>
      <c r="G322" s="30" t="n">
        <v>37.2</v>
      </c>
      <c r="H322" s="11" t="n">
        <v>399.99</v>
      </c>
      <c r="I322" s="11" t="s">
        <v>350</v>
      </c>
      <c r="J322" s="11" t="n">
        <v>113.87</v>
      </c>
      <c r="K322" s="11" t="n">
        <v>114.95</v>
      </c>
      <c r="L322" s="11" t="n">
        <v>0.4</v>
      </c>
      <c r="M322" s="11" t="n">
        <v>0.8</v>
      </c>
      <c r="N322" s="11" t="n">
        <v>1</v>
      </c>
      <c r="O322" s="11" t="n">
        <v>4.5</v>
      </c>
      <c r="P322" s="11" t="n">
        <v>2.28</v>
      </c>
      <c r="Q322" s="11" t="n">
        <v>17.1</v>
      </c>
      <c r="R322" s="11" t="n">
        <f aca="false">SUM(K322:Q322)</f>
        <v>141.03</v>
      </c>
      <c r="S322" s="11" t="n">
        <f aca="false">R322/(1-Resumo!$C$6)</f>
        <v>160.261363636364</v>
      </c>
      <c r="T322" s="11" t="n">
        <f aca="false">S322-J322</f>
        <v>46.3913636363636</v>
      </c>
      <c r="U322" s="12" t="n">
        <f aca="false">IFERROR(S322/J322-1,0)</f>
        <v>0.407406372498144</v>
      </c>
      <c r="V322" s="2" t="str">
        <f aca="false">IF(S322&lt;J322,"SIM","NÃO")</f>
        <v>NÃO</v>
      </c>
      <c r="W322" s="2" t="n">
        <v>7</v>
      </c>
      <c r="X322" s="2" t="s">
        <v>156</v>
      </c>
    </row>
    <row r="323" customFormat="false" ht="15" hidden="false" customHeight="false" outlineLevel="0" collapsed="false">
      <c r="A323" s="2" t="n">
        <v>365596763</v>
      </c>
      <c r="B323" s="29" t="n">
        <v>46228.4935763889</v>
      </c>
      <c r="C323" s="2" t="s">
        <v>153</v>
      </c>
      <c r="D323" s="2" t="s">
        <v>509</v>
      </c>
      <c r="E323" s="2" t="s">
        <v>79</v>
      </c>
      <c r="F323" s="2" t="s">
        <v>107</v>
      </c>
      <c r="G323" s="30" t="n">
        <v>40</v>
      </c>
      <c r="H323" s="11" t="n">
        <v>599.99</v>
      </c>
      <c r="I323" s="11" t="s">
        <v>350</v>
      </c>
      <c r="J323" s="11" t="n">
        <v>115.85</v>
      </c>
      <c r="K323" s="11" t="n">
        <v>114.95</v>
      </c>
      <c r="L323" s="11" t="n">
        <v>0.6</v>
      </c>
      <c r="M323" s="11" t="n">
        <v>1.2</v>
      </c>
      <c r="N323" s="11" t="n">
        <v>1</v>
      </c>
      <c r="O323" s="11" t="n">
        <v>4.5</v>
      </c>
      <c r="P323" s="11" t="n">
        <v>2.4</v>
      </c>
      <c r="Q323" s="11" t="n">
        <v>18</v>
      </c>
      <c r="R323" s="11" t="n">
        <f aca="false">SUM(K323:Q323)</f>
        <v>142.65</v>
      </c>
      <c r="S323" s="11" t="n">
        <f aca="false">R323/(1-Resumo!$C$6)</f>
        <v>162.102272727273</v>
      </c>
      <c r="T323" s="11" t="n">
        <f aca="false">S323-J323</f>
        <v>46.2522727272727</v>
      </c>
      <c r="U323" s="12" t="n">
        <f aca="false">IFERROR(S323/J323-1,0)</f>
        <v>0.399242751206497</v>
      </c>
      <c r="V323" s="2" t="str">
        <f aca="false">IF(S323&lt;J323,"SIM","NÃO")</f>
        <v>NÃO</v>
      </c>
      <c r="W323" s="2" t="n">
        <v>7</v>
      </c>
      <c r="X323" s="2" t="s">
        <v>156</v>
      </c>
    </row>
    <row r="324" customFormat="false" ht="15" hidden="false" customHeight="false" outlineLevel="0" collapsed="false">
      <c r="A324" s="2" t="n">
        <v>365646208</v>
      </c>
      <c r="B324" s="29" t="n">
        <v>46228.5679166667</v>
      </c>
      <c r="C324" s="2" t="s">
        <v>178</v>
      </c>
      <c r="D324" s="2" t="s">
        <v>510</v>
      </c>
      <c r="E324" s="2" t="s">
        <v>79</v>
      </c>
      <c r="F324" s="2" t="s">
        <v>107</v>
      </c>
      <c r="G324" s="30" t="n">
        <v>37.2</v>
      </c>
      <c r="H324" s="11" t="n">
        <v>390.99</v>
      </c>
      <c r="I324" s="11" t="s">
        <v>350</v>
      </c>
      <c r="J324" s="11" t="n">
        <v>113.83</v>
      </c>
      <c r="K324" s="11" t="n">
        <v>114.95</v>
      </c>
      <c r="L324" s="11" t="n">
        <v>0.391</v>
      </c>
      <c r="M324" s="11" t="n">
        <v>0.782</v>
      </c>
      <c r="N324" s="11" t="n">
        <v>1</v>
      </c>
      <c r="O324" s="11" t="n">
        <v>4.5</v>
      </c>
      <c r="P324" s="11" t="n">
        <v>2.28</v>
      </c>
      <c r="Q324" s="11" t="n">
        <v>17.1</v>
      </c>
      <c r="R324" s="11" t="n">
        <f aca="false">SUM(K324:Q324)</f>
        <v>141.003</v>
      </c>
      <c r="S324" s="11" t="n">
        <f aca="false">R324/(1-Resumo!$C$6)</f>
        <v>160.230681818182</v>
      </c>
      <c r="T324" s="11" t="n">
        <f aca="false">S324-J324</f>
        <v>46.4006818181818</v>
      </c>
      <c r="U324" s="12" t="n">
        <f aca="false">IFERROR(S324/J324-1,0)</f>
        <v>0.407631396101044</v>
      </c>
      <c r="V324" s="2" t="str">
        <f aca="false">IF(S324&lt;J324,"SIM","NÃO")</f>
        <v>NÃO</v>
      </c>
      <c r="W324" s="2" t="n">
        <v>7</v>
      </c>
      <c r="X324" s="2" t="s">
        <v>156</v>
      </c>
    </row>
    <row r="325" customFormat="false" ht="15" hidden="false" customHeight="false" outlineLevel="0" collapsed="false">
      <c r="A325" s="2" t="n">
        <v>365671494</v>
      </c>
      <c r="B325" s="29" t="n">
        <v>46228.5844791667</v>
      </c>
      <c r="C325" s="2" t="s">
        <v>198</v>
      </c>
      <c r="D325" s="2" t="s">
        <v>511</v>
      </c>
      <c r="E325" s="2" t="s">
        <v>260</v>
      </c>
      <c r="F325" s="2" t="s">
        <v>107</v>
      </c>
      <c r="G325" s="30" t="n">
        <v>40</v>
      </c>
      <c r="H325" s="11" t="n">
        <v>599.99</v>
      </c>
      <c r="I325" s="11" t="s">
        <v>350</v>
      </c>
      <c r="J325" s="11" t="n">
        <v>125.1</v>
      </c>
      <c r="K325" s="11" t="n">
        <v>125.63</v>
      </c>
      <c r="L325" s="11" t="n">
        <v>0.6</v>
      </c>
      <c r="M325" s="11" t="n">
        <v>1.2</v>
      </c>
      <c r="N325" s="11" t="n">
        <v>1</v>
      </c>
      <c r="O325" s="11" t="n">
        <v>4.5</v>
      </c>
      <c r="P325" s="11" t="n">
        <v>2.4</v>
      </c>
      <c r="Q325" s="11" t="n">
        <v>18</v>
      </c>
      <c r="R325" s="11" t="n">
        <f aca="false">SUM(K325:Q325)</f>
        <v>153.33</v>
      </c>
      <c r="S325" s="11" t="n">
        <f aca="false">R325/(1-Resumo!$C$6)</f>
        <v>174.238636363636</v>
      </c>
      <c r="T325" s="11" t="n">
        <f aca="false">S325-J325</f>
        <v>49.1386363636364</v>
      </c>
      <c r="U325" s="12" t="n">
        <f aca="false">IFERROR(S325/J325-1,0)</f>
        <v>0.392794855025071</v>
      </c>
      <c r="V325" s="2" t="str">
        <f aca="false">IF(S325&lt;J325,"SIM","NÃO")</f>
        <v>NÃO</v>
      </c>
      <c r="W325" s="2" t="n">
        <v>10</v>
      </c>
      <c r="X325" s="2" t="s">
        <v>161</v>
      </c>
    </row>
    <row r="326" customFormat="false" ht="15" hidden="false" customHeight="false" outlineLevel="0" collapsed="false">
      <c r="A326" s="2" t="n">
        <v>365718767</v>
      </c>
      <c r="B326" s="29" t="n">
        <v>46228.6526967593</v>
      </c>
      <c r="C326" s="2" t="s">
        <v>153</v>
      </c>
      <c r="D326" s="2" t="s">
        <v>512</v>
      </c>
      <c r="E326" s="2" t="s">
        <v>91</v>
      </c>
      <c r="F326" s="2" t="s">
        <v>108</v>
      </c>
      <c r="G326" s="30" t="n">
        <v>45.3</v>
      </c>
      <c r="H326" s="11" t="n">
        <v>699.99</v>
      </c>
      <c r="I326" s="11" t="s">
        <v>350</v>
      </c>
      <c r="J326" s="11" t="n">
        <v>131.75</v>
      </c>
      <c r="K326" s="11" t="n">
        <v>129.29</v>
      </c>
      <c r="L326" s="11" t="n">
        <v>0.7</v>
      </c>
      <c r="M326" s="11" t="n">
        <v>1.4</v>
      </c>
      <c r="N326" s="11" t="n">
        <v>1</v>
      </c>
      <c r="O326" s="11" t="n">
        <v>4.5</v>
      </c>
      <c r="P326" s="11" t="n">
        <v>2.76</v>
      </c>
      <c r="Q326" s="11" t="n">
        <v>20.7</v>
      </c>
      <c r="R326" s="11" t="n">
        <f aca="false">SUM(K326:Q326)</f>
        <v>160.35</v>
      </c>
      <c r="S326" s="11" t="n">
        <f aca="false">R326/(1-Resumo!$C$6)</f>
        <v>182.215909090909</v>
      </c>
      <c r="T326" s="11" t="n">
        <f aca="false">S326-J326</f>
        <v>50.4659090909091</v>
      </c>
      <c r="U326" s="12" t="n">
        <f aca="false">IFERROR(S326/J326-1,0)</f>
        <v>0.383042953251682</v>
      </c>
      <c r="V326" s="2" t="str">
        <f aca="false">IF(S326&lt;J326,"SIM","NÃO")</f>
        <v>NÃO</v>
      </c>
      <c r="W326" s="2" t="n">
        <v>10</v>
      </c>
      <c r="X326" s="2" t="s">
        <v>156</v>
      </c>
    </row>
    <row r="327" customFormat="false" ht="15" hidden="false" customHeight="false" outlineLevel="0" collapsed="false">
      <c r="A327" s="2" t="n">
        <v>365723921</v>
      </c>
      <c r="B327" s="29" t="n">
        <v>46228.6613888889</v>
      </c>
      <c r="C327" s="2" t="s">
        <v>158</v>
      </c>
      <c r="D327" s="2" t="s">
        <v>490</v>
      </c>
      <c r="E327" s="2" t="s">
        <v>83</v>
      </c>
      <c r="F327" s="2" t="s">
        <v>110</v>
      </c>
      <c r="G327" s="30" t="n">
        <v>64.5</v>
      </c>
      <c r="H327" s="11" t="n">
        <v>959.99</v>
      </c>
      <c r="I327" s="11" t="s">
        <v>350</v>
      </c>
      <c r="J327" s="11" t="n">
        <v>156.92</v>
      </c>
      <c r="K327" s="11" t="n">
        <v>171.54</v>
      </c>
      <c r="L327" s="11" t="n">
        <v>0.96</v>
      </c>
      <c r="M327" s="11" t="n">
        <v>1.92</v>
      </c>
      <c r="N327" s="11" t="n">
        <v>1</v>
      </c>
      <c r="O327" s="11" t="n">
        <v>4.5</v>
      </c>
      <c r="P327" s="11" t="n">
        <v>3.9</v>
      </c>
      <c r="Q327" s="11" t="n">
        <v>29.25</v>
      </c>
      <c r="R327" s="11" t="n">
        <f aca="false">SUM(K327:Q327)</f>
        <v>213.07</v>
      </c>
      <c r="S327" s="11" t="n">
        <f aca="false">R327/(1-Resumo!$C$6)</f>
        <v>242.125</v>
      </c>
      <c r="T327" s="11" t="n">
        <f aca="false">S327-J327</f>
        <v>85.205</v>
      </c>
      <c r="U327" s="12" t="n">
        <f aca="false">IFERROR(S327/J327-1,0)</f>
        <v>0.542983685954627</v>
      </c>
      <c r="V327" s="2" t="str">
        <f aca="false">IF(S327&lt;J327,"SIM","NÃO")</f>
        <v>NÃO</v>
      </c>
      <c r="W327" s="2" t="n">
        <v>11</v>
      </c>
      <c r="X327" s="2" t="s">
        <v>156</v>
      </c>
    </row>
    <row r="328" customFormat="false" ht="15" hidden="false" customHeight="false" outlineLevel="0" collapsed="false">
      <c r="A328" s="2" t="n">
        <v>365832106</v>
      </c>
      <c r="B328" s="29" t="n">
        <v>46228.8231481482</v>
      </c>
      <c r="C328" s="2" t="s">
        <v>194</v>
      </c>
      <c r="D328" s="2" t="s">
        <v>513</v>
      </c>
      <c r="E328" s="2" t="s">
        <v>78</v>
      </c>
      <c r="F328" s="2" t="s">
        <v>105</v>
      </c>
      <c r="G328" s="30" t="n">
        <v>9.95</v>
      </c>
      <c r="H328" s="11" t="n">
        <v>219.99</v>
      </c>
      <c r="I328" s="11" t="s">
        <v>350</v>
      </c>
      <c r="J328" s="11" t="n">
        <v>60.73</v>
      </c>
      <c r="K328" s="11" t="n">
        <v>46.98</v>
      </c>
      <c r="L328" s="11" t="n">
        <v>0.22</v>
      </c>
      <c r="M328" s="11" t="n">
        <v>0.44</v>
      </c>
      <c r="N328" s="11" t="n">
        <v>1</v>
      </c>
      <c r="O328" s="11" t="n">
        <v>4.5</v>
      </c>
      <c r="P328" s="11" t="n">
        <v>0.6</v>
      </c>
      <c r="Q328" s="11" t="n">
        <v>4.5</v>
      </c>
      <c r="R328" s="11" t="n">
        <f aca="false">SUM(K328:Q328)</f>
        <v>58.24</v>
      </c>
      <c r="S328" s="11" t="n">
        <f aca="false">R328/(1-Resumo!$C$6)</f>
        <v>66.1818181818182</v>
      </c>
      <c r="T328" s="11" t="n">
        <f aca="false">S328-J328</f>
        <v>5.45181818181818</v>
      </c>
      <c r="U328" s="12" t="n">
        <f aca="false">IFERROR(S328/J328-1,0)</f>
        <v>0.089771417451312</v>
      </c>
      <c r="V328" s="2" t="str">
        <f aca="false">IF(S328&lt;J328,"SIM","NÃO")</f>
        <v>NÃO</v>
      </c>
      <c r="W328" s="2" t="n">
        <v>5</v>
      </c>
      <c r="X328" s="2" t="s">
        <v>156</v>
      </c>
    </row>
    <row r="329" customFormat="false" ht="15" hidden="false" customHeight="false" outlineLevel="0" collapsed="false">
      <c r="A329" s="2" t="n">
        <v>365842106</v>
      </c>
      <c r="B329" s="29" t="n">
        <v>46228.833287037</v>
      </c>
      <c r="C329" s="2" t="s">
        <v>153</v>
      </c>
      <c r="D329" s="2" t="s">
        <v>514</v>
      </c>
      <c r="E329" s="2" t="s">
        <v>80</v>
      </c>
      <c r="F329" s="2" t="s">
        <v>109</v>
      </c>
      <c r="G329" s="30" t="n">
        <v>53.5</v>
      </c>
      <c r="H329" s="11" t="n">
        <v>629.99</v>
      </c>
      <c r="I329" s="11" t="s">
        <v>155</v>
      </c>
      <c r="J329" s="11" t="n">
        <v>128.31</v>
      </c>
      <c r="K329" s="11" t="n">
        <v>112.3</v>
      </c>
      <c r="L329" s="11" t="n">
        <v>0.63</v>
      </c>
      <c r="M329" s="11" t="n">
        <v>1.26</v>
      </c>
      <c r="N329" s="11" t="n">
        <v>1</v>
      </c>
      <c r="O329" s="11" t="n">
        <v>4.5</v>
      </c>
      <c r="P329" s="11" t="n">
        <v>3.24</v>
      </c>
      <c r="Q329" s="11" t="n">
        <v>24.3</v>
      </c>
      <c r="R329" s="11" t="n">
        <f aca="false">SUM(K329:Q329)</f>
        <v>147.23</v>
      </c>
      <c r="S329" s="11" t="n">
        <f aca="false">R329/(1-Resumo!$C$6)</f>
        <v>167.306818181818</v>
      </c>
      <c r="T329" s="11" t="n">
        <f aca="false">S329-J329</f>
        <v>38.9968181818182</v>
      </c>
      <c r="U329" s="12" t="n">
        <f aca="false">IFERROR(S329/J329-1,0)</f>
        <v>0.303926569884017</v>
      </c>
      <c r="V329" s="2" t="str">
        <f aca="false">IF(S329&lt;J329,"SIM","NÃO")</f>
        <v>NÃO</v>
      </c>
      <c r="W329" s="2" t="n">
        <v>5</v>
      </c>
      <c r="X329" s="2" t="s">
        <v>156</v>
      </c>
    </row>
    <row r="330" customFormat="false" ht="15" hidden="false" customHeight="false" outlineLevel="0" collapsed="false">
      <c r="A330" s="2" t="n">
        <v>365938523</v>
      </c>
      <c r="B330" s="29" t="n">
        <v>46228.9591319444</v>
      </c>
      <c r="C330" s="2" t="s">
        <v>153</v>
      </c>
      <c r="D330" s="2" t="s">
        <v>515</v>
      </c>
      <c r="E330" s="2" t="s">
        <v>79</v>
      </c>
      <c r="F330" s="2" t="s">
        <v>106</v>
      </c>
      <c r="G330" s="30" t="n">
        <v>31</v>
      </c>
      <c r="H330" s="11" t="n">
        <v>329.99</v>
      </c>
      <c r="I330" s="11" t="s">
        <v>350</v>
      </c>
      <c r="J330" s="11" t="n">
        <v>100.83</v>
      </c>
      <c r="K330" s="11" t="n">
        <v>100.58</v>
      </c>
      <c r="L330" s="11" t="n">
        <v>0.33</v>
      </c>
      <c r="M330" s="11" t="n">
        <v>0.66</v>
      </c>
      <c r="N330" s="11" t="n">
        <v>1</v>
      </c>
      <c r="O330" s="11" t="n">
        <v>4.5</v>
      </c>
      <c r="P330" s="11" t="n">
        <v>1.86</v>
      </c>
      <c r="Q330" s="11" t="n">
        <v>13.95</v>
      </c>
      <c r="R330" s="11" t="n">
        <f aca="false">SUM(K330:Q330)</f>
        <v>122.88</v>
      </c>
      <c r="S330" s="11" t="n">
        <f aca="false">R330/(1-Resumo!$C$6)</f>
        <v>139.636363636364</v>
      </c>
      <c r="T330" s="11" t="n">
        <f aca="false">S330-J330</f>
        <v>38.8063636363636</v>
      </c>
      <c r="U330" s="12" t="n">
        <f aca="false">IFERROR(S330/J330-1,0)</f>
        <v>0.384869221822509</v>
      </c>
      <c r="V330" s="2" t="str">
        <f aca="false">IF(S330&lt;J330,"SIM","NÃO")</f>
        <v>NÃO</v>
      </c>
      <c r="W330" s="2" t="n">
        <v>7</v>
      </c>
      <c r="X330" s="2" t="s">
        <v>156</v>
      </c>
    </row>
    <row r="331" customFormat="false" ht="15" hidden="false" customHeight="false" outlineLevel="0" collapsed="false">
      <c r="A331" s="2" t="n">
        <v>366222669</v>
      </c>
      <c r="B331" s="29" t="n">
        <v>46229.3956944444</v>
      </c>
      <c r="C331" s="2" t="s">
        <v>153</v>
      </c>
      <c r="D331" s="2" t="s">
        <v>516</v>
      </c>
      <c r="E331" s="2" t="s">
        <v>79</v>
      </c>
      <c r="F331" s="2" t="s">
        <v>106</v>
      </c>
      <c r="G331" s="30" t="n">
        <v>31</v>
      </c>
      <c r="H331" s="11" t="n">
        <v>329.99</v>
      </c>
      <c r="I331" s="11" t="s">
        <v>350</v>
      </c>
      <c r="J331" s="11" t="n">
        <v>100.83</v>
      </c>
      <c r="K331" s="11" t="n">
        <v>100.58</v>
      </c>
      <c r="L331" s="11" t="n">
        <v>0.33</v>
      </c>
      <c r="M331" s="11" t="n">
        <v>0.66</v>
      </c>
      <c r="N331" s="11" t="n">
        <v>1</v>
      </c>
      <c r="O331" s="11" t="n">
        <v>4.5</v>
      </c>
      <c r="P331" s="11" t="n">
        <v>1.86</v>
      </c>
      <c r="Q331" s="11" t="n">
        <v>13.95</v>
      </c>
      <c r="R331" s="11" t="n">
        <f aca="false">SUM(K331:Q331)</f>
        <v>122.88</v>
      </c>
      <c r="S331" s="11" t="n">
        <f aca="false">R331/(1-Resumo!$C$6)</f>
        <v>139.636363636364</v>
      </c>
      <c r="T331" s="11" t="n">
        <f aca="false">S331-J331</f>
        <v>38.8063636363636</v>
      </c>
      <c r="U331" s="12" t="n">
        <f aca="false">IFERROR(S331/J331-1,0)</f>
        <v>0.384869221822509</v>
      </c>
      <c r="V331" s="2" t="str">
        <f aca="false">IF(S331&lt;J331,"SIM","NÃO")</f>
        <v>NÃO</v>
      </c>
      <c r="W331" s="2" t="n">
        <v>7</v>
      </c>
      <c r="X331" s="2" t="s">
        <v>156</v>
      </c>
    </row>
    <row r="332" customFormat="false" ht="15" hidden="false" customHeight="false" outlineLevel="0" collapsed="false">
      <c r="A332" s="2" t="n">
        <v>366247225</v>
      </c>
      <c r="B332" s="29" t="n">
        <v>46229.4313773148</v>
      </c>
      <c r="C332" s="2" t="s">
        <v>153</v>
      </c>
      <c r="D332" s="2" t="s">
        <v>517</v>
      </c>
      <c r="E332" s="2" t="s">
        <v>78</v>
      </c>
      <c r="F332" s="2" t="s">
        <v>109</v>
      </c>
      <c r="G332" s="30" t="n">
        <v>52.3</v>
      </c>
      <c r="H332" s="11" t="n">
        <v>699.99</v>
      </c>
      <c r="I332" s="11" t="s">
        <v>350</v>
      </c>
      <c r="J332" s="11" t="n">
        <v>113.63</v>
      </c>
      <c r="K332" s="11" t="n">
        <v>112.3</v>
      </c>
      <c r="L332" s="11" t="n">
        <v>0.7</v>
      </c>
      <c r="M332" s="11" t="n">
        <v>1.4</v>
      </c>
      <c r="N332" s="11" t="n">
        <v>1</v>
      </c>
      <c r="O332" s="11" t="n">
        <v>4.5</v>
      </c>
      <c r="P332" s="11" t="n">
        <v>3.18</v>
      </c>
      <c r="Q332" s="11" t="n">
        <v>23.85</v>
      </c>
      <c r="R332" s="11" t="n">
        <f aca="false">SUM(K332:Q332)</f>
        <v>146.93</v>
      </c>
      <c r="S332" s="11" t="n">
        <f aca="false">R332/(1-Resumo!$C$6)</f>
        <v>166.965909090909</v>
      </c>
      <c r="T332" s="11" t="n">
        <f aca="false">S332-J332</f>
        <v>53.3359090909091</v>
      </c>
      <c r="U332" s="12" t="n">
        <f aca="false">IFERROR(S332/J332-1,0)</f>
        <v>0.469382285407983</v>
      </c>
      <c r="V332" s="2" t="str">
        <f aca="false">IF(S332&lt;J332,"SIM","NÃO")</f>
        <v>NÃO</v>
      </c>
      <c r="W332" s="2" t="n">
        <v>5</v>
      </c>
      <c r="X332" s="2" t="s">
        <v>156</v>
      </c>
    </row>
    <row r="333" customFormat="false" ht="15" hidden="false" customHeight="false" outlineLevel="0" collapsed="false">
      <c r="A333" s="2" t="n">
        <v>366326248</v>
      </c>
      <c r="B333" s="29" t="n">
        <v>46229.5356365741</v>
      </c>
      <c r="C333" s="2" t="s">
        <v>191</v>
      </c>
      <c r="D333" s="2" t="s">
        <v>518</v>
      </c>
      <c r="E333" s="2" t="s">
        <v>78</v>
      </c>
      <c r="F333" s="2" t="s">
        <v>105</v>
      </c>
      <c r="G333" s="30" t="n">
        <v>14.85</v>
      </c>
      <c r="H333" s="11" t="n">
        <v>191.99</v>
      </c>
      <c r="I333" s="11" t="s">
        <v>155</v>
      </c>
      <c r="J333" s="11" t="n">
        <v>64.13</v>
      </c>
      <c r="K333" s="11" t="n">
        <v>46.98</v>
      </c>
      <c r="L333" s="11" t="n">
        <v>0.192</v>
      </c>
      <c r="M333" s="11" t="n">
        <v>0.384</v>
      </c>
      <c r="N333" s="11" t="n">
        <v>1</v>
      </c>
      <c r="O333" s="11" t="n">
        <v>4.5</v>
      </c>
      <c r="P333" s="11" t="n">
        <v>0.9</v>
      </c>
      <c r="Q333" s="11" t="n">
        <v>6.75</v>
      </c>
      <c r="R333" s="11" t="n">
        <f aca="false">SUM(K333:Q333)</f>
        <v>60.706</v>
      </c>
      <c r="S333" s="11" t="n">
        <f aca="false">R333/(1-Resumo!$C$6)</f>
        <v>68.9840909090909</v>
      </c>
      <c r="T333" s="11" t="n">
        <f aca="false">S333-J333</f>
        <v>4.85409090909091</v>
      </c>
      <c r="U333" s="12" t="n">
        <f aca="false">IFERROR(S333/J333-1,0)</f>
        <v>0.075691422253094</v>
      </c>
      <c r="V333" s="2" t="str">
        <f aca="false">IF(S333&lt;J333,"SIM","NÃO")</f>
        <v>NÃO</v>
      </c>
      <c r="W333" s="2" t="n">
        <v>5</v>
      </c>
      <c r="X333" s="2" t="s">
        <v>156</v>
      </c>
    </row>
    <row r="334" customFormat="false" ht="15" hidden="false" customHeight="false" outlineLevel="0" collapsed="false">
      <c r="A334" s="2" t="n">
        <v>366385941</v>
      </c>
      <c r="B334" s="29" t="n">
        <v>46229.5977546296</v>
      </c>
      <c r="C334" s="2" t="s">
        <v>153</v>
      </c>
      <c r="D334" s="2" t="s">
        <v>519</v>
      </c>
      <c r="E334" s="2" t="s">
        <v>92</v>
      </c>
      <c r="F334" s="2" t="s">
        <v>106</v>
      </c>
      <c r="G334" s="30" t="n">
        <v>31.5</v>
      </c>
      <c r="H334" s="11" t="n">
        <v>429.99</v>
      </c>
      <c r="I334" s="11" t="s">
        <v>350</v>
      </c>
      <c r="J334" s="11" t="n">
        <v>109.58</v>
      </c>
      <c r="K334" s="11" t="n">
        <v>114.95</v>
      </c>
      <c r="L334" s="11" t="n">
        <v>0.43</v>
      </c>
      <c r="M334" s="11" t="n">
        <v>0.86</v>
      </c>
      <c r="N334" s="11" t="n">
        <v>1</v>
      </c>
      <c r="O334" s="11" t="n">
        <v>4.5</v>
      </c>
      <c r="P334" s="11" t="n">
        <v>1.92</v>
      </c>
      <c r="Q334" s="11" t="n">
        <v>14.4</v>
      </c>
      <c r="R334" s="11" t="n">
        <f aca="false">SUM(K334:Q334)</f>
        <v>138.06</v>
      </c>
      <c r="S334" s="11" t="n">
        <f aca="false">R334/(1-Resumo!$C$6)</f>
        <v>156.886363636364</v>
      </c>
      <c r="T334" s="11" t="n">
        <f aca="false">S334-J334</f>
        <v>47.3063636363636</v>
      </c>
      <c r="U334" s="12" t="n">
        <f aca="false">IFERROR(S334/J334-1,0)</f>
        <v>0.431706183941993</v>
      </c>
      <c r="V334" s="2" t="str">
        <f aca="false">IF(S334&lt;J334,"SIM","NÃO")</f>
        <v>NÃO</v>
      </c>
      <c r="W334" s="2" t="n">
        <v>10</v>
      </c>
      <c r="X334" s="2" t="s">
        <v>156</v>
      </c>
    </row>
    <row r="335" customFormat="false" ht="15" hidden="false" customHeight="false" outlineLevel="0" collapsed="false">
      <c r="A335" s="2" t="n">
        <v>366416956</v>
      </c>
      <c r="B335" s="29" t="n">
        <v>46229.6320023148</v>
      </c>
      <c r="C335" s="2" t="s">
        <v>158</v>
      </c>
      <c r="D335" s="2" t="s">
        <v>520</v>
      </c>
      <c r="E335" s="2" t="s">
        <v>97</v>
      </c>
      <c r="F335" s="2" t="s">
        <v>109</v>
      </c>
      <c r="G335" s="30" t="n">
        <v>56.7</v>
      </c>
      <c r="H335" s="11" t="n">
        <v>688.47</v>
      </c>
      <c r="I335" s="11" t="s">
        <v>350</v>
      </c>
      <c r="J335" s="11" t="n">
        <v>144.01</v>
      </c>
      <c r="K335" s="11" t="n">
        <v>142.32</v>
      </c>
      <c r="L335" s="11" t="n">
        <v>0.6885</v>
      </c>
      <c r="M335" s="11" t="n">
        <v>1.3769</v>
      </c>
      <c r="N335" s="11" t="n">
        <v>1</v>
      </c>
      <c r="O335" s="11" t="n">
        <v>4.5</v>
      </c>
      <c r="P335" s="11" t="n">
        <v>3.42</v>
      </c>
      <c r="Q335" s="11" t="n">
        <v>25.65</v>
      </c>
      <c r="R335" s="11" t="n">
        <f aca="false">SUM(K335:Q335)</f>
        <v>178.9554</v>
      </c>
      <c r="S335" s="11" t="n">
        <f aca="false">R335/(1-Resumo!$C$6)</f>
        <v>203.358409090909</v>
      </c>
      <c r="T335" s="11" t="n">
        <f aca="false">S335-J335</f>
        <v>59.3484090909091</v>
      </c>
      <c r="U335" s="12" t="n">
        <f aca="false">IFERROR(S335/J335-1,0)</f>
        <v>0.41211311083195</v>
      </c>
      <c r="V335" s="2" t="str">
        <f aca="false">IF(S335&lt;J335,"SIM","NÃO")</f>
        <v>NÃO</v>
      </c>
      <c r="W335" s="2" t="n">
        <v>10</v>
      </c>
      <c r="X335" s="2" t="s">
        <v>156</v>
      </c>
    </row>
    <row r="336" customFormat="false" ht="15" hidden="false" customHeight="false" outlineLevel="0" collapsed="false">
      <c r="A336" s="2" t="n">
        <v>366449453</v>
      </c>
      <c r="B336" s="29" t="n">
        <v>46229.6685416667</v>
      </c>
      <c r="C336" s="2" t="s">
        <v>191</v>
      </c>
      <c r="D336" s="2" t="s">
        <v>521</v>
      </c>
      <c r="E336" s="2" t="s">
        <v>78</v>
      </c>
      <c r="F336" s="2" t="s">
        <v>108</v>
      </c>
      <c r="G336" s="30" t="n">
        <v>48.3</v>
      </c>
      <c r="H336" s="11" t="n">
        <v>391.99</v>
      </c>
      <c r="I336" s="11" t="s">
        <v>155</v>
      </c>
      <c r="J336" s="11" t="n">
        <v>102.45</v>
      </c>
      <c r="K336" s="11" t="n">
        <v>93.97</v>
      </c>
      <c r="L336" s="11" t="n">
        <v>0.392</v>
      </c>
      <c r="M336" s="11" t="n">
        <v>0.784</v>
      </c>
      <c r="N336" s="11" t="n">
        <v>1</v>
      </c>
      <c r="O336" s="11" t="n">
        <v>4.5</v>
      </c>
      <c r="P336" s="11" t="n">
        <v>2.94</v>
      </c>
      <c r="Q336" s="11" t="n">
        <v>22.05</v>
      </c>
      <c r="R336" s="11" t="n">
        <f aca="false">SUM(K336:Q336)</f>
        <v>125.636</v>
      </c>
      <c r="S336" s="11" t="n">
        <f aca="false">R336/(1-Resumo!$C$6)</f>
        <v>142.768181818182</v>
      </c>
      <c r="T336" s="11" t="n">
        <f aca="false">S336-J336</f>
        <v>40.3181818181818</v>
      </c>
      <c r="U336" s="12" t="n">
        <f aca="false">IFERROR(S336/J336-1,0)</f>
        <v>0.393540086073029</v>
      </c>
      <c r="V336" s="2" t="str">
        <f aca="false">IF(S336&lt;J336,"SIM","NÃO")</f>
        <v>NÃO</v>
      </c>
      <c r="W336" s="2" t="n">
        <v>5</v>
      </c>
      <c r="X336" s="2" t="s">
        <v>156</v>
      </c>
    </row>
    <row r="337" customFormat="false" ht="15" hidden="false" customHeight="false" outlineLevel="0" collapsed="false">
      <c r="A337" s="2" t="n">
        <v>366477196</v>
      </c>
      <c r="B337" s="29" t="n">
        <v>46229.6940162037</v>
      </c>
      <c r="C337" s="2" t="s">
        <v>158</v>
      </c>
      <c r="D337" s="2" t="s">
        <v>522</v>
      </c>
      <c r="E337" s="2" t="s">
        <v>90</v>
      </c>
      <c r="F337" s="2" t="s">
        <v>114</v>
      </c>
      <c r="G337" s="30" t="n">
        <v>125.8</v>
      </c>
      <c r="H337" s="11" t="n">
        <v>1869.99</v>
      </c>
      <c r="I337" s="11" t="s">
        <v>350</v>
      </c>
      <c r="J337" s="11" t="n">
        <v>255.06</v>
      </c>
      <c r="K337" s="11" t="n">
        <v>249.03</v>
      </c>
      <c r="L337" s="11" t="n">
        <v>1.87</v>
      </c>
      <c r="M337" s="11" t="n">
        <v>3.74</v>
      </c>
      <c r="N337" s="11" t="n">
        <v>1</v>
      </c>
      <c r="O337" s="11" t="n">
        <v>9</v>
      </c>
      <c r="P337" s="11" t="n">
        <v>7.56</v>
      </c>
      <c r="Q337" s="11" t="n">
        <v>56.7</v>
      </c>
      <c r="R337" s="11" t="n">
        <f aca="false">SUM(K337:Q337)</f>
        <v>328.9</v>
      </c>
      <c r="S337" s="11" t="n">
        <f aca="false">R337/(1-Resumo!$C$6)</f>
        <v>373.75</v>
      </c>
      <c r="T337" s="11" t="n">
        <f aca="false">S337-J337</f>
        <v>118.69</v>
      </c>
      <c r="U337" s="12" t="n">
        <f aca="false">IFERROR(S337/J337-1,0)</f>
        <v>0.465341488277268</v>
      </c>
      <c r="V337" s="2" t="str">
        <f aca="false">IF(S337&lt;J337,"SIM","NÃO")</f>
        <v>NÃO</v>
      </c>
      <c r="W337" s="2" t="n">
        <v>7</v>
      </c>
      <c r="X337" s="2" t="s">
        <v>156</v>
      </c>
    </row>
    <row r="338" customFormat="false" ht="15" hidden="false" customHeight="false" outlineLevel="0" collapsed="false">
      <c r="A338" s="2" t="n">
        <v>366487630</v>
      </c>
      <c r="B338" s="29" t="n">
        <v>46229.704837963</v>
      </c>
      <c r="C338" s="2" t="s">
        <v>153</v>
      </c>
      <c r="D338" s="2" t="s">
        <v>523</v>
      </c>
      <c r="E338" s="2" t="s">
        <v>78</v>
      </c>
      <c r="F338" s="2" t="s">
        <v>109</v>
      </c>
      <c r="G338" s="30" t="n">
        <v>52.3</v>
      </c>
      <c r="H338" s="11" t="n">
        <v>699.99</v>
      </c>
      <c r="I338" s="11" t="s">
        <v>350</v>
      </c>
      <c r="J338" s="11" t="n">
        <v>113.63</v>
      </c>
      <c r="K338" s="11" t="n">
        <v>112.3</v>
      </c>
      <c r="L338" s="11" t="n">
        <v>0.7</v>
      </c>
      <c r="M338" s="11" t="n">
        <v>1.4</v>
      </c>
      <c r="N338" s="11" t="n">
        <v>1</v>
      </c>
      <c r="O338" s="11" t="n">
        <v>4.5</v>
      </c>
      <c r="P338" s="11" t="n">
        <v>3.18</v>
      </c>
      <c r="Q338" s="11" t="n">
        <v>23.85</v>
      </c>
      <c r="R338" s="11" t="n">
        <f aca="false">SUM(K338:Q338)</f>
        <v>146.93</v>
      </c>
      <c r="S338" s="11" t="n">
        <f aca="false">R338/(1-Resumo!$C$6)</f>
        <v>166.965909090909</v>
      </c>
      <c r="T338" s="11" t="n">
        <f aca="false">S338-J338</f>
        <v>53.3359090909091</v>
      </c>
      <c r="U338" s="12" t="n">
        <f aca="false">IFERROR(S338/J338-1,0)</f>
        <v>0.469382285407983</v>
      </c>
      <c r="V338" s="2" t="str">
        <f aca="false">IF(S338&lt;J338,"SIM","NÃO")</f>
        <v>NÃO</v>
      </c>
      <c r="W338" s="2" t="n">
        <v>5</v>
      </c>
      <c r="X338" s="2" t="s">
        <v>156</v>
      </c>
    </row>
    <row r="339" customFormat="false" ht="15" hidden="false" customHeight="false" outlineLevel="0" collapsed="false">
      <c r="A339" s="2" t="n">
        <v>366531052</v>
      </c>
      <c r="B339" s="29" t="n">
        <v>46229.7728472222</v>
      </c>
      <c r="C339" s="2" t="s">
        <v>153</v>
      </c>
      <c r="D339" s="2" t="s">
        <v>524</v>
      </c>
      <c r="E339" s="2" t="s">
        <v>525</v>
      </c>
      <c r="F339" s="2" t="s">
        <v>108</v>
      </c>
      <c r="G339" s="30" t="n">
        <v>48.3</v>
      </c>
      <c r="H339" s="11" t="n">
        <v>459.99</v>
      </c>
      <c r="I339" s="11" t="s">
        <v>350</v>
      </c>
      <c r="J339" s="11" t="n">
        <v>132.15</v>
      </c>
      <c r="K339" s="11" t="n">
        <v>152.54</v>
      </c>
      <c r="L339" s="11" t="n">
        <v>0.46</v>
      </c>
      <c r="M339" s="11" t="n">
        <v>0.92</v>
      </c>
      <c r="N339" s="11" t="n">
        <v>1</v>
      </c>
      <c r="O339" s="11" t="n">
        <v>4.5</v>
      </c>
      <c r="P339" s="11" t="n">
        <v>2.94</v>
      </c>
      <c r="Q339" s="11" t="n">
        <v>22.05</v>
      </c>
      <c r="R339" s="11" t="n">
        <f aca="false">SUM(K339:Q339)</f>
        <v>184.41</v>
      </c>
      <c r="S339" s="11" t="n">
        <f aca="false">R339/(1-Resumo!$C$6)</f>
        <v>209.556818181818</v>
      </c>
      <c r="T339" s="11" t="n">
        <f aca="false">S339-J339</f>
        <v>77.4068181818182</v>
      </c>
      <c r="U339" s="12" t="n">
        <f aca="false">IFERROR(S339/J339-1,0)</f>
        <v>0.585749664637292</v>
      </c>
      <c r="V339" s="2" t="str">
        <f aca="false">IF(S339&lt;J339,"SIM","NÃO")</f>
        <v>NÃO</v>
      </c>
      <c r="W339" s="2" t="n">
        <v>11</v>
      </c>
      <c r="X339" s="2" t="s">
        <v>161</v>
      </c>
    </row>
    <row r="340" customFormat="false" ht="15" hidden="false" customHeight="false" outlineLevel="0" collapsed="false">
      <c r="A340" s="2" t="n">
        <v>366546559</v>
      </c>
      <c r="B340" s="29" t="n">
        <v>46229.7944097222</v>
      </c>
      <c r="C340" s="2" t="s">
        <v>153</v>
      </c>
      <c r="D340" s="2" t="s">
        <v>237</v>
      </c>
      <c r="E340" s="2" t="s">
        <v>82</v>
      </c>
      <c r="F340" s="2" t="s">
        <v>109</v>
      </c>
      <c r="G340" s="30" t="n">
        <v>52.3</v>
      </c>
      <c r="H340" s="11" t="n">
        <v>685.84</v>
      </c>
      <c r="I340" s="11" t="s">
        <v>350</v>
      </c>
      <c r="J340" s="11" t="n">
        <v>127.62</v>
      </c>
      <c r="K340" s="11" t="n">
        <v>128.14</v>
      </c>
      <c r="L340" s="11" t="n">
        <v>0.6858</v>
      </c>
      <c r="M340" s="11" t="n">
        <v>1.3717</v>
      </c>
      <c r="N340" s="11" t="n">
        <v>1</v>
      </c>
      <c r="O340" s="11" t="n">
        <v>4.5</v>
      </c>
      <c r="P340" s="11" t="n">
        <v>3.18</v>
      </c>
      <c r="Q340" s="11" t="n">
        <v>23.85</v>
      </c>
      <c r="R340" s="11" t="n">
        <f aca="false">SUM(K340:Q340)</f>
        <v>162.7275</v>
      </c>
      <c r="S340" s="11" t="n">
        <f aca="false">R340/(1-Resumo!$C$6)</f>
        <v>184.917613636364</v>
      </c>
      <c r="T340" s="11" t="n">
        <f aca="false">S340-J340</f>
        <v>57.2976136363636</v>
      </c>
      <c r="U340" s="12" t="n">
        <f aca="false">IFERROR(S340/J340-1,0)</f>
        <v>0.448970487669359</v>
      </c>
      <c r="V340" s="2" t="str">
        <f aca="false">IF(S340&lt;J340,"SIM","NÃO")</f>
        <v>NÃO</v>
      </c>
      <c r="W340" s="2" t="n">
        <v>7</v>
      </c>
      <c r="X340" s="2" t="s">
        <v>156</v>
      </c>
    </row>
    <row r="341" customFormat="false" ht="15" hidden="false" customHeight="false" outlineLevel="0" collapsed="false">
      <c r="A341" s="2" t="n">
        <v>366584058</v>
      </c>
      <c r="B341" s="29" t="n">
        <v>46229.8339351852</v>
      </c>
      <c r="C341" s="2" t="s">
        <v>153</v>
      </c>
      <c r="D341" s="2" t="s">
        <v>526</v>
      </c>
      <c r="E341" s="2" t="s">
        <v>91</v>
      </c>
      <c r="F341" s="2" t="s">
        <v>108</v>
      </c>
      <c r="G341" s="30" t="n">
        <v>48.3</v>
      </c>
      <c r="H341" s="11" t="n">
        <v>459.99</v>
      </c>
      <c r="I341" s="11" t="s">
        <v>350</v>
      </c>
      <c r="J341" s="11" t="n">
        <v>132.15</v>
      </c>
      <c r="K341" s="11" t="n">
        <v>129.29</v>
      </c>
      <c r="L341" s="11" t="n">
        <v>0.46</v>
      </c>
      <c r="M341" s="11" t="n">
        <v>0.92</v>
      </c>
      <c r="N341" s="11" t="n">
        <v>1</v>
      </c>
      <c r="O341" s="11" t="n">
        <v>4.5</v>
      </c>
      <c r="P341" s="11" t="n">
        <v>2.94</v>
      </c>
      <c r="Q341" s="11" t="n">
        <v>22.05</v>
      </c>
      <c r="R341" s="11" t="n">
        <f aca="false">SUM(K341:Q341)</f>
        <v>161.16</v>
      </c>
      <c r="S341" s="11" t="n">
        <f aca="false">R341/(1-Resumo!$C$6)</f>
        <v>183.136363636364</v>
      </c>
      <c r="T341" s="11" t="n">
        <f aca="false">S341-J341</f>
        <v>50.9863636363636</v>
      </c>
      <c r="U341" s="12" t="n">
        <f aca="false">IFERROR(S341/J341-1,0)</f>
        <v>0.385821896605097</v>
      </c>
      <c r="V341" s="2" t="str">
        <f aca="false">IF(S341&lt;J341,"SIM","NÃO")</f>
        <v>NÃO</v>
      </c>
      <c r="W341" s="2" t="n">
        <v>10</v>
      </c>
      <c r="X341" s="2" t="s">
        <v>156</v>
      </c>
    </row>
    <row r="342" customFormat="false" ht="15" hidden="false" customHeight="false" outlineLevel="0" collapsed="false">
      <c r="A342" s="2" t="n">
        <v>366711580</v>
      </c>
      <c r="B342" s="29" t="n">
        <v>46229.977974537</v>
      </c>
      <c r="C342" s="2" t="s">
        <v>153</v>
      </c>
      <c r="D342" s="2" t="s">
        <v>527</v>
      </c>
      <c r="E342" s="2" t="s">
        <v>81</v>
      </c>
      <c r="F342" s="2" t="s">
        <v>109</v>
      </c>
      <c r="G342" s="30" t="n">
        <v>52.3</v>
      </c>
      <c r="H342" s="11" t="n">
        <v>685.84</v>
      </c>
      <c r="I342" s="11" t="s">
        <v>350</v>
      </c>
      <c r="J342" s="11" t="n">
        <v>127.62</v>
      </c>
      <c r="K342" s="11" t="n">
        <v>112.3</v>
      </c>
      <c r="L342" s="11" t="n">
        <v>0.6858</v>
      </c>
      <c r="M342" s="11" t="n">
        <v>1.3717</v>
      </c>
      <c r="N342" s="11" t="n">
        <v>1</v>
      </c>
      <c r="O342" s="11" t="n">
        <v>4.5</v>
      </c>
      <c r="P342" s="11" t="n">
        <v>3.18</v>
      </c>
      <c r="Q342" s="11" t="n">
        <v>23.85</v>
      </c>
      <c r="R342" s="11" t="n">
        <f aca="false">SUM(K342:Q342)</f>
        <v>146.8875</v>
      </c>
      <c r="S342" s="11" t="n">
        <f aca="false">R342/(1-Resumo!$C$6)</f>
        <v>166.917613636364</v>
      </c>
      <c r="T342" s="11" t="n">
        <f aca="false">S342-J342</f>
        <v>39.2976136363636</v>
      </c>
      <c r="U342" s="12" t="n">
        <f aca="false">IFERROR(S342/J342-1,0)</f>
        <v>0.307926764115057</v>
      </c>
      <c r="V342" s="2" t="str">
        <f aca="false">IF(S342&lt;J342,"SIM","NÃO")</f>
        <v>NÃO</v>
      </c>
      <c r="W342" s="2" t="n">
        <v>5</v>
      </c>
      <c r="X342" s="2" t="s">
        <v>156</v>
      </c>
    </row>
    <row r="343" customFormat="false" ht="15" hidden="false" customHeight="false" outlineLevel="0" collapsed="false">
      <c r="A343" s="2" t="n">
        <v>366884105</v>
      </c>
      <c r="B343" s="29" t="n">
        <v>46230.3112384259</v>
      </c>
      <c r="C343" s="2" t="s">
        <v>158</v>
      </c>
      <c r="D343" s="2" t="s">
        <v>528</v>
      </c>
      <c r="E343" s="2" t="s">
        <v>82</v>
      </c>
      <c r="F343" s="2" t="s">
        <v>108</v>
      </c>
      <c r="G343" s="30" t="n">
        <v>48.53</v>
      </c>
      <c r="H343" s="11" t="n">
        <v>449.85</v>
      </c>
      <c r="I343" s="11" t="s">
        <v>155</v>
      </c>
      <c r="J343" s="11" t="n">
        <v>116.23</v>
      </c>
      <c r="K343" s="11" t="n">
        <v>114.95</v>
      </c>
      <c r="L343" s="11" t="n">
        <v>0.4498</v>
      </c>
      <c r="M343" s="11" t="n">
        <v>0.8997</v>
      </c>
      <c r="N343" s="11" t="n">
        <v>1</v>
      </c>
      <c r="O343" s="11" t="n">
        <v>4.5</v>
      </c>
      <c r="P343" s="11" t="n">
        <v>2.94</v>
      </c>
      <c r="Q343" s="11" t="n">
        <v>22.05</v>
      </c>
      <c r="R343" s="11" t="n">
        <f aca="false">SUM(K343:Q343)</f>
        <v>146.7895</v>
      </c>
      <c r="S343" s="11" t="n">
        <f aca="false">R343/(1-Resumo!$C$6)</f>
        <v>166.80625</v>
      </c>
      <c r="T343" s="11" t="n">
        <f aca="false">S343-J343</f>
        <v>50.57625</v>
      </c>
      <c r="U343" s="12" t="n">
        <f aca="false">IFERROR(S343/J343-1,0)</f>
        <v>0.435139378817861</v>
      </c>
      <c r="V343" s="2" t="str">
        <f aca="false">IF(S343&lt;J343,"SIM","NÃO")</f>
        <v>NÃO</v>
      </c>
      <c r="W343" s="2" t="n">
        <v>7</v>
      </c>
      <c r="X343" s="2" t="s">
        <v>156</v>
      </c>
    </row>
    <row r="344" customFormat="false" ht="15" hidden="false" customHeight="false" outlineLevel="0" collapsed="false">
      <c r="A344" s="2" t="n">
        <v>366909396</v>
      </c>
      <c r="B344" s="29" t="n">
        <v>46230.3605092593</v>
      </c>
      <c r="C344" s="2" t="s">
        <v>158</v>
      </c>
      <c r="D344" s="2" t="s">
        <v>529</v>
      </c>
      <c r="E344" s="2" t="s">
        <v>78</v>
      </c>
      <c r="F344" s="2" t="s">
        <v>114</v>
      </c>
      <c r="G344" s="30" t="n">
        <v>124.2</v>
      </c>
      <c r="H344" s="11" t="n">
        <v>1589.99</v>
      </c>
      <c r="I344" s="11" t="s">
        <v>350</v>
      </c>
      <c r="J344" s="11" t="n">
        <v>226.33</v>
      </c>
      <c r="K344" s="11" t="n">
        <v>239.25</v>
      </c>
      <c r="L344" s="11" t="n">
        <v>1.59</v>
      </c>
      <c r="M344" s="11" t="n">
        <v>3.18</v>
      </c>
      <c r="N344" s="11" t="n">
        <v>1</v>
      </c>
      <c r="O344" s="11" t="n">
        <v>9</v>
      </c>
      <c r="P344" s="11" t="n">
        <v>7.5</v>
      </c>
      <c r="Q344" s="11" t="n">
        <v>56.25</v>
      </c>
      <c r="R344" s="11" t="n">
        <f aca="false">SUM(K344:Q344)</f>
        <v>317.77</v>
      </c>
      <c r="S344" s="11" t="n">
        <f aca="false">R344/(1-Resumo!$C$6)</f>
        <v>361.102272727273</v>
      </c>
      <c r="T344" s="11" t="n">
        <f aca="false">S344-J344</f>
        <v>134.772272727273</v>
      </c>
      <c r="U344" s="12" t="n">
        <f aca="false">IFERROR(S344/J344-1,0)</f>
        <v>0.595468001269265</v>
      </c>
      <c r="V344" s="2" t="str">
        <f aca="false">IF(S344&lt;J344,"SIM","NÃO")</f>
        <v>NÃO</v>
      </c>
      <c r="W344" s="2" t="n">
        <v>5</v>
      </c>
      <c r="X344" s="2" t="s">
        <v>156</v>
      </c>
    </row>
    <row r="345" customFormat="false" ht="15" hidden="false" customHeight="false" outlineLevel="0" collapsed="false">
      <c r="A345" s="2" t="n">
        <v>366935861</v>
      </c>
      <c r="B345" s="29" t="n">
        <v>46230.4009606482</v>
      </c>
      <c r="C345" s="2" t="s">
        <v>194</v>
      </c>
      <c r="D345" s="2" t="s">
        <v>530</v>
      </c>
      <c r="E345" s="2" t="s">
        <v>78</v>
      </c>
      <c r="F345" s="2" t="s">
        <v>109</v>
      </c>
      <c r="G345" s="30" t="n">
        <v>52.3</v>
      </c>
      <c r="H345" s="11" t="n">
        <v>552.65</v>
      </c>
      <c r="I345" s="11" t="s">
        <v>350</v>
      </c>
      <c r="J345" s="11" t="n">
        <v>112.92</v>
      </c>
      <c r="K345" s="11" t="n">
        <v>112.3</v>
      </c>
      <c r="L345" s="11" t="n">
        <v>0.5526</v>
      </c>
      <c r="M345" s="11" t="n">
        <v>1.1053</v>
      </c>
      <c r="N345" s="11" t="n">
        <v>1</v>
      </c>
      <c r="O345" s="11" t="n">
        <v>4.5</v>
      </c>
      <c r="P345" s="11" t="n">
        <v>3.18</v>
      </c>
      <c r="Q345" s="11" t="n">
        <v>23.85</v>
      </c>
      <c r="R345" s="11" t="n">
        <f aca="false">SUM(K345:Q345)</f>
        <v>146.4879</v>
      </c>
      <c r="S345" s="11" t="n">
        <f aca="false">R345/(1-Resumo!$C$6)</f>
        <v>166.463522727273</v>
      </c>
      <c r="T345" s="11" t="n">
        <f aca="false">S345-J345</f>
        <v>53.5435227272727</v>
      </c>
      <c r="U345" s="12" t="n">
        <f aca="false">IFERROR(S345/J345-1,0)</f>
        <v>0.474172181431746</v>
      </c>
      <c r="V345" s="2" t="str">
        <f aca="false">IF(S345&lt;J345,"SIM","NÃO")</f>
        <v>NÃO</v>
      </c>
      <c r="W345" s="2" t="n">
        <v>5</v>
      </c>
      <c r="X345" s="2" t="s">
        <v>156</v>
      </c>
    </row>
    <row r="346" customFormat="false" ht="15" hidden="false" customHeight="false" outlineLevel="0" collapsed="false">
      <c r="A346" s="2" t="n">
        <v>366975566</v>
      </c>
      <c r="B346" s="29" t="n">
        <v>46230.4808101852</v>
      </c>
      <c r="C346" s="2" t="s">
        <v>153</v>
      </c>
      <c r="D346" s="2" t="s">
        <v>531</v>
      </c>
      <c r="E346" s="2" t="s">
        <v>78</v>
      </c>
      <c r="F346" s="2" t="s">
        <v>109</v>
      </c>
      <c r="G346" s="30" t="n">
        <v>52.3</v>
      </c>
      <c r="H346" s="11" t="n">
        <v>699.99</v>
      </c>
      <c r="I346" s="11" t="s">
        <v>350</v>
      </c>
      <c r="J346" s="11" t="n">
        <v>113.63</v>
      </c>
      <c r="K346" s="11" t="n">
        <v>112.3</v>
      </c>
      <c r="L346" s="11" t="n">
        <v>0.7</v>
      </c>
      <c r="M346" s="11" t="n">
        <v>1.4</v>
      </c>
      <c r="N346" s="11" t="n">
        <v>1</v>
      </c>
      <c r="O346" s="11" t="n">
        <v>4.5</v>
      </c>
      <c r="P346" s="11" t="n">
        <v>3.18</v>
      </c>
      <c r="Q346" s="11" t="n">
        <v>23.85</v>
      </c>
      <c r="R346" s="11" t="n">
        <f aca="false">SUM(K346:Q346)</f>
        <v>146.93</v>
      </c>
      <c r="S346" s="11" t="n">
        <f aca="false">R346/(1-Resumo!$C$6)</f>
        <v>166.965909090909</v>
      </c>
      <c r="T346" s="11" t="n">
        <f aca="false">S346-J346</f>
        <v>53.3359090909091</v>
      </c>
      <c r="U346" s="12" t="n">
        <f aca="false">IFERROR(S346/J346-1,0)</f>
        <v>0.469382285407983</v>
      </c>
      <c r="V346" s="2" t="str">
        <f aca="false">IF(S346&lt;J346,"SIM","NÃO")</f>
        <v>NÃO</v>
      </c>
      <c r="W346" s="2" t="n">
        <v>5</v>
      </c>
      <c r="X346" s="2" t="s">
        <v>156</v>
      </c>
    </row>
    <row r="347" customFormat="false" ht="15" hidden="false" customHeight="false" outlineLevel="0" collapsed="false">
      <c r="A347" s="2" t="n">
        <v>366975600</v>
      </c>
      <c r="B347" s="29" t="n">
        <v>46230.4809143519</v>
      </c>
      <c r="C347" s="2" t="s">
        <v>158</v>
      </c>
      <c r="D347" s="2" t="s">
        <v>532</v>
      </c>
      <c r="E347" s="2" t="s">
        <v>89</v>
      </c>
      <c r="F347" s="2" t="s">
        <v>109</v>
      </c>
      <c r="G347" s="30" t="n">
        <v>60</v>
      </c>
      <c r="H347" s="11" t="n">
        <v>862</v>
      </c>
      <c r="I347" s="11" t="s">
        <v>350</v>
      </c>
      <c r="J347" s="11" t="n">
        <v>146.36</v>
      </c>
      <c r="K347" s="11" t="n">
        <v>142.32</v>
      </c>
      <c r="L347" s="11" t="n">
        <v>0.862</v>
      </c>
      <c r="M347" s="11" t="n">
        <v>1.724</v>
      </c>
      <c r="N347" s="11" t="n">
        <v>1</v>
      </c>
      <c r="O347" s="11" t="n">
        <v>4.5</v>
      </c>
      <c r="P347" s="11" t="n">
        <v>3.6</v>
      </c>
      <c r="Q347" s="11" t="n">
        <v>27</v>
      </c>
      <c r="R347" s="11" t="n">
        <f aca="false">SUM(K347:Q347)</f>
        <v>181.006</v>
      </c>
      <c r="S347" s="11" t="n">
        <f aca="false">R347/(1-Resumo!$C$6)</f>
        <v>205.688636363636</v>
      </c>
      <c r="T347" s="11" t="n">
        <f aca="false">S347-J347</f>
        <v>59.3286363636364</v>
      </c>
      <c r="U347" s="12" t="n">
        <f aca="false">IFERROR(S347/J347-1,0)</f>
        <v>0.405361002757832</v>
      </c>
      <c r="V347" s="2" t="str">
        <f aca="false">IF(S347&lt;J347,"SIM","NÃO")</f>
        <v>NÃO</v>
      </c>
      <c r="W347" s="2" t="n">
        <v>8</v>
      </c>
      <c r="X347" s="2" t="s">
        <v>156</v>
      </c>
    </row>
    <row r="348" customFormat="false" ht="15" hidden="false" customHeight="false" outlineLevel="0" collapsed="false">
      <c r="A348" s="2" t="n">
        <v>367010544</v>
      </c>
      <c r="B348" s="29" t="n">
        <v>46230.5450115741</v>
      </c>
      <c r="C348" s="2" t="s">
        <v>153</v>
      </c>
      <c r="D348" s="2" t="s">
        <v>533</v>
      </c>
      <c r="E348" s="2" t="s">
        <v>212</v>
      </c>
      <c r="F348" s="2" t="s">
        <v>113</v>
      </c>
      <c r="G348" s="30" t="n">
        <v>117.5</v>
      </c>
      <c r="H348" s="11" t="n">
        <v>1349.99</v>
      </c>
      <c r="I348" s="11" t="s">
        <v>350</v>
      </c>
      <c r="J348" s="11" t="n">
        <v>220.35</v>
      </c>
      <c r="K348" s="11" t="n">
        <v>211.59</v>
      </c>
      <c r="L348" s="11" t="n">
        <v>1.35</v>
      </c>
      <c r="M348" s="11" t="n">
        <v>2.7</v>
      </c>
      <c r="N348" s="11" t="n">
        <v>1</v>
      </c>
      <c r="O348" s="11" t="n">
        <v>9</v>
      </c>
      <c r="P348" s="11" t="n">
        <v>7.08</v>
      </c>
      <c r="Q348" s="11" t="n">
        <v>53.1</v>
      </c>
      <c r="R348" s="11" t="n">
        <f aca="false">SUM(K348:Q348)</f>
        <v>285.82</v>
      </c>
      <c r="S348" s="11" t="n">
        <f aca="false">R348/(1-Resumo!$C$6)</f>
        <v>324.795454545455</v>
      </c>
      <c r="T348" s="11" t="n">
        <f aca="false">S348-J348</f>
        <v>104.445454545455</v>
      </c>
      <c r="U348" s="12" t="n">
        <f aca="false">IFERROR(S348/J348-1,0)</f>
        <v>0.473997978422757</v>
      </c>
      <c r="V348" s="2" t="str">
        <f aca="false">IF(S348&lt;J348,"SIM","NÃO")</f>
        <v>NÃO</v>
      </c>
      <c r="W348" s="2" t="n">
        <v>5</v>
      </c>
      <c r="X348" s="2" t="s">
        <v>161</v>
      </c>
    </row>
    <row r="349" customFormat="false" ht="15" hidden="false" customHeight="false" outlineLevel="0" collapsed="false">
      <c r="A349" s="2" t="n">
        <v>367043399</v>
      </c>
      <c r="B349" s="29" t="n">
        <v>46230.5929050926</v>
      </c>
      <c r="C349" s="2" t="s">
        <v>158</v>
      </c>
      <c r="D349" s="2" t="s">
        <v>534</v>
      </c>
      <c r="E349" s="2" t="s">
        <v>81</v>
      </c>
      <c r="F349" s="2" t="s">
        <v>109</v>
      </c>
      <c r="G349" s="30" t="n">
        <v>52.3</v>
      </c>
      <c r="H349" s="11" t="n">
        <v>642.07</v>
      </c>
      <c r="I349" s="11" t="s">
        <v>350</v>
      </c>
      <c r="J349" s="11" t="n">
        <v>127.42</v>
      </c>
      <c r="K349" s="11" t="n">
        <v>112.3</v>
      </c>
      <c r="L349" s="11" t="n">
        <v>0.6421</v>
      </c>
      <c r="M349" s="11" t="n">
        <v>1.2841</v>
      </c>
      <c r="N349" s="11" t="n">
        <v>1</v>
      </c>
      <c r="O349" s="11" t="n">
        <v>4.5</v>
      </c>
      <c r="P349" s="11" t="n">
        <v>3.18</v>
      </c>
      <c r="Q349" s="11" t="n">
        <v>23.85</v>
      </c>
      <c r="R349" s="11" t="n">
        <f aca="false">SUM(K349:Q349)</f>
        <v>146.7562</v>
      </c>
      <c r="S349" s="11" t="n">
        <f aca="false">R349/(1-Resumo!$C$6)</f>
        <v>166.768409090909</v>
      </c>
      <c r="T349" s="11" t="n">
        <f aca="false">S349-J349</f>
        <v>39.3484090909091</v>
      </c>
      <c r="U349" s="12" t="n">
        <f aca="false">IFERROR(S349/J349-1,0)</f>
        <v>0.308808735605942</v>
      </c>
      <c r="V349" s="2" t="str">
        <f aca="false">IF(S349&lt;J349,"SIM","NÃO")</f>
        <v>NÃO</v>
      </c>
      <c r="W349" s="2" t="n">
        <v>5</v>
      </c>
      <c r="X349" s="2" t="s">
        <v>156</v>
      </c>
    </row>
    <row r="350" customFormat="false" ht="15" hidden="false" customHeight="false" outlineLevel="0" collapsed="false">
      <c r="A350" s="2" t="n">
        <v>367050811</v>
      </c>
      <c r="B350" s="29" t="n">
        <v>46230.6031712963</v>
      </c>
      <c r="C350" s="2" t="s">
        <v>158</v>
      </c>
      <c r="D350" s="2" t="s">
        <v>535</v>
      </c>
      <c r="E350" s="2" t="s">
        <v>80</v>
      </c>
      <c r="F350" s="2" t="s">
        <v>109</v>
      </c>
      <c r="G350" s="30" t="n">
        <v>52.3</v>
      </c>
      <c r="H350" s="11" t="n">
        <v>637.57</v>
      </c>
      <c r="I350" s="11" t="s">
        <v>350</v>
      </c>
      <c r="J350" s="11" t="n">
        <v>127.4</v>
      </c>
      <c r="K350" s="11" t="n">
        <v>112.3</v>
      </c>
      <c r="L350" s="11" t="n">
        <v>0.6376</v>
      </c>
      <c r="M350" s="11" t="n">
        <v>1.2751</v>
      </c>
      <c r="N350" s="11" t="n">
        <v>1</v>
      </c>
      <c r="O350" s="11" t="n">
        <v>4.5</v>
      </c>
      <c r="P350" s="11" t="n">
        <v>3.18</v>
      </c>
      <c r="Q350" s="11" t="n">
        <v>23.85</v>
      </c>
      <c r="R350" s="11" t="n">
        <f aca="false">SUM(K350:Q350)</f>
        <v>146.7427</v>
      </c>
      <c r="S350" s="11" t="n">
        <f aca="false">R350/(1-Resumo!$C$6)</f>
        <v>166.753068181818</v>
      </c>
      <c r="T350" s="11" t="n">
        <f aca="false">S350-J350</f>
        <v>39.3530681818181</v>
      </c>
      <c r="U350" s="12" t="n">
        <f aca="false">IFERROR(S350/J350-1,0)</f>
        <v>0.308893784786642</v>
      </c>
      <c r="V350" s="2" t="str">
        <f aca="false">IF(S350&lt;J350,"SIM","NÃO")</f>
        <v>NÃO</v>
      </c>
      <c r="W350" s="2" t="n">
        <v>5</v>
      </c>
      <c r="X350" s="2" t="s">
        <v>156</v>
      </c>
    </row>
    <row r="351" customFormat="false" ht="15" hidden="false" customHeight="false" outlineLevel="0" collapsed="false">
      <c r="A351" s="2" t="n">
        <v>367091802</v>
      </c>
      <c r="B351" s="29" t="n">
        <v>46230.6725578704</v>
      </c>
      <c r="C351" s="2" t="s">
        <v>153</v>
      </c>
      <c r="D351" s="2" t="s">
        <v>536</v>
      </c>
      <c r="E351" s="2" t="s">
        <v>537</v>
      </c>
      <c r="F351" s="2" t="s">
        <v>114</v>
      </c>
      <c r="G351" s="30" t="n">
        <v>125.8</v>
      </c>
      <c r="H351" s="11" t="n">
        <v>1999.99</v>
      </c>
      <c r="I351" s="11" t="s">
        <v>350</v>
      </c>
      <c r="J351" s="11" t="n">
        <v>255.67</v>
      </c>
      <c r="K351" s="11" t="n">
        <v>264.84</v>
      </c>
      <c r="L351" s="11" t="n">
        <v>2</v>
      </c>
      <c r="M351" s="11" t="n">
        <v>4</v>
      </c>
      <c r="N351" s="11" t="n">
        <v>1</v>
      </c>
      <c r="O351" s="11" t="n">
        <v>9</v>
      </c>
      <c r="P351" s="11" t="n">
        <v>7.56</v>
      </c>
      <c r="Q351" s="11" t="n">
        <v>56.7</v>
      </c>
      <c r="R351" s="11" t="n">
        <f aca="false">SUM(K351:Q351)</f>
        <v>345.1</v>
      </c>
      <c r="S351" s="11" t="n">
        <f aca="false">R351/(1-Resumo!$C$6)</f>
        <v>392.159090909091</v>
      </c>
      <c r="T351" s="11" t="n">
        <f aca="false">S351-J351</f>
        <v>136.489090909091</v>
      </c>
      <c r="U351" s="12" t="n">
        <f aca="false">IFERROR(S351/J351-1,0)</f>
        <v>0.53384867567212</v>
      </c>
      <c r="V351" s="2" t="str">
        <f aca="false">IF(S351&lt;J351,"SIM","NÃO")</f>
        <v>NÃO</v>
      </c>
      <c r="W351" s="2" t="n">
        <v>11</v>
      </c>
      <c r="X351" s="2" t="s">
        <v>161</v>
      </c>
    </row>
    <row r="352" customFormat="false" ht="15" hidden="false" customHeight="false" outlineLevel="0" collapsed="false">
      <c r="A352" s="2" t="n">
        <v>367166761</v>
      </c>
      <c r="B352" s="29" t="n">
        <v>46230.7930092593</v>
      </c>
      <c r="C352" s="2" t="s">
        <v>153</v>
      </c>
      <c r="D352" s="2" t="s">
        <v>538</v>
      </c>
      <c r="E352" s="2" t="s">
        <v>78</v>
      </c>
      <c r="F352" s="2" t="s">
        <v>108</v>
      </c>
      <c r="G352" s="30" t="n">
        <v>44.6</v>
      </c>
      <c r="H352" s="11" t="n">
        <v>579.99</v>
      </c>
      <c r="I352" s="11" t="s">
        <v>155</v>
      </c>
      <c r="J352" s="11" t="n">
        <v>103.36</v>
      </c>
      <c r="K352" s="11" t="n">
        <v>93.97</v>
      </c>
      <c r="L352" s="11" t="n">
        <v>0.58</v>
      </c>
      <c r="M352" s="11" t="n">
        <v>1.16</v>
      </c>
      <c r="N352" s="11" t="n">
        <v>1</v>
      </c>
      <c r="O352" s="11" t="n">
        <v>4.5</v>
      </c>
      <c r="P352" s="11" t="n">
        <v>2.7</v>
      </c>
      <c r="Q352" s="11" t="n">
        <v>20.25</v>
      </c>
      <c r="R352" s="11" t="n">
        <f aca="false">SUM(K352:Q352)</f>
        <v>124.16</v>
      </c>
      <c r="S352" s="11" t="n">
        <f aca="false">R352/(1-Resumo!$C$6)</f>
        <v>141.090909090909</v>
      </c>
      <c r="T352" s="11" t="n">
        <f aca="false">S352-J352</f>
        <v>37.7309090909091</v>
      </c>
      <c r="U352" s="12" t="n">
        <f aca="false">IFERROR(S352/J352-1,0)</f>
        <v>0.365043625105545</v>
      </c>
      <c r="V352" s="2" t="str">
        <f aca="false">IF(S352&lt;J352,"SIM","NÃO")</f>
        <v>NÃO</v>
      </c>
      <c r="W352" s="2" t="n">
        <v>5</v>
      </c>
      <c r="X352" s="2" t="s">
        <v>156</v>
      </c>
    </row>
    <row r="353" customFormat="false" ht="15" hidden="false" customHeight="false" outlineLevel="0" collapsed="false">
      <c r="A353" s="2" t="n">
        <v>367168612</v>
      </c>
      <c r="B353" s="29" t="n">
        <v>46230.8002777778</v>
      </c>
      <c r="C353" s="2" t="s">
        <v>178</v>
      </c>
      <c r="D353" s="2" t="s">
        <v>539</v>
      </c>
      <c r="E353" s="2" t="s">
        <v>78</v>
      </c>
      <c r="F353" s="2" t="s">
        <v>105</v>
      </c>
      <c r="G353" s="30" t="n">
        <v>19.5</v>
      </c>
      <c r="H353" s="11" t="n">
        <v>549.99</v>
      </c>
      <c r="I353" s="11" t="s">
        <v>350</v>
      </c>
      <c r="J353" s="11" t="n">
        <v>67.41</v>
      </c>
      <c r="K353" s="11" t="n">
        <v>46.98</v>
      </c>
      <c r="L353" s="11" t="n">
        <v>0.55</v>
      </c>
      <c r="M353" s="11" t="n">
        <v>1.1</v>
      </c>
      <c r="N353" s="11" t="n">
        <v>1</v>
      </c>
      <c r="O353" s="11" t="n">
        <v>4.5</v>
      </c>
      <c r="P353" s="11" t="n">
        <v>1.2</v>
      </c>
      <c r="Q353" s="11" t="n">
        <v>9</v>
      </c>
      <c r="R353" s="11" t="n">
        <f aca="false">SUM(K353:Q353)</f>
        <v>64.33</v>
      </c>
      <c r="S353" s="11" t="n">
        <f aca="false">R353/(1-Resumo!$C$6)</f>
        <v>73.1022727272727</v>
      </c>
      <c r="T353" s="11" t="n">
        <f aca="false">S353-J353</f>
        <v>5.69227272727272</v>
      </c>
      <c r="U353" s="12" t="n">
        <f aca="false">IFERROR(S353/J353-1,0)</f>
        <v>0.0844425564051732</v>
      </c>
      <c r="V353" s="2" t="str">
        <f aca="false">IF(S353&lt;J353,"SIM","NÃO")</f>
        <v>NÃO</v>
      </c>
      <c r="W353" s="2" t="n">
        <v>5</v>
      </c>
      <c r="X353" s="2" t="s">
        <v>156</v>
      </c>
    </row>
    <row r="354" customFormat="false" ht="15" hidden="false" customHeight="false" outlineLevel="0" collapsed="false">
      <c r="A354" s="2" t="n">
        <v>367173178</v>
      </c>
      <c r="B354" s="29" t="n">
        <v>46230.8013888889</v>
      </c>
      <c r="C354" s="2" t="s">
        <v>153</v>
      </c>
      <c r="D354" s="2" t="s">
        <v>540</v>
      </c>
      <c r="E354" s="2" t="s">
        <v>93</v>
      </c>
      <c r="F354" s="2" t="s">
        <v>114</v>
      </c>
      <c r="G354" s="30" t="n">
        <v>124.2</v>
      </c>
      <c r="H354" s="11" t="n">
        <v>1699.99</v>
      </c>
      <c r="I354" s="11" t="s">
        <v>350</v>
      </c>
      <c r="J354" s="11" t="n">
        <v>253.73</v>
      </c>
      <c r="K354" s="11" t="n">
        <v>249.03</v>
      </c>
      <c r="L354" s="11" t="n">
        <v>1.7</v>
      </c>
      <c r="M354" s="11" t="n">
        <v>3.4</v>
      </c>
      <c r="N354" s="11" t="n">
        <v>1</v>
      </c>
      <c r="O354" s="11" t="n">
        <v>9</v>
      </c>
      <c r="P354" s="11" t="n">
        <v>7.5</v>
      </c>
      <c r="Q354" s="11" t="n">
        <v>56.25</v>
      </c>
      <c r="R354" s="11" t="n">
        <f aca="false">SUM(K354:Q354)</f>
        <v>327.88</v>
      </c>
      <c r="S354" s="11" t="n">
        <f aca="false">R354/(1-Resumo!$C$6)</f>
        <v>372.590909090909</v>
      </c>
      <c r="T354" s="11" t="n">
        <f aca="false">S354-J354</f>
        <v>118.860909090909</v>
      </c>
      <c r="U354" s="12" t="n">
        <f aca="false">IFERROR(S354/J354-1,0)</f>
        <v>0.468454298233985</v>
      </c>
      <c r="V354" s="2" t="str">
        <f aca="false">IF(S354&lt;J354,"SIM","NÃO")</f>
        <v>NÃO</v>
      </c>
      <c r="W354" s="2" t="n">
        <v>7</v>
      </c>
      <c r="X354" s="2" t="s">
        <v>156</v>
      </c>
    </row>
    <row r="355" customFormat="false" ht="15" hidden="false" customHeight="false" outlineLevel="0" collapsed="false">
      <c r="A355" s="2" t="n">
        <v>367209313</v>
      </c>
      <c r="B355" s="29" t="n">
        <v>46230.8755555556</v>
      </c>
      <c r="C355" s="2" t="s">
        <v>158</v>
      </c>
      <c r="D355" s="2" t="s">
        <v>541</v>
      </c>
      <c r="E355" s="2" t="s">
        <v>83</v>
      </c>
      <c r="F355" s="2" t="s">
        <v>110</v>
      </c>
      <c r="G355" s="30" t="n">
        <v>61.4</v>
      </c>
      <c r="H355" s="11" t="n">
        <v>1099.99</v>
      </c>
      <c r="I355" s="11" t="s">
        <v>350</v>
      </c>
      <c r="J355" s="11" t="n">
        <v>156.05</v>
      </c>
      <c r="K355" s="11" t="n">
        <v>171.54</v>
      </c>
      <c r="L355" s="11" t="n">
        <v>1.1</v>
      </c>
      <c r="M355" s="11" t="n">
        <v>2.2</v>
      </c>
      <c r="N355" s="11" t="n">
        <v>1</v>
      </c>
      <c r="O355" s="11" t="n">
        <v>4.5</v>
      </c>
      <c r="P355" s="11" t="n">
        <v>3.72</v>
      </c>
      <c r="Q355" s="11" t="n">
        <v>27.9</v>
      </c>
      <c r="R355" s="11" t="n">
        <f aca="false">SUM(K355:Q355)</f>
        <v>211.96</v>
      </c>
      <c r="S355" s="11" t="n">
        <f aca="false">R355/(1-Resumo!$C$6)</f>
        <v>240.863636363636</v>
      </c>
      <c r="T355" s="11" t="n">
        <f aca="false">S355-J355</f>
        <v>84.8136363636364</v>
      </c>
      <c r="U355" s="12" t="n">
        <f aca="false">IFERROR(S355/J355-1,0)</f>
        <v>0.543502956511608</v>
      </c>
      <c r="V355" s="2" t="str">
        <f aca="false">IF(S355&lt;J355,"SIM","NÃO")</f>
        <v>NÃO</v>
      </c>
      <c r="W355" s="2" t="n">
        <v>11</v>
      </c>
      <c r="X355" s="2" t="s">
        <v>156</v>
      </c>
    </row>
    <row r="356" customFormat="false" ht="15" hidden="false" customHeight="false" outlineLevel="0" collapsed="false">
      <c r="A356" s="2" t="n">
        <v>367210485</v>
      </c>
      <c r="B356" s="29" t="n">
        <v>46230.8781481482</v>
      </c>
      <c r="C356" s="2" t="s">
        <v>153</v>
      </c>
      <c r="D356" s="2" t="s">
        <v>542</v>
      </c>
      <c r="E356" s="2" t="s">
        <v>91</v>
      </c>
      <c r="F356" s="2" t="s">
        <v>110</v>
      </c>
      <c r="G356" s="30" t="n">
        <v>63</v>
      </c>
      <c r="H356" s="11" t="n">
        <v>779.99</v>
      </c>
      <c r="I356" s="11" t="s">
        <v>350</v>
      </c>
      <c r="J356" s="11" t="n">
        <v>155.03</v>
      </c>
      <c r="K356" s="11" t="n">
        <v>166.05</v>
      </c>
      <c r="L356" s="11" t="n">
        <v>0.78</v>
      </c>
      <c r="M356" s="11" t="n">
        <v>1.56</v>
      </c>
      <c r="N356" s="11" t="n">
        <v>1</v>
      </c>
      <c r="O356" s="11" t="n">
        <v>4.5</v>
      </c>
      <c r="P356" s="11" t="n">
        <v>3.78</v>
      </c>
      <c r="Q356" s="11" t="n">
        <v>28.35</v>
      </c>
      <c r="R356" s="11" t="n">
        <f aca="false">SUM(K356:Q356)</f>
        <v>206.02</v>
      </c>
      <c r="S356" s="11" t="n">
        <f aca="false">R356/(1-Resumo!$C$6)</f>
        <v>234.113636363636</v>
      </c>
      <c r="T356" s="11" t="n">
        <f aca="false">S356-J356</f>
        <v>79.0836363636364</v>
      </c>
      <c r="U356" s="12" t="n">
        <f aca="false">IFERROR(S356/J356-1,0)</f>
        <v>0.510118276228061</v>
      </c>
      <c r="V356" s="2" t="str">
        <f aca="false">IF(S356&lt;J356,"SIM","NÃO")</f>
        <v>NÃO</v>
      </c>
      <c r="W356" s="2" t="n">
        <v>10</v>
      </c>
      <c r="X356" s="2" t="s">
        <v>156</v>
      </c>
    </row>
    <row r="357" customFormat="false" ht="15" hidden="false" customHeight="false" outlineLevel="0" collapsed="false">
      <c r="A357" s="2" t="n">
        <v>367223218</v>
      </c>
      <c r="B357" s="29" t="n">
        <v>46230.9035648148</v>
      </c>
      <c r="C357" s="2" t="s">
        <v>153</v>
      </c>
      <c r="D357" s="2" t="s">
        <v>543</v>
      </c>
      <c r="E357" s="2" t="s">
        <v>78</v>
      </c>
      <c r="F357" s="2" t="s">
        <v>107</v>
      </c>
      <c r="G357" s="30" t="n">
        <v>35.3</v>
      </c>
      <c r="H357" s="11" t="n">
        <v>479.79</v>
      </c>
      <c r="I357" s="11" t="s">
        <v>350</v>
      </c>
      <c r="J357" s="11" t="n">
        <v>92.24</v>
      </c>
      <c r="K357" s="11" t="n">
        <v>93.97</v>
      </c>
      <c r="L357" s="11" t="n">
        <v>0.4798</v>
      </c>
      <c r="M357" s="11" t="n">
        <v>0.9596</v>
      </c>
      <c r="N357" s="11" t="n">
        <v>1</v>
      </c>
      <c r="O357" s="11" t="n">
        <v>4.5</v>
      </c>
      <c r="P357" s="11" t="n">
        <v>2.16</v>
      </c>
      <c r="Q357" s="11" t="n">
        <v>16.2</v>
      </c>
      <c r="R357" s="11" t="n">
        <f aca="false">SUM(K357:Q357)</f>
        <v>119.2694</v>
      </c>
      <c r="S357" s="11" t="n">
        <f aca="false">R357/(1-Resumo!$C$6)</f>
        <v>135.533409090909</v>
      </c>
      <c r="T357" s="11" t="n">
        <f aca="false">S357-J357</f>
        <v>43.2934090909091</v>
      </c>
      <c r="U357" s="12" t="n">
        <f aca="false">IFERROR(S357/J357-1,0)</f>
        <v>0.46935612631081</v>
      </c>
      <c r="V357" s="2" t="str">
        <f aca="false">IF(S357&lt;J357,"SIM","NÃO")</f>
        <v>NÃO</v>
      </c>
      <c r="W357" s="2" t="n">
        <v>5</v>
      </c>
      <c r="X357" s="2" t="s">
        <v>156</v>
      </c>
    </row>
    <row r="358" customFormat="false" ht="15" hidden="false" customHeight="false" outlineLevel="0" collapsed="false">
      <c r="A358" s="2" t="n">
        <v>367237101</v>
      </c>
      <c r="B358" s="29" t="n">
        <v>46230.9363541667</v>
      </c>
      <c r="C358" s="2" t="s">
        <v>178</v>
      </c>
      <c r="D358" s="2" t="s">
        <v>544</v>
      </c>
      <c r="E358" s="2" t="s">
        <v>84</v>
      </c>
      <c r="F358" s="2" t="s">
        <v>114</v>
      </c>
      <c r="G358" s="30" t="n">
        <v>148.7</v>
      </c>
      <c r="H358" s="11" t="n">
        <v>1699.99</v>
      </c>
      <c r="I358" s="11" t="s">
        <v>350</v>
      </c>
      <c r="J358" s="11" t="n">
        <v>249.39</v>
      </c>
      <c r="K358" s="11" t="n">
        <v>239.25</v>
      </c>
      <c r="L358" s="11" t="n">
        <v>1.7</v>
      </c>
      <c r="M358" s="11" t="n">
        <v>3.4</v>
      </c>
      <c r="N358" s="11" t="n">
        <v>1</v>
      </c>
      <c r="O358" s="11" t="n">
        <v>9</v>
      </c>
      <c r="P358" s="11" t="n">
        <v>8.94</v>
      </c>
      <c r="Q358" s="11" t="n">
        <v>67.05</v>
      </c>
      <c r="R358" s="11" t="n">
        <f aca="false">SUM(K358:Q358)</f>
        <v>330.34</v>
      </c>
      <c r="S358" s="11" t="n">
        <f aca="false">R358/(1-Resumo!$C$6)</f>
        <v>375.386363636364</v>
      </c>
      <c r="T358" s="11" t="n">
        <f aca="false">S358-J358</f>
        <v>125.996363636364</v>
      </c>
      <c r="U358" s="12" t="n">
        <f aca="false">IFERROR(S358/J358-1,0)</f>
        <v>0.505218186921543</v>
      </c>
      <c r="V358" s="2" t="str">
        <f aca="false">IF(S358&lt;J358,"SIM","NÃO")</f>
        <v>NÃO</v>
      </c>
      <c r="W358" s="2" t="n">
        <v>5</v>
      </c>
      <c r="X358" s="2" t="s">
        <v>156</v>
      </c>
    </row>
    <row r="359" customFormat="false" ht="15" hidden="false" customHeight="false" outlineLevel="0" collapsed="false">
      <c r="A359" s="2" t="n">
        <v>367261347</v>
      </c>
      <c r="B359" s="29" t="n">
        <v>46230.989525463</v>
      </c>
      <c r="C359" s="2" t="s">
        <v>153</v>
      </c>
      <c r="D359" s="2" t="s">
        <v>545</v>
      </c>
      <c r="E359" s="2" t="s">
        <v>78</v>
      </c>
      <c r="F359" s="2" t="s">
        <v>107</v>
      </c>
      <c r="G359" s="30" t="n">
        <v>37.2</v>
      </c>
      <c r="H359" s="11" t="n">
        <v>399.99</v>
      </c>
      <c r="I359" s="11" t="s">
        <v>155</v>
      </c>
      <c r="J359" s="11" t="n">
        <v>91.77</v>
      </c>
      <c r="K359" s="11" t="n">
        <v>93.97</v>
      </c>
      <c r="L359" s="11" t="n">
        <v>0.4</v>
      </c>
      <c r="M359" s="11" t="n">
        <v>0.8</v>
      </c>
      <c r="N359" s="11" t="n">
        <v>1</v>
      </c>
      <c r="O359" s="11" t="n">
        <v>4.5</v>
      </c>
      <c r="P359" s="11" t="n">
        <v>2.28</v>
      </c>
      <c r="Q359" s="11" t="n">
        <v>17.1</v>
      </c>
      <c r="R359" s="11" t="n">
        <f aca="false">SUM(K359:Q359)</f>
        <v>120.05</v>
      </c>
      <c r="S359" s="11" t="n">
        <f aca="false">R359/(1-Resumo!$C$6)</f>
        <v>136.420454545455</v>
      </c>
      <c r="T359" s="11" t="n">
        <f aca="false">S359-J359</f>
        <v>44.6504545454546</v>
      </c>
      <c r="U359" s="12" t="n">
        <f aca="false">IFERROR(S359/J359-1,0)</f>
        <v>0.48654739615838</v>
      </c>
      <c r="V359" s="2" t="str">
        <f aca="false">IF(S359&lt;J359,"SIM","NÃO")</f>
        <v>NÃO</v>
      </c>
      <c r="W359" s="2" t="n">
        <v>5</v>
      </c>
      <c r="X359" s="2" t="s">
        <v>156</v>
      </c>
    </row>
    <row r="360" customFormat="false" ht="15" hidden="false" customHeight="false" outlineLevel="0" collapsed="false">
      <c r="A360" s="2" t="n">
        <v>367376901</v>
      </c>
      <c r="B360" s="29" t="n">
        <v>46231.3741087963</v>
      </c>
      <c r="C360" s="2" t="s">
        <v>153</v>
      </c>
      <c r="D360" s="2" t="s">
        <v>546</v>
      </c>
      <c r="E360" s="2" t="s">
        <v>78</v>
      </c>
      <c r="F360" s="2" t="s">
        <v>109</v>
      </c>
      <c r="G360" s="30" t="n">
        <v>52.3</v>
      </c>
      <c r="H360" s="11" t="n">
        <v>699.99</v>
      </c>
      <c r="I360" s="11" t="s">
        <v>350</v>
      </c>
      <c r="J360" s="11" t="n">
        <v>113.63</v>
      </c>
      <c r="K360" s="11" t="n">
        <v>112.3</v>
      </c>
      <c r="L360" s="11" t="n">
        <v>0.7</v>
      </c>
      <c r="M360" s="11" t="n">
        <v>1.4</v>
      </c>
      <c r="N360" s="11" t="n">
        <v>1</v>
      </c>
      <c r="O360" s="11" t="n">
        <v>4.5</v>
      </c>
      <c r="P360" s="11" t="n">
        <v>3.18</v>
      </c>
      <c r="Q360" s="11" t="n">
        <v>23.85</v>
      </c>
      <c r="R360" s="11" t="n">
        <f aca="false">SUM(K360:Q360)</f>
        <v>146.93</v>
      </c>
      <c r="S360" s="11" t="n">
        <f aca="false">R360/(1-Resumo!$C$6)</f>
        <v>166.965909090909</v>
      </c>
      <c r="T360" s="11" t="n">
        <f aca="false">S360-J360</f>
        <v>53.3359090909091</v>
      </c>
      <c r="U360" s="12" t="n">
        <f aca="false">IFERROR(S360/J360-1,0)</f>
        <v>0.469382285407983</v>
      </c>
      <c r="V360" s="2" t="str">
        <f aca="false">IF(S360&lt;J360,"SIM","NÃO")</f>
        <v>NÃO</v>
      </c>
      <c r="W360" s="2" t="n">
        <v>5</v>
      </c>
      <c r="X360" s="2" t="s">
        <v>156</v>
      </c>
    </row>
    <row r="361" customFormat="false" ht="15" hidden="false" customHeight="false" outlineLevel="0" collapsed="false">
      <c r="A361" s="2" t="n">
        <v>367410133</v>
      </c>
      <c r="B361" s="29" t="n">
        <v>46231.4362615741</v>
      </c>
      <c r="C361" s="2" t="s">
        <v>158</v>
      </c>
      <c r="D361" s="2" t="s">
        <v>547</v>
      </c>
      <c r="E361" s="2" t="s">
        <v>80</v>
      </c>
      <c r="F361" s="2" t="s">
        <v>108</v>
      </c>
      <c r="G361" s="30" t="n">
        <v>48.6</v>
      </c>
      <c r="H361" s="11" t="n">
        <v>575.6</v>
      </c>
      <c r="I361" s="11" t="s">
        <v>155</v>
      </c>
      <c r="J361" s="11" t="n">
        <v>116.83</v>
      </c>
      <c r="K361" s="11" t="n">
        <v>93.97</v>
      </c>
      <c r="L361" s="11" t="n">
        <v>0.5756</v>
      </c>
      <c r="M361" s="11" t="n">
        <v>1.1512</v>
      </c>
      <c r="N361" s="11" t="n">
        <v>1</v>
      </c>
      <c r="O361" s="11" t="n">
        <v>4.5</v>
      </c>
      <c r="P361" s="11" t="n">
        <v>2.94</v>
      </c>
      <c r="Q361" s="11" t="n">
        <v>22.05</v>
      </c>
      <c r="R361" s="11" t="n">
        <f aca="false">SUM(K361:Q361)</f>
        <v>126.1868</v>
      </c>
      <c r="S361" s="11" t="n">
        <f aca="false">R361/(1-Resumo!$C$6)</f>
        <v>143.394090909091</v>
      </c>
      <c r="T361" s="11" t="n">
        <f aca="false">S361-J361</f>
        <v>26.5640909090909</v>
      </c>
      <c r="U361" s="12" t="n">
        <f aca="false">IFERROR(S361/J361-1,0)</f>
        <v>0.227373884354112</v>
      </c>
      <c r="V361" s="2" t="str">
        <f aca="false">IF(S361&lt;J361,"SIM","NÃO")</f>
        <v>NÃO</v>
      </c>
      <c r="W361" s="2" t="n">
        <v>5</v>
      </c>
      <c r="X361" s="2" t="s">
        <v>156</v>
      </c>
    </row>
    <row r="362" customFormat="false" ht="15" hidden="false" customHeight="false" outlineLevel="0" collapsed="false">
      <c r="A362" s="2" t="n">
        <v>367416594</v>
      </c>
      <c r="B362" s="29" t="n">
        <v>46231.4486805556</v>
      </c>
      <c r="C362" s="2" t="s">
        <v>198</v>
      </c>
      <c r="D362" s="2" t="s">
        <v>548</v>
      </c>
      <c r="E362" s="2" t="s">
        <v>78</v>
      </c>
      <c r="F362" s="2" t="s">
        <v>105</v>
      </c>
      <c r="G362" s="30" t="n">
        <v>17.2</v>
      </c>
      <c r="H362" s="11" t="n">
        <v>243.58</v>
      </c>
      <c r="I362" s="11" t="s">
        <v>155</v>
      </c>
      <c r="J362" s="11" t="n">
        <v>64.39</v>
      </c>
      <c r="K362" s="11" t="n">
        <v>46.98</v>
      </c>
      <c r="L362" s="11" t="n">
        <v>0.2436</v>
      </c>
      <c r="M362" s="11" t="n">
        <v>0.4872</v>
      </c>
      <c r="N362" s="11" t="n">
        <v>1</v>
      </c>
      <c r="O362" s="11" t="n">
        <v>4.5</v>
      </c>
      <c r="P362" s="11" t="n">
        <v>1.08</v>
      </c>
      <c r="Q362" s="11" t="n">
        <v>8.1</v>
      </c>
      <c r="R362" s="11" t="n">
        <f aca="false">SUM(K362:Q362)</f>
        <v>62.3908</v>
      </c>
      <c r="S362" s="11" t="n">
        <f aca="false">R362/(1-Resumo!$C$6)</f>
        <v>70.8986363636364</v>
      </c>
      <c r="T362" s="11" t="n">
        <f aca="false">S362-J362</f>
        <v>6.50863636363636</v>
      </c>
      <c r="U362" s="12" t="n">
        <f aca="false">IFERROR(S362/J362-1,0)</f>
        <v>0.101081477925708</v>
      </c>
      <c r="V362" s="2" t="str">
        <f aca="false">IF(S362&lt;J362,"SIM","NÃO")</f>
        <v>NÃO</v>
      </c>
      <c r="W362" s="2" t="n">
        <v>5</v>
      </c>
      <c r="X362" s="2" t="s">
        <v>156</v>
      </c>
    </row>
    <row r="363" customFormat="false" ht="15" hidden="false" customHeight="false" outlineLevel="0" collapsed="false">
      <c r="A363" s="2" t="n">
        <v>367430239</v>
      </c>
      <c r="B363" s="29" t="n">
        <v>46231.4730555556</v>
      </c>
      <c r="C363" s="2" t="s">
        <v>158</v>
      </c>
      <c r="D363" s="2" t="s">
        <v>549</v>
      </c>
      <c r="E363" s="2" t="s">
        <v>81</v>
      </c>
      <c r="F363" s="2" t="s">
        <v>114</v>
      </c>
      <c r="G363" s="30" t="n">
        <v>124.2</v>
      </c>
      <c r="H363" s="11" t="n">
        <v>1799.99</v>
      </c>
      <c r="I363" s="11" t="s">
        <v>155</v>
      </c>
      <c r="J363" s="11" t="n">
        <v>245.23</v>
      </c>
      <c r="K363" s="11" t="n">
        <v>239.25</v>
      </c>
      <c r="L363" s="11" t="n">
        <v>1.8</v>
      </c>
      <c r="M363" s="11" t="n">
        <v>3.6</v>
      </c>
      <c r="N363" s="11" t="n">
        <v>1</v>
      </c>
      <c r="O363" s="11" t="n">
        <v>9</v>
      </c>
      <c r="P363" s="11" t="n">
        <v>7.5</v>
      </c>
      <c r="Q363" s="11" t="n">
        <v>56.25</v>
      </c>
      <c r="R363" s="11" t="n">
        <f aca="false">SUM(K363:Q363)</f>
        <v>318.4</v>
      </c>
      <c r="S363" s="11" t="n">
        <f aca="false">R363/(1-Resumo!$C$6)</f>
        <v>361.818181818182</v>
      </c>
      <c r="T363" s="11" t="n">
        <f aca="false">S363-J363</f>
        <v>116.588181818182</v>
      </c>
      <c r="U363" s="12" t="n">
        <f aca="false">IFERROR(S363/J363-1,0)</f>
        <v>0.47542381363692</v>
      </c>
      <c r="V363" s="2" t="str">
        <f aca="false">IF(S363&lt;J363,"SIM","NÃO")</f>
        <v>NÃO</v>
      </c>
      <c r="W363" s="2" t="n">
        <v>5</v>
      </c>
      <c r="X363" s="2" t="s">
        <v>156</v>
      </c>
    </row>
    <row r="364" customFormat="false" ht="15" hidden="false" customHeight="false" outlineLevel="0" collapsed="false">
      <c r="A364" s="2" t="n">
        <v>367446783</v>
      </c>
      <c r="B364" s="29" t="n">
        <v>46231.4821990741</v>
      </c>
      <c r="C364" s="2" t="s">
        <v>369</v>
      </c>
      <c r="D364" s="2" t="s">
        <v>550</v>
      </c>
      <c r="E364" s="2" t="s">
        <v>78</v>
      </c>
      <c r="F364" s="2" t="s">
        <v>107</v>
      </c>
      <c r="G364" s="30" t="n">
        <v>40</v>
      </c>
      <c r="H364" s="11" t="n">
        <v>509.6</v>
      </c>
      <c r="I364" s="11" t="s">
        <v>155</v>
      </c>
      <c r="J364" s="11" t="n">
        <v>92.3</v>
      </c>
      <c r="K364" s="11" t="n">
        <v>93.97</v>
      </c>
      <c r="L364" s="11" t="n">
        <v>0.5096</v>
      </c>
      <c r="M364" s="11" t="n">
        <v>1.0192</v>
      </c>
      <c r="N364" s="11" t="n">
        <v>1</v>
      </c>
      <c r="O364" s="11" t="n">
        <v>4.5</v>
      </c>
      <c r="P364" s="11" t="n">
        <v>2.4</v>
      </c>
      <c r="Q364" s="11" t="n">
        <v>18</v>
      </c>
      <c r="R364" s="11" t="n">
        <f aca="false">SUM(K364:Q364)</f>
        <v>121.3988</v>
      </c>
      <c r="S364" s="11" t="n">
        <f aca="false">R364/(1-Resumo!$C$6)</f>
        <v>137.953181818182</v>
      </c>
      <c r="T364" s="11" t="n">
        <f aca="false">S364-J364</f>
        <v>45.6531818181818</v>
      </c>
      <c r="U364" s="12" t="n">
        <f aca="false">IFERROR(S364/J364-1,0)</f>
        <v>0.494617354476509</v>
      </c>
      <c r="V364" s="2" t="str">
        <f aca="false">IF(S364&lt;J364,"SIM","NÃO")</f>
        <v>NÃO</v>
      </c>
      <c r="W364" s="2" t="n">
        <v>5</v>
      </c>
      <c r="X364" s="2" t="s">
        <v>156</v>
      </c>
    </row>
    <row r="365" customFormat="false" ht="15" hidden="false" customHeight="false" outlineLevel="0" collapsed="false">
      <c r="A365" s="2" t="n">
        <v>367480619</v>
      </c>
      <c r="B365" s="29" t="n">
        <v>46231.5685648148</v>
      </c>
      <c r="C365" s="2" t="s">
        <v>153</v>
      </c>
      <c r="D365" s="2" t="s">
        <v>551</v>
      </c>
      <c r="E365" s="2" t="s">
        <v>94</v>
      </c>
      <c r="F365" s="2" t="s">
        <v>107</v>
      </c>
      <c r="G365" s="30" t="n">
        <v>39.6</v>
      </c>
      <c r="H365" s="11" t="n">
        <v>739.98</v>
      </c>
      <c r="I365" s="11" t="s">
        <v>350</v>
      </c>
      <c r="J365" s="11" t="n">
        <v>116.51</v>
      </c>
      <c r="K365" s="11" t="n">
        <v>93.97</v>
      </c>
      <c r="L365" s="11" t="n">
        <v>0.74</v>
      </c>
      <c r="M365" s="11" t="n">
        <v>1.48</v>
      </c>
      <c r="N365" s="11" t="n">
        <v>1</v>
      </c>
      <c r="O365" s="11" t="n">
        <v>4.5</v>
      </c>
      <c r="P365" s="11" t="n">
        <v>2.4</v>
      </c>
      <c r="Q365" s="11" t="n">
        <v>18</v>
      </c>
      <c r="R365" s="11" t="n">
        <f aca="false">SUM(K365:Q365)</f>
        <v>122.09</v>
      </c>
      <c r="S365" s="11" t="n">
        <f aca="false">R365/(1-Resumo!$C$6)</f>
        <v>138.738636363636</v>
      </c>
      <c r="T365" s="11" t="n">
        <f aca="false">S365-J365</f>
        <v>22.2286363636364</v>
      </c>
      <c r="U365" s="12" t="n">
        <f aca="false">IFERROR(S365/J365-1,0)</f>
        <v>0.190787369012414</v>
      </c>
      <c r="V365" s="2" t="str">
        <f aca="false">IF(S365&lt;J365,"SIM","NÃO")</f>
        <v>NÃO</v>
      </c>
      <c r="W365" s="2" t="n">
        <v>5</v>
      </c>
      <c r="X365" s="2" t="s">
        <v>156</v>
      </c>
    </row>
    <row r="366" customFormat="false" ht="15" hidden="false" customHeight="false" outlineLevel="0" collapsed="false">
      <c r="A366" s="2" t="n">
        <v>367484806</v>
      </c>
      <c r="B366" s="29" t="n">
        <v>46231.576724537</v>
      </c>
      <c r="C366" s="2" t="s">
        <v>158</v>
      </c>
      <c r="D366" s="2" t="s">
        <v>552</v>
      </c>
      <c r="E366" s="2" t="s">
        <v>78</v>
      </c>
      <c r="F366" s="2" t="s">
        <v>109</v>
      </c>
      <c r="G366" s="30" t="n">
        <v>51.3</v>
      </c>
      <c r="H366" s="11" t="n">
        <v>578.42</v>
      </c>
      <c r="I366" s="11" t="s">
        <v>155</v>
      </c>
      <c r="J366" s="11" t="n">
        <v>113.93</v>
      </c>
      <c r="K366" s="11" t="n">
        <v>112.3</v>
      </c>
      <c r="L366" s="11" t="n">
        <v>0.5784</v>
      </c>
      <c r="M366" s="11" t="n">
        <v>1.1568</v>
      </c>
      <c r="N366" s="11" t="n">
        <v>1</v>
      </c>
      <c r="O366" s="11" t="n">
        <v>4.5</v>
      </c>
      <c r="P366" s="11" t="n">
        <v>3.12</v>
      </c>
      <c r="Q366" s="11" t="n">
        <v>23.4</v>
      </c>
      <c r="R366" s="11" t="n">
        <f aca="false">SUM(K366:Q366)</f>
        <v>146.0552</v>
      </c>
      <c r="S366" s="11" t="n">
        <f aca="false">R366/(1-Resumo!$C$6)</f>
        <v>165.971818181818</v>
      </c>
      <c r="T366" s="11" t="n">
        <f aca="false">S366-J366</f>
        <v>52.0418181818181</v>
      </c>
      <c r="U366" s="12" t="n">
        <f aca="false">IFERROR(S366/J366-1,0)</f>
        <v>0.45678766068479</v>
      </c>
      <c r="V366" s="2" t="str">
        <f aca="false">IF(S366&lt;J366,"SIM","NÃO")</f>
        <v>NÃO</v>
      </c>
      <c r="W366" s="2" t="n">
        <v>5</v>
      </c>
      <c r="X366" s="2" t="s">
        <v>156</v>
      </c>
    </row>
    <row r="367" customFormat="false" ht="15" hidden="false" customHeight="false" outlineLevel="0" collapsed="false">
      <c r="A367" s="2" t="n">
        <v>367487451</v>
      </c>
      <c r="B367" s="29" t="n">
        <v>46231.5817592593</v>
      </c>
      <c r="C367" s="2" t="s">
        <v>153</v>
      </c>
      <c r="D367" s="2" t="s">
        <v>553</v>
      </c>
      <c r="E367" s="2" t="s">
        <v>78</v>
      </c>
      <c r="F367" s="2" t="s">
        <v>107</v>
      </c>
      <c r="G367" s="30" t="n">
        <v>36.8</v>
      </c>
      <c r="H367" s="11" t="n">
        <v>469.99</v>
      </c>
      <c r="I367" s="11" t="s">
        <v>350</v>
      </c>
      <c r="J367" s="11" t="n">
        <v>92.7</v>
      </c>
      <c r="K367" s="11" t="n">
        <v>93.97</v>
      </c>
      <c r="L367" s="11" t="n">
        <v>0.47</v>
      </c>
      <c r="M367" s="11" t="n">
        <v>0.94</v>
      </c>
      <c r="N367" s="11" t="n">
        <v>1</v>
      </c>
      <c r="O367" s="11" t="n">
        <v>4.5</v>
      </c>
      <c r="P367" s="11" t="n">
        <v>2.22</v>
      </c>
      <c r="Q367" s="11" t="n">
        <v>16.65</v>
      </c>
      <c r="R367" s="11" t="n">
        <f aca="false">SUM(K367:Q367)</f>
        <v>119.75</v>
      </c>
      <c r="S367" s="11" t="n">
        <f aca="false">R367/(1-Resumo!$C$6)</f>
        <v>136.079545454545</v>
      </c>
      <c r="T367" s="11" t="n">
        <f aca="false">S367-J367</f>
        <v>43.3795454545455</v>
      </c>
      <c r="U367" s="12" t="n">
        <f aca="false">IFERROR(S367/J367-1,0)</f>
        <v>0.467956261645582</v>
      </c>
      <c r="V367" s="2" t="str">
        <f aca="false">IF(S367&lt;J367,"SIM","NÃO")</f>
        <v>NÃO</v>
      </c>
      <c r="W367" s="2" t="n">
        <v>5</v>
      </c>
      <c r="X367" s="2" t="s">
        <v>156</v>
      </c>
    </row>
    <row r="368" customFormat="false" ht="15" hidden="false" customHeight="false" outlineLevel="0" collapsed="false">
      <c r="A368" s="2" t="n">
        <v>367500356</v>
      </c>
      <c r="B368" s="29" t="n">
        <v>46231.6055439815</v>
      </c>
      <c r="C368" s="2" t="s">
        <v>158</v>
      </c>
      <c r="D368" s="2" t="s">
        <v>435</v>
      </c>
      <c r="E368" s="2" t="s">
        <v>436</v>
      </c>
      <c r="F368" s="2" t="s">
        <v>106</v>
      </c>
      <c r="G368" s="30" t="n">
        <v>22</v>
      </c>
      <c r="H368" s="11" t="n">
        <v>727.37</v>
      </c>
      <c r="I368" s="11" t="s">
        <v>350</v>
      </c>
      <c r="J368" s="11" t="n">
        <v>105.9</v>
      </c>
      <c r="K368" s="11" t="n">
        <v>108.83</v>
      </c>
      <c r="L368" s="11" t="n">
        <v>0.7274</v>
      </c>
      <c r="M368" s="11" t="n">
        <v>1.4547</v>
      </c>
      <c r="N368" s="11" t="n">
        <v>1</v>
      </c>
      <c r="O368" s="11" t="n">
        <v>4.5</v>
      </c>
      <c r="P368" s="11" t="n">
        <v>1.32</v>
      </c>
      <c r="Q368" s="11" t="n">
        <v>9.9</v>
      </c>
      <c r="R368" s="11" t="n">
        <f aca="false">SUM(K368:Q368)</f>
        <v>127.7321</v>
      </c>
      <c r="S368" s="11" t="n">
        <f aca="false">R368/(1-Resumo!$C$6)</f>
        <v>145.150113636364</v>
      </c>
      <c r="T368" s="11" t="n">
        <f aca="false">S368-J368</f>
        <v>39.2501136363636</v>
      </c>
      <c r="U368" s="12" t="n">
        <f aca="false">IFERROR(S368/J368-1,0)</f>
        <v>0.37063374538587</v>
      </c>
      <c r="V368" s="2" t="str">
        <f aca="false">IF(S368&lt;J368,"SIM","NÃO")</f>
        <v>NÃO</v>
      </c>
      <c r="W368" s="2" t="n">
        <v>10</v>
      </c>
      <c r="X368" s="2" t="s">
        <v>161</v>
      </c>
    </row>
    <row r="369" customFormat="false" ht="15" hidden="false" customHeight="false" outlineLevel="0" collapsed="false">
      <c r="A369" s="2" t="n">
        <v>367511290</v>
      </c>
      <c r="B369" s="29" t="n">
        <v>46231.6268055556</v>
      </c>
      <c r="C369" s="2" t="s">
        <v>153</v>
      </c>
      <c r="D369" s="2" t="s">
        <v>554</v>
      </c>
      <c r="E369" s="2" t="s">
        <v>78</v>
      </c>
      <c r="F369" s="2" t="s">
        <v>109</v>
      </c>
      <c r="G369" s="30" t="n">
        <v>52.3</v>
      </c>
      <c r="H369" s="11" t="n">
        <v>685.84</v>
      </c>
      <c r="I369" s="11" t="s">
        <v>350</v>
      </c>
      <c r="J369" s="11" t="n">
        <v>113.56</v>
      </c>
      <c r="K369" s="11" t="n">
        <v>112.3</v>
      </c>
      <c r="L369" s="11" t="n">
        <v>0.6858</v>
      </c>
      <c r="M369" s="11" t="n">
        <v>1.3717</v>
      </c>
      <c r="N369" s="11" t="n">
        <v>1</v>
      </c>
      <c r="O369" s="11" t="n">
        <v>4.5</v>
      </c>
      <c r="P369" s="11" t="n">
        <v>3.18</v>
      </c>
      <c r="Q369" s="11" t="n">
        <v>23.85</v>
      </c>
      <c r="R369" s="11" t="n">
        <f aca="false">SUM(K369:Q369)</f>
        <v>146.8875</v>
      </c>
      <c r="S369" s="11" t="n">
        <f aca="false">R369/(1-Resumo!$C$6)</f>
        <v>166.917613636364</v>
      </c>
      <c r="T369" s="11" t="n">
        <f aca="false">S369-J369</f>
        <v>53.3576136363636</v>
      </c>
      <c r="U369" s="12" t="n">
        <f aca="false">IFERROR(S369/J369-1,0)</f>
        <v>0.469862747766499</v>
      </c>
      <c r="V369" s="2" t="str">
        <f aca="false">IF(S369&lt;J369,"SIM","NÃO")</f>
        <v>NÃO</v>
      </c>
      <c r="W369" s="2" t="n">
        <v>5</v>
      </c>
      <c r="X369" s="2" t="s">
        <v>156</v>
      </c>
    </row>
    <row r="370" customFormat="false" ht="15" hidden="false" customHeight="false" outlineLevel="0" collapsed="false">
      <c r="A370" s="2" t="n">
        <v>367510741</v>
      </c>
      <c r="B370" s="29" t="n">
        <v>46231.6302314815</v>
      </c>
      <c r="C370" s="2" t="s">
        <v>178</v>
      </c>
      <c r="D370" s="2" t="s">
        <v>555</v>
      </c>
      <c r="E370" s="2" t="s">
        <v>78</v>
      </c>
      <c r="F370" s="2" t="s">
        <v>107</v>
      </c>
      <c r="G370" s="30" t="n">
        <v>36.9</v>
      </c>
      <c r="H370" s="11" t="n">
        <v>459.99</v>
      </c>
      <c r="I370" s="11" t="s">
        <v>155</v>
      </c>
      <c r="J370" s="11" t="n">
        <v>92.06</v>
      </c>
      <c r="K370" s="11" t="n">
        <v>93.97</v>
      </c>
      <c r="L370" s="11" t="n">
        <v>0.46</v>
      </c>
      <c r="M370" s="11" t="n">
        <v>0.92</v>
      </c>
      <c r="N370" s="11" t="n">
        <v>1</v>
      </c>
      <c r="O370" s="11" t="n">
        <v>4.5</v>
      </c>
      <c r="P370" s="11" t="n">
        <v>2.22</v>
      </c>
      <c r="Q370" s="11" t="n">
        <v>16.65</v>
      </c>
      <c r="R370" s="11" t="n">
        <f aca="false">SUM(K370:Q370)</f>
        <v>119.72</v>
      </c>
      <c r="S370" s="11" t="n">
        <f aca="false">R370/(1-Resumo!$C$6)</f>
        <v>136.045454545455</v>
      </c>
      <c r="T370" s="11" t="n">
        <f aca="false">S370-J370</f>
        <v>43.9854545454545</v>
      </c>
      <c r="U370" s="12" t="n">
        <f aca="false">IFERROR(S370/J370-1,0)</f>
        <v>0.477791163865463</v>
      </c>
      <c r="V370" s="2" t="str">
        <f aca="false">IF(S370&lt;J370,"SIM","NÃO")</f>
        <v>NÃO</v>
      </c>
      <c r="W370" s="2" t="n">
        <v>5</v>
      </c>
      <c r="X370" s="2" t="s">
        <v>156</v>
      </c>
    </row>
    <row r="371" customFormat="false" ht="15" hidden="false" customHeight="false" outlineLevel="0" collapsed="false">
      <c r="A371" s="2" t="n">
        <v>367547120</v>
      </c>
      <c r="B371" s="29" t="n">
        <v>46231.6924189815</v>
      </c>
      <c r="C371" s="2" t="s">
        <v>153</v>
      </c>
      <c r="D371" s="2" t="s">
        <v>556</v>
      </c>
      <c r="E371" s="2" t="s">
        <v>78</v>
      </c>
      <c r="F371" s="2" t="s">
        <v>107</v>
      </c>
      <c r="G371" s="30" t="n">
        <v>37.2</v>
      </c>
      <c r="H371" s="11" t="n">
        <v>399.99</v>
      </c>
      <c r="I371" s="11" t="s">
        <v>155</v>
      </c>
      <c r="J371" s="11" t="n">
        <v>91.77</v>
      </c>
      <c r="K371" s="11" t="n">
        <v>93.97</v>
      </c>
      <c r="L371" s="11" t="n">
        <v>0.4</v>
      </c>
      <c r="M371" s="11" t="n">
        <v>0.8</v>
      </c>
      <c r="N371" s="11" t="n">
        <v>1</v>
      </c>
      <c r="O371" s="11" t="n">
        <v>4.5</v>
      </c>
      <c r="P371" s="11" t="n">
        <v>2.28</v>
      </c>
      <c r="Q371" s="11" t="n">
        <v>17.1</v>
      </c>
      <c r="R371" s="11" t="n">
        <f aca="false">SUM(K371:Q371)</f>
        <v>120.05</v>
      </c>
      <c r="S371" s="11" t="n">
        <f aca="false">R371/(1-Resumo!$C$6)</f>
        <v>136.420454545455</v>
      </c>
      <c r="T371" s="11" t="n">
        <f aca="false">S371-J371</f>
        <v>44.6504545454546</v>
      </c>
      <c r="U371" s="12" t="n">
        <f aca="false">IFERROR(S371/J371-1,0)</f>
        <v>0.48654739615838</v>
      </c>
      <c r="V371" s="2" t="str">
        <f aca="false">IF(S371&lt;J371,"SIM","NÃO")</f>
        <v>NÃO</v>
      </c>
      <c r="W371" s="2" t="n">
        <v>5</v>
      </c>
      <c r="X371" s="2" t="s">
        <v>156</v>
      </c>
    </row>
    <row r="372" customFormat="false" ht="15" hidden="false" customHeight="false" outlineLevel="0" collapsed="false">
      <c r="A372" s="2" t="n">
        <v>367552295</v>
      </c>
      <c r="B372" s="29" t="n">
        <v>46231.7067708333</v>
      </c>
      <c r="C372" s="2" t="s">
        <v>153</v>
      </c>
      <c r="D372" s="2" t="s">
        <v>557</v>
      </c>
      <c r="E372" s="2" t="s">
        <v>78</v>
      </c>
      <c r="F372" s="2" t="s">
        <v>114</v>
      </c>
      <c r="G372" s="30" t="n">
        <v>132.8</v>
      </c>
      <c r="H372" s="11" t="n">
        <v>1665.88</v>
      </c>
      <c r="I372" s="11" t="s">
        <v>155</v>
      </c>
      <c r="J372" s="11" t="n">
        <v>234.27</v>
      </c>
      <c r="K372" s="11" t="n">
        <v>239.25</v>
      </c>
      <c r="L372" s="11" t="n">
        <v>1.6659</v>
      </c>
      <c r="M372" s="11" t="n">
        <v>3.3318</v>
      </c>
      <c r="N372" s="11" t="n">
        <v>1</v>
      </c>
      <c r="O372" s="11" t="n">
        <v>9</v>
      </c>
      <c r="P372" s="11" t="n">
        <v>7.98</v>
      </c>
      <c r="Q372" s="11" t="n">
        <v>59.85</v>
      </c>
      <c r="R372" s="11" t="n">
        <f aca="false">SUM(K372:Q372)</f>
        <v>322.0777</v>
      </c>
      <c r="S372" s="11" t="n">
        <f aca="false">R372/(1-Resumo!$C$6)</f>
        <v>365.997386363636</v>
      </c>
      <c r="T372" s="11" t="n">
        <f aca="false">S372-J372</f>
        <v>131.727386363636</v>
      </c>
      <c r="U372" s="12" t="n">
        <f aca="false">IFERROR(S372/J372-1,0)</f>
        <v>0.562288753846572</v>
      </c>
      <c r="V372" s="2" t="str">
        <f aca="false">IF(S372&lt;J372,"SIM","NÃO")</f>
        <v>NÃO</v>
      </c>
      <c r="W372" s="2" t="n">
        <v>5</v>
      </c>
      <c r="X372" s="2" t="s">
        <v>156</v>
      </c>
    </row>
    <row r="373" customFormat="false" ht="15" hidden="false" customHeight="false" outlineLevel="0" collapsed="false">
      <c r="A373" s="2" t="n">
        <v>367554894</v>
      </c>
      <c r="B373" s="29" t="n">
        <v>46231.7133912037</v>
      </c>
      <c r="C373" s="2" t="s">
        <v>153</v>
      </c>
      <c r="D373" s="2" t="s">
        <v>558</v>
      </c>
      <c r="E373" s="2" t="s">
        <v>78</v>
      </c>
      <c r="F373" s="2" t="s">
        <v>114</v>
      </c>
      <c r="G373" s="30" t="n">
        <v>141.5</v>
      </c>
      <c r="H373" s="11" t="n">
        <v>1699.99</v>
      </c>
      <c r="I373" s="11" t="s">
        <v>350</v>
      </c>
      <c r="J373" s="11" t="n">
        <v>235.55</v>
      </c>
      <c r="K373" s="11" t="n">
        <v>239.25</v>
      </c>
      <c r="L373" s="11" t="n">
        <v>1.7</v>
      </c>
      <c r="M373" s="11" t="n">
        <v>3.4</v>
      </c>
      <c r="N373" s="11" t="n">
        <v>1</v>
      </c>
      <c r="O373" s="11" t="n">
        <v>9</v>
      </c>
      <c r="P373" s="11" t="n">
        <v>8.52</v>
      </c>
      <c r="Q373" s="11" t="n">
        <v>63.9</v>
      </c>
      <c r="R373" s="11" t="n">
        <f aca="false">SUM(K373:Q373)</f>
        <v>326.77</v>
      </c>
      <c r="S373" s="11" t="n">
        <f aca="false">R373/(1-Resumo!$C$6)</f>
        <v>371.329545454545</v>
      </c>
      <c r="T373" s="11" t="n">
        <f aca="false">S373-J373</f>
        <v>135.779545454545</v>
      </c>
      <c r="U373" s="12" t="n">
        <f aca="false">IFERROR(S373/J373-1,0)</f>
        <v>0.576436193821038</v>
      </c>
      <c r="V373" s="2" t="str">
        <f aca="false">IF(S373&lt;J373,"SIM","NÃO")</f>
        <v>NÃO</v>
      </c>
      <c r="W373" s="2" t="n">
        <v>5</v>
      </c>
      <c r="X373" s="2" t="s">
        <v>156</v>
      </c>
    </row>
    <row r="374" customFormat="false" ht="15" hidden="false" customHeight="false" outlineLevel="0" collapsed="false">
      <c r="A374" s="2" t="n">
        <v>367691253</v>
      </c>
      <c r="B374" s="29" t="n">
        <v>46231.9431365741</v>
      </c>
      <c r="C374" s="2" t="s">
        <v>153</v>
      </c>
      <c r="D374" s="2" t="s">
        <v>559</v>
      </c>
      <c r="E374" s="2" t="s">
        <v>78</v>
      </c>
      <c r="F374" s="2" t="s">
        <v>109</v>
      </c>
      <c r="G374" s="30" t="n">
        <v>52.3</v>
      </c>
      <c r="H374" s="11" t="n">
        <v>685.84</v>
      </c>
      <c r="I374" s="11" t="s">
        <v>350</v>
      </c>
      <c r="J374" s="11" t="n">
        <v>113.56</v>
      </c>
      <c r="K374" s="11" t="n">
        <v>112.3</v>
      </c>
      <c r="L374" s="11" t="n">
        <v>0.6858</v>
      </c>
      <c r="M374" s="11" t="n">
        <v>1.3717</v>
      </c>
      <c r="N374" s="11" t="n">
        <v>1</v>
      </c>
      <c r="O374" s="11" t="n">
        <v>4.5</v>
      </c>
      <c r="P374" s="11" t="n">
        <v>3.18</v>
      </c>
      <c r="Q374" s="11" t="n">
        <v>23.85</v>
      </c>
      <c r="R374" s="11" t="n">
        <f aca="false">SUM(K374:Q374)</f>
        <v>146.8875</v>
      </c>
      <c r="S374" s="11" t="n">
        <f aca="false">R374/(1-Resumo!$C$6)</f>
        <v>166.917613636364</v>
      </c>
      <c r="T374" s="11" t="n">
        <f aca="false">S374-J374</f>
        <v>53.3576136363636</v>
      </c>
      <c r="U374" s="12" t="n">
        <f aca="false">IFERROR(S374/J374-1,0)</f>
        <v>0.469862747766499</v>
      </c>
      <c r="V374" s="2" t="str">
        <f aca="false">IF(S374&lt;J374,"SIM","NÃO")</f>
        <v>NÃO</v>
      </c>
      <c r="W374" s="2" t="n">
        <v>5</v>
      </c>
      <c r="X374" s="2" t="s">
        <v>156</v>
      </c>
    </row>
    <row r="375" customFormat="false" ht="15" hidden="false" customHeight="false" outlineLevel="0" collapsed="false">
      <c r="A375" s="2" t="n">
        <v>367698848</v>
      </c>
      <c r="B375" s="29" t="n">
        <v>46231.9587268519</v>
      </c>
      <c r="C375" s="2" t="s">
        <v>153</v>
      </c>
      <c r="D375" s="2" t="s">
        <v>560</v>
      </c>
      <c r="E375" s="2" t="s">
        <v>78</v>
      </c>
      <c r="F375" s="2" t="s">
        <v>113</v>
      </c>
      <c r="G375" s="30" t="n">
        <v>106.5</v>
      </c>
      <c r="H375" s="11" t="n">
        <v>1249.99</v>
      </c>
      <c r="I375" s="11" t="s">
        <v>155</v>
      </c>
      <c r="J375" s="11" t="n">
        <v>185.64</v>
      </c>
      <c r="K375" s="11" t="n">
        <v>201.59</v>
      </c>
      <c r="L375" s="11" t="n">
        <v>1.25</v>
      </c>
      <c r="M375" s="11" t="n">
        <v>2.5</v>
      </c>
      <c r="N375" s="11" t="n">
        <v>1</v>
      </c>
      <c r="O375" s="11" t="n">
        <v>9</v>
      </c>
      <c r="P375" s="11" t="n">
        <v>6.42</v>
      </c>
      <c r="Q375" s="11" t="n">
        <v>48.15</v>
      </c>
      <c r="R375" s="11" t="n">
        <f aca="false">SUM(K375:Q375)</f>
        <v>269.91</v>
      </c>
      <c r="S375" s="11" t="n">
        <f aca="false">R375/(1-Resumo!$C$6)</f>
        <v>306.715909090909</v>
      </c>
      <c r="T375" s="11" t="n">
        <f aca="false">S375-J375</f>
        <v>121.075909090909</v>
      </c>
      <c r="U375" s="12" t="n">
        <f aca="false">IFERROR(S375/J375-1,0)</f>
        <v>0.652208086031616</v>
      </c>
      <c r="V375" s="2" t="str">
        <f aca="false">IF(S375&lt;J375,"SIM","NÃO")</f>
        <v>NÃO</v>
      </c>
      <c r="W375" s="2" t="n">
        <v>5</v>
      </c>
      <c r="X375" s="2" t="s">
        <v>156</v>
      </c>
    </row>
    <row r="376" customFormat="false" ht="15" hidden="false" customHeight="false" outlineLevel="0" collapsed="false">
      <c r="A376" s="2" t="n">
        <v>367884392</v>
      </c>
      <c r="B376" s="29" t="n">
        <v>46232.4217939815</v>
      </c>
      <c r="C376" s="2" t="s">
        <v>153</v>
      </c>
      <c r="D376" s="2" t="s">
        <v>561</v>
      </c>
      <c r="E376" s="2" t="s">
        <v>188</v>
      </c>
      <c r="F376" s="2" t="s">
        <v>107</v>
      </c>
      <c r="G376" s="30" t="n">
        <v>40</v>
      </c>
      <c r="H376" s="11" t="n">
        <v>599.99</v>
      </c>
      <c r="I376" s="11" t="s">
        <v>350</v>
      </c>
      <c r="J376" s="11" t="n">
        <v>125.1</v>
      </c>
      <c r="K376" s="11" t="n">
        <v>124.38</v>
      </c>
      <c r="L376" s="11" t="n">
        <v>0.6</v>
      </c>
      <c r="M376" s="11" t="n">
        <v>1.2</v>
      </c>
      <c r="N376" s="11" t="n">
        <v>1</v>
      </c>
      <c r="O376" s="11" t="n">
        <v>4.5</v>
      </c>
      <c r="P376" s="11" t="n">
        <v>2.4</v>
      </c>
      <c r="Q376" s="11" t="n">
        <v>18</v>
      </c>
      <c r="R376" s="11" t="n">
        <f aca="false">SUM(K376:Q376)</f>
        <v>152.08</v>
      </c>
      <c r="S376" s="11" t="n">
        <f aca="false">R376/(1-Resumo!$C$6)</f>
        <v>172.818181818182</v>
      </c>
      <c r="T376" s="11" t="n">
        <f aca="false">S376-J376</f>
        <v>47.7181818181818</v>
      </c>
      <c r="U376" s="12" t="n">
        <f aca="false">IFERROR(S376/J376-1,0)</f>
        <v>0.381440302303612</v>
      </c>
      <c r="V376" s="2" t="str">
        <f aca="false">IF(S376&lt;J376,"SIM","NÃO")</f>
        <v>NÃO</v>
      </c>
      <c r="W376" s="2" t="n">
        <v>10</v>
      </c>
      <c r="X376" s="2" t="s">
        <v>161</v>
      </c>
    </row>
    <row r="377" customFormat="false" ht="15" hidden="false" customHeight="false" outlineLevel="0" collapsed="false">
      <c r="A377" s="2" t="n">
        <v>367898631</v>
      </c>
      <c r="B377" s="29" t="n">
        <v>46232.4442939815</v>
      </c>
      <c r="C377" s="2" t="s">
        <v>153</v>
      </c>
      <c r="D377" s="2" t="s">
        <v>562</v>
      </c>
      <c r="E377" s="2" t="s">
        <v>80</v>
      </c>
      <c r="F377" s="2" t="s">
        <v>106</v>
      </c>
      <c r="G377" s="30" t="n">
        <v>23</v>
      </c>
      <c r="H377" s="11" t="n">
        <v>349.99</v>
      </c>
      <c r="I377" s="11" t="s">
        <v>155</v>
      </c>
      <c r="J377" s="11" t="n">
        <v>101.07</v>
      </c>
      <c r="K377" s="11" t="n">
        <v>82.21</v>
      </c>
      <c r="L377" s="11" t="n">
        <v>0.35</v>
      </c>
      <c r="M377" s="11" t="n">
        <v>0.7</v>
      </c>
      <c r="N377" s="11" t="n">
        <v>1</v>
      </c>
      <c r="O377" s="11" t="n">
        <v>4.5</v>
      </c>
      <c r="P377" s="11" t="n">
        <v>1.38</v>
      </c>
      <c r="Q377" s="11" t="n">
        <v>10.35</v>
      </c>
      <c r="R377" s="11" t="n">
        <f aca="false">SUM(K377:Q377)</f>
        <v>100.49</v>
      </c>
      <c r="S377" s="11" t="n">
        <f aca="false">R377/(1-Resumo!$C$6)</f>
        <v>114.193181818182</v>
      </c>
      <c r="T377" s="11" t="n">
        <f aca="false">S377-J377</f>
        <v>13.1231818181818</v>
      </c>
      <c r="U377" s="12" t="n">
        <f aca="false">IFERROR(S377/J377-1,0)</f>
        <v>0.129842503395486</v>
      </c>
      <c r="V377" s="2" t="str">
        <f aca="false">IF(S377&lt;J377,"SIM","NÃO")</f>
        <v>NÃO</v>
      </c>
      <c r="W377" s="2" t="n">
        <v>5</v>
      </c>
      <c r="X377" s="2" t="s">
        <v>156</v>
      </c>
    </row>
    <row r="378" customFormat="false" ht="15" hidden="false" customHeight="false" outlineLevel="0" collapsed="false">
      <c r="A378" s="2" t="n">
        <v>367914862</v>
      </c>
      <c r="B378" s="29" t="n">
        <v>46232.4758333333</v>
      </c>
      <c r="C378" s="2" t="s">
        <v>194</v>
      </c>
      <c r="D378" s="2" t="s">
        <v>563</v>
      </c>
      <c r="E378" s="2" t="s">
        <v>78</v>
      </c>
      <c r="F378" s="2" t="s">
        <v>106</v>
      </c>
      <c r="G378" s="30" t="n">
        <v>33.7</v>
      </c>
      <c r="H378" s="11" t="n">
        <v>387.19</v>
      </c>
      <c r="I378" s="11" t="s">
        <v>155</v>
      </c>
      <c r="J378" s="11" t="n">
        <v>82.17</v>
      </c>
      <c r="K378" s="11" t="n">
        <v>82.21</v>
      </c>
      <c r="L378" s="11" t="n">
        <v>0.3872</v>
      </c>
      <c r="M378" s="11" t="n">
        <v>0.7744</v>
      </c>
      <c r="N378" s="11" t="n">
        <v>1</v>
      </c>
      <c r="O378" s="11" t="n">
        <v>4.5</v>
      </c>
      <c r="P378" s="11" t="n">
        <v>2.04</v>
      </c>
      <c r="Q378" s="11" t="n">
        <v>15.3</v>
      </c>
      <c r="R378" s="11" t="n">
        <f aca="false">SUM(K378:Q378)</f>
        <v>106.2116</v>
      </c>
      <c r="S378" s="11" t="n">
        <f aca="false">R378/(1-Resumo!$C$6)</f>
        <v>120.695</v>
      </c>
      <c r="T378" s="11" t="n">
        <f aca="false">S378-J378</f>
        <v>38.525</v>
      </c>
      <c r="U378" s="12" t="n">
        <f aca="false">IFERROR(S378/J378-1,0)</f>
        <v>0.468845077278812</v>
      </c>
      <c r="V378" s="2" t="str">
        <f aca="false">IF(S378&lt;J378,"SIM","NÃO")</f>
        <v>NÃO</v>
      </c>
      <c r="W378" s="2" t="n">
        <v>5</v>
      </c>
      <c r="X378" s="2" t="s">
        <v>156</v>
      </c>
    </row>
    <row r="379" customFormat="false" ht="15" hidden="false" customHeight="false" outlineLevel="0" collapsed="false">
      <c r="A379" s="2" t="n">
        <v>367921582</v>
      </c>
      <c r="B379" s="29" t="n">
        <v>46232.4829282407</v>
      </c>
      <c r="C379" s="2" t="s">
        <v>153</v>
      </c>
      <c r="D379" s="2" t="s">
        <v>564</v>
      </c>
      <c r="E379" s="2" t="s">
        <v>88</v>
      </c>
      <c r="F379" s="2" t="s">
        <v>108</v>
      </c>
      <c r="G379" s="30" t="n">
        <v>44.5</v>
      </c>
      <c r="H379" s="11" t="n">
        <v>685.62</v>
      </c>
      <c r="I379" s="11" t="s">
        <v>350</v>
      </c>
      <c r="J379" s="11" t="n">
        <v>131.17</v>
      </c>
      <c r="K379" s="11" t="n">
        <v>124.38</v>
      </c>
      <c r="L379" s="11" t="n">
        <v>0.6856</v>
      </c>
      <c r="M379" s="11" t="n">
        <v>1.3712</v>
      </c>
      <c r="N379" s="11" t="n">
        <v>1</v>
      </c>
      <c r="O379" s="11" t="n">
        <v>4.5</v>
      </c>
      <c r="P379" s="11" t="n">
        <v>2.7</v>
      </c>
      <c r="Q379" s="11" t="n">
        <v>20.25</v>
      </c>
      <c r="R379" s="11" t="n">
        <f aca="false">SUM(K379:Q379)</f>
        <v>154.8868</v>
      </c>
      <c r="S379" s="11" t="n">
        <f aca="false">R379/(1-Resumo!$C$6)</f>
        <v>176.007727272727</v>
      </c>
      <c r="T379" s="11" t="n">
        <f aca="false">S379-J379</f>
        <v>44.8377272727273</v>
      </c>
      <c r="U379" s="12" t="n">
        <f aca="false">IFERROR(S379/J379-1,0)</f>
        <v>0.341829132215654</v>
      </c>
      <c r="V379" s="2" t="str">
        <f aca="false">IF(S379&lt;J379,"SIM","NÃO")</f>
        <v>NÃO</v>
      </c>
      <c r="W379" s="2" t="n">
        <v>10</v>
      </c>
      <c r="X379" s="2" t="s">
        <v>156</v>
      </c>
    </row>
    <row r="380" customFormat="false" ht="15" hidden="false" customHeight="false" outlineLevel="0" collapsed="false">
      <c r="A380" s="2" t="n">
        <v>367960788</v>
      </c>
      <c r="B380" s="29" t="n">
        <v>46232.5584027778</v>
      </c>
      <c r="C380" s="2" t="s">
        <v>153</v>
      </c>
      <c r="D380" s="2" t="s">
        <v>565</v>
      </c>
      <c r="E380" s="2" t="s">
        <v>78</v>
      </c>
      <c r="F380" s="2" t="s">
        <v>105</v>
      </c>
      <c r="G380" s="30" t="n">
        <v>19.9</v>
      </c>
      <c r="H380" s="11" t="n">
        <v>309.99</v>
      </c>
      <c r="I380" s="11" t="s">
        <v>350</v>
      </c>
      <c r="J380" s="11" t="n">
        <v>66.27</v>
      </c>
      <c r="K380" s="11" t="n">
        <v>46.98</v>
      </c>
      <c r="L380" s="11" t="n">
        <v>0.31</v>
      </c>
      <c r="M380" s="11" t="n">
        <v>0.62</v>
      </c>
      <c r="N380" s="11" t="n">
        <v>1</v>
      </c>
      <c r="O380" s="11" t="n">
        <v>4.5</v>
      </c>
      <c r="P380" s="11" t="n">
        <v>1.2</v>
      </c>
      <c r="Q380" s="11" t="n">
        <v>9</v>
      </c>
      <c r="R380" s="11" t="n">
        <f aca="false">SUM(K380:Q380)</f>
        <v>63.61</v>
      </c>
      <c r="S380" s="11" t="n">
        <f aca="false">R380/(1-Resumo!$C$6)</f>
        <v>72.2840909090909</v>
      </c>
      <c r="T380" s="11" t="n">
        <f aca="false">S380-J380</f>
        <v>6.01409090909091</v>
      </c>
      <c r="U380" s="12" t="n">
        <f aca="false">IFERROR(S380/J380-1,0)</f>
        <v>0.0907513340741046</v>
      </c>
      <c r="V380" s="2" t="str">
        <f aca="false">IF(S380&lt;J380,"SIM","NÃO")</f>
        <v>NÃO</v>
      </c>
      <c r="W380" s="2" t="n">
        <v>5</v>
      </c>
      <c r="X380" s="2" t="s">
        <v>156</v>
      </c>
    </row>
    <row r="381" customFormat="false" ht="15" hidden="false" customHeight="false" outlineLevel="0" collapsed="false">
      <c r="A381" s="2" t="n">
        <v>367995414</v>
      </c>
      <c r="B381" s="29" t="n">
        <v>46232.6030439815</v>
      </c>
      <c r="C381" s="2" t="s">
        <v>158</v>
      </c>
      <c r="D381" s="2" t="s">
        <v>566</v>
      </c>
      <c r="E381" s="2" t="s">
        <v>80</v>
      </c>
      <c r="F381" s="2" t="s">
        <v>106</v>
      </c>
      <c r="G381" s="30" t="n">
        <v>33.21</v>
      </c>
      <c r="H381" s="11" t="n">
        <v>378.64</v>
      </c>
      <c r="I381" s="11" t="s">
        <v>155</v>
      </c>
      <c r="J381" s="11" t="n">
        <v>101.2</v>
      </c>
      <c r="K381" s="11" t="n">
        <v>82.21</v>
      </c>
      <c r="L381" s="11" t="n">
        <v>0.3786</v>
      </c>
      <c r="M381" s="11" t="n">
        <v>0.7573</v>
      </c>
      <c r="N381" s="11" t="n">
        <v>1</v>
      </c>
      <c r="O381" s="11" t="n">
        <v>4.5</v>
      </c>
      <c r="P381" s="11" t="n">
        <v>2.04</v>
      </c>
      <c r="Q381" s="11" t="n">
        <v>15.3</v>
      </c>
      <c r="R381" s="11" t="n">
        <f aca="false">SUM(K381:Q381)</f>
        <v>106.1859</v>
      </c>
      <c r="S381" s="11" t="n">
        <f aca="false">R381/(1-Resumo!$C$6)</f>
        <v>120.665795454545</v>
      </c>
      <c r="T381" s="11" t="n">
        <f aca="false">S381-J381</f>
        <v>19.4657954545454</v>
      </c>
      <c r="U381" s="12" t="n">
        <f aca="false">IFERROR(S381/J381-1,0)</f>
        <v>0.192349757455983</v>
      </c>
      <c r="V381" s="2" t="str">
        <f aca="false">IF(S381&lt;J381,"SIM","NÃO")</f>
        <v>NÃO</v>
      </c>
      <c r="W381" s="2" t="n">
        <v>5</v>
      </c>
      <c r="X381" s="2" t="s">
        <v>156</v>
      </c>
    </row>
    <row r="382" customFormat="false" ht="15" hidden="false" customHeight="false" outlineLevel="0" collapsed="false">
      <c r="A382" s="2" t="n">
        <v>368000576</v>
      </c>
      <c r="B382" s="29" t="n">
        <v>46232.6139699074</v>
      </c>
      <c r="C382" s="2" t="s">
        <v>153</v>
      </c>
      <c r="D382" s="2" t="s">
        <v>567</v>
      </c>
      <c r="E382" s="2" t="s">
        <v>78</v>
      </c>
      <c r="F382" s="2" t="s">
        <v>113</v>
      </c>
      <c r="G382" s="30" t="n">
        <v>106.5</v>
      </c>
      <c r="H382" s="11" t="n">
        <v>1199.99</v>
      </c>
      <c r="I382" s="11" t="s">
        <v>155</v>
      </c>
      <c r="J382" s="11" t="n">
        <v>185.4</v>
      </c>
      <c r="K382" s="11" t="n">
        <v>201.59</v>
      </c>
      <c r="L382" s="11" t="n">
        <v>1.2</v>
      </c>
      <c r="M382" s="11" t="n">
        <v>2.4</v>
      </c>
      <c r="N382" s="11" t="n">
        <v>1</v>
      </c>
      <c r="O382" s="11" t="n">
        <v>9</v>
      </c>
      <c r="P382" s="11" t="n">
        <v>6.42</v>
      </c>
      <c r="Q382" s="11" t="n">
        <v>48.15</v>
      </c>
      <c r="R382" s="11" t="n">
        <f aca="false">SUM(K382:Q382)</f>
        <v>269.76</v>
      </c>
      <c r="S382" s="11" t="n">
        <f aca="false">R382/(1-Resumo!$C$6)</f>
        <v>306.545454545455</v>
      </c>
      <c r="T382" s="11" t="n">
        <f aca="false">S382-J382</f>
        <v>121.145454545455</v>
      </c>
      <c r="U382" s="12" t="n">
        <f aca="false">IFERROR(S382/J382-1,0)</f>
        <v>0.653427478670197</v>
      </c>
      <c r="V382" s="2" t="str">
        <f aca="false">IF(S382&lt;J382,"SIM","NÃO")</f>
        <v>NÃO</v>
      </c>
      <c r="W382" s="2" t="n">
        <v>5</v>
      </c>
      <c r="X382" s="2" t="s">
        <v>156</v>
      </c>
    </row>
    <row r="383" customFormat="false" ht="15" hidden="false" customHeight="false" outlineLevel="0" collapsed="false">
      <c r="A383" s="2" t="n">
        <v>368000867</v>
      </c>
      <c r="B383" s="29" t="n">
        <v>46232.6148611111</v>
      </c>
      <c r="C383" s="2" t="s">
        <v>153</v>
      </c>
      <c r="D383" s="2" t="s">
        <v>568</v>
      </c>
      <c r="E383" s="2" t="s">
        <v>186</v>
      </c>
      <c r="F383" s="2" t="s">
        <v>110</v>
      </c>
      <c r="G383" s="30" t="n">
        <v>62.8</v>
      </c>
      <c r="H383" s="11" t="n">
        <v>819.99</v>
      </c>
      <c r="I383" s="11" t="s">
        <v>350</v>
      </c>
      <c r="J383" s="11" t="n">
        <v>155.22</v>
      </c>
      <c r="K383" s="11" t="n">
        <v>131.02</v>
      </c>
      <c r="L383" s="11" t="n">
        <v>0.82</v>
      </c>
      <c r="M383" s="11" t="n">
        <v>1.64</v>
      </c>
      <c r="N383" s="11" t="n">
        <v>1</v>
      </c>
      <c r="O383" s="11" t="n">
        <v>4.5</v>
      </c>
      <c r="P383" s="11" t="n">
        <v>3.78</v>
      </c>
      <c r="Q383" s="11" t="n">
        <v>28.35</v>
      </c>
      <c r="R383" s="11" t="n">
        <f aca="false">SUM(K383:Q383)</f>
        <v>171.11</v>
      </c>
      <c r="S383" s="11" t="n">
        <f aca="false">R383/(1-Resumo!$C$6)</f>
        <v>194.443181818182</v>
      </c>
      <c r="T383" s="11" t="n">
        <f aca="false">S383-J383</f>
        <v>39.2231818181818</v>
      </c>
      <c r="U383" s="12" t="n">
        <f aca="false">IFERROR(S383/J383-1,0)</f>
        <v>0.252694123297139</v>
      </c>
      <c r="V383" s="2" t="str">
        <f aca="false">IF(S383&lt;J383,"SIM","NÃO")</f>
        <v>NÃO</v>
      </c>
      <c r="W383" s="2" t="n">
        <v>5</v>
      </c>
      <c r="X383" s="2" t="s">
        <v>161</v>
      </c>
    </row>
    <row r="384" customFormat="false" ht="15" hidden="false" customHeight="false" outlineLevel="0" collapsed="false">
      <c r="A384" s="2" t="n">
        <v>368003777</v>
      </c>
      <c r="B384" s="29" t="n">
        <v>46232.6208333333</v>
      </c>
      <c r="C384" s="2" t="s">
        <v>158</v>
      </c>
      <c r="D384" s="2" t="s">
        <v>569</v>
      </c>
      <c r="E384" s="2" t="s">
        <v>78</v>
      </c>
      <c r="F384" s="2" t="s">
        <v>108</v>
      </c>
      <c r="G384" s="30" t="n">
        <v>48.8</v>
      </c>
      <c r="H384" s="11" t="n">
        <v>549.99</v>
      </c>
      <c r="I384" s="11" t="s">
        <v>155</v>
      </c>
      <c r="J384" s="11" t="n">
        <v>103.23</v>
      </c>
      <c r="K384" s="11" t="n">
        <v>93.97</v>
      </c>
      <c r="L384" s="11" t="n">
        <v>0.55</v>
      </c>
      <c r="M384" s="11" t="n">
        <v>1.1</v>
      </c>
      <c r="N384" s="11" t="n">
        <v>1</v>
      </c>
      <c r="O384" s="11" t="n">
        <v>4.5</v>
      </c>
      <c r="P384" s="11" t="n">
        <v>2.94</v>
      </c>
      <c r="Q384" s="11" t="n">
        <v>22.05</v>
      </c>
      <c r="R384" s="11" t="n">
        <f aca="false">SUM(K384:Q384)</f>
        <v>126.11</v>
      </c>
      <c r="S384" s="11" t="n">
        <f aca="false">R384/(1-Resumo!$C$6)</f>
        <v>143.306818181818</v>
      </c>
      <c r="T384" s="11" t="n">
        <f aca="false">S384-J384</f>
        <v>40.0768181818182</v>
      </c>
      <c r="U384" s="12" t="n">
        <f aca="false">IFERROR(S384/J384-1,0)</f>
        <v>0.388228404357437</v>
      </c>
      <c r="V384" s="2" t="str">
        <f aca="false">IF(S384&lt;J384,"SIM","NÃO")</f>
        <v>NÃO</v>
      </c>
      <c r="W384" s="2" t="n">
        <v>5</v>
      </c>
      <c r="X384" s="2" t="s">
        <v>156</v>
      </c>
    </row>
    <row r="385" customFormat="false" ht="15" hidden="false" customHeight="false" outlineLevel="0" collapsed="false">
      <c r="A385" s="2" t="n">
        <v>368016648</v>
      </c>
      <c r="B385" s="29" t="n">
        <v>46232.6435185185</v>
      </c>
      <c r="C385" s="2" t="s">
        <v>153</v>
      </c>
      <c r="D385" s="2" t="s">
        <v>570</v>
      </c>
      <c r="E385" s="2" t="s">
        <v>82</v>
      </c>
      <c r="F385" s="2" t="s">
        <v>105</v>
      </c>
      <c r="G385" s="30" t="n">
        <v>19.5</v>
      </c>
      <c r="H385" s="11" t="n">
        <v>332.99</v>
      </c>
      <c r="I385" s="11" t="s">
        <v>155</v>
      </c>
      <c r="J385" s="11" t="n">
        <v>75.44</v>
      </c>
      <c r="K385" s="11" t="n">
        <v>57.47</v>
      </c>
      <c r="L385" s="11" t="n">
        <v>0.333</v>
      </c>
      <c r="M385" s="11" t="n">
        <v>0.666</v>
      </c>
      <c r="N385" s="11" t="n">
        <v>1</v>
      </c>
      <c r="O385" s="11" t="n">
        <v>4.5</v>
      </c>
      <c r="P385" s="11" t="n">
        <v>1.2</v>
      </c>
      <c r="Q385" s="11" t="n">
        <v>9</v>
      </c>
      <c r="R385" s="11" t="n">
        <f aca="false">SUM(K385:Q385)</f>
        <v>74.169</v>
      </c>
      <c r="S385" s="11" t="n">
        <f aca="false">R385/(1-Resumo!$C$6)</f>
        <v>84.2829545454545</v>
      </c>
      <c r="T385" s="11" t="n">
        <f aca="false">S385-J385</f>
        <v>8.84295454545455</v>
      </c>
      <c r="U385" s="12" t="n">
        <f aca="false">IFERROR(S385/J385-1,0)</f>
        <v>0.11721837944664</v>
      </c>
      <c r="V385" s="2" t="str">
        <f aca="false">IF(S385&lt;J385,"SIM","NÃO")</f>
        <v>NÃO</v>
      </c>
      <c r="W385" s="2" t="n">
        <v>7</v>
      </c>
      <c r="X385" s="2" t="s">
        <v>156</v>
      </c>
    </row>
    <row r="386" customFormat="false" ht="15" hidden="false" customHeight="false" outlineLevel="0" collapsed="false">
      <c r="A386" s="2" t="n">
        <v>368081027</v>
      </c>
      <c r="B386" s="29" t="n">
        <v>46232.7472569444</v>
      </c>
      <c r="C386" s="2" t="s">
        <v>153</v>
      </c>
      <c r="D386" s="2" t="s">
        <v>571</v>
      </c>
      <c r="E386" s="2" t="s">
        <v>87</v>
      </c>
      <c r="F386" s="2" t="s">
        <v>108</v>
      </c>
      <c r="G386" s="30" t="n">
        <v>44.5</v>
      </c>
      <c r="H386" s="11" t="n">
        <v>685.62</v>
      </c>
      <c r="I386" s="11" t="s">
        <v>350</v>
      </c>
      <c r="J386" s="11" t="n">
        <v>131.17</v>
      </c>
      <c r="K386" s="11" t="n">
        <v>124.38</v>
      </c>
      <c r="L386" s="11" t="n">
        <v>0.6856</v>
      </c>
      <c r="M386" s="11" t="n">
        <v>1.3712</v>
      </c>
      <c r="N386" s="11" t="n">
        <v>1</v>
      </c>
      <c r="O386" s="11" t="n">
        <v>4.5</v>
      </c>
      <c r="P386" s="11" t="n">
        <v>2.7</v>
      </c>
      <c r="Q386" s="11" t="n">
        <v>20.25</v>
      </c>
      <c r="R386" s="11" t="n">
        <f aca="false">SUM(K386:Q386)</f>
        <v>154.8868</v>
      </c>
      <c r="S386" s="11" t="n">
        <f aca="false">R386/(1-Resumo!$C$6)</f>
        <v>176.007727272727</v>
      </c>
      <c r="T386" s="11" t="n">
        <f aca="false">S386-J386</f>
        <v>44.8377272727273</v>
      </c>
      <c r="U386" s="12" t="n">
        <f aca="false">IFERROR(S386/J386-1,0)</f>
        <v>0.341829132215654</v>
      </c>
      <c r="V386" s="2" t="str">
        <f aca="false">IF(S386&lt;J386,"SIM","NÃO")</f>
        <v>NÃO</v>
      </c>
      <c r="W386" s="2" t="n">
        <v>10</v>
      </c>
      <c r="X386" s="2" t="s">
        <v>156</v>
      </c>
    </row>
    <row r="387" customFormat="false" ht="15" hidden="false" customHeight="false" outlineLevel="0" collapsed="false">
      <c r="A387" s="2" t="n">
        <v>368089138</v>
      </c>
      <c r="B387" s="29" t="n">
        <v>46232.7633101852</v>
      </c>
      <c r="C387" s="2" t="s">
        <v>153</v>
      </c>
      <c r="D387" s="2" t="s">
        <v>387</v>
      </c>
      <c r="E387" s="2" t="s">
        <v>388</v>
      </c>
      <c r="F387" s="2" t="s">
        <v>105</v>
      </c>
      <c r="G387" s="30" t="n">
        <v>19.5</v>
      </c>
      <c r="H387" s="11" t="n">
        <v>332.99</v>
      </c>
      <c r="I387" s="11" t="s">
        <v>350</v>
      </c>
      <c r="J387" s="11" t="n">
        <v>81.76</v>
      </c>
      <c r="K387" s="11" t="n">
        <v>106.53</v>
      </c>
      <c r="L387" s="11" t="n">
        <v>0.333</v>
      </c>
      <c r="M387" s="11" t="n">
        <v>0.666</v>
      </c>
      <c r="N387" s="11" t="n">
        <v>1</v>
      </c>
      <c r="O387" s="11" t="n">
        <v>4.5</v>
      </c>
      <c r="P387" s="11" t="n">
        <v>1.2</v>
      </c>
      <c r="Q387" s="11" t="n">
        <v>9</v>
      </c>
      <c r="R387" s="11" t="n">
        <f aca="false">SUM(K387:Q387)</f>
        <v>123.229</v>
      </c>
      <c r="S387" s="11" t="n">
        <f aca="false">R387/(1-Resumo!$C$6)</f>
        <v>140.032954545455</v>
      </c>
      <c r="T387" s="11" t="n">
        <f aca="false">S387-J387</f>
        <v>58.2729545454545</v>
      </c>
      <c r="U387" s="12" t="n">
        <f aca="false">IFERROR(S387/J387-1,0)</f>
        <v>0.71273183152464</v>
      </c>
      <c r="V387" s="2" t="str">
        <f aca="false">IF(S387&lt;J387,"SIM","NÃO")</f>
        <v>NÃO</v>
      </c>
      <c r="W387" s="2" t="n">
        <v>10</v>
      </c>
      <c r="X387" s="2" t="s">
        <v>161</v>
      </c>
    </row>
    <row r="388" customFormat="false" ht="15" hidden="false" customHeight="false" outlineLevel="0" collapsed="false">
      <c r="A388" s="2" t="n">
        <v>368093150</v>
      </c>
      <c r="B388" s="29" t="n">
        <v>46232.7701041667</v>
      </c>
      <c r="C388" s="2" t="s">
        <v>158</v>
      </c>
      <c r="D388" s="2" t="s">
        <v>572</v>
      </c>
      <c r="E388" s="2" t="s">
        <v>91</v>
      </c>
      <c r="F388" s="2" t="s">
        <v>107</v>
      </c>
      <c r="G388" s="30" t="n">
        <v>36.8</v>
      </c>
      <c r="H388" s="11" t="n">
        <v>428.97</v>
      </c>
      <c r="I388" s="11" t="s">
        <v>350</v>
      </c>
      <c r="J388" s="11" t="n">
        <v>122.75</v>
      </c>
      <c r="K388" s="11" t="n">
        <v>124.38</v>
      </c>
      <c r="L388" s="11" t="n">
        <v>0.429</v>
      </c>
      <c r="M388" s="11" t="n">
        <v>0.8579</v>
      </c>
      <c r="N388" s="11" t="n">
        <v>1</v>
      </c>
      <c r="O388" s="11" t="n">
        <v>4.5</v>
      </c>
      <c r="P388" s="11" t="n">
        <v>2.22</v>
      </c>
      <c r="Q388" s="11" t="n">
        <v>16.65</v>
      </c>
      <c r="R388" s="11" t="n">
        <f aca="false">SUM(K388:Q388)</f>
        <v>150.0369</v>
      </c>
      <c r="S388" s="11" t="n">
        <f aca="false">R388/(1-Resumo!$C$6)</f>
        <v>170.496477272727</v>
      </c>
      <c r="T388" s="11" t="n">
        <f aca="false">S388-J388</f>
        <v>47.7464772727273</v>
      </c>
      <c r="U388" s="12" t="n">
        <f aca="false">IFERROR(S388/J388-1,0)</f>
        <v>0.388973338270691</v>
      </c>
      <c r="V388" s="2" t="str">
        <f aca="false">IF(S388&lt;J388,"SIM","NÃO")</f>
        <v>NÃO</v>
      </c>
      <c r="W388" s="2" t="n">
        <v>10</v>
      </c>
      <c r="X388" s="2" t="s">
        <v>156</v>
      </c>
    </row>
    <row r="389" customFormat="false" ht="15" hidden="false" customHeight="false" outlineLevel="0" collapsed="false">
      <c r="A389" s="2" t="n">
        <v>368119514</v>
      </c>
      <c r="B389" s="29" t="n">
        <v>46232.8123148148</v>
      </c>
      <c r="C389" s="2" t="s">
        <v>158</v>
      </c>
      <c r="D389" s="2" t="s">
        <v>573</v>
      </c>
      <c r="E389" s="2" t="s">
        <v>82</v>
      </c>
      <c r="F389" s="2" t="s">
        <v>112</v>
      </c>
      <c r="G389" s="30" t="n">
        <v>97.2</v>
      </c>
      <c r="H389" s="11" t="n">
        <v>1136</v>
      </c>
      <c r="I389" s="11" t="s">
        <v>155</v>
      </c>
      <c r="J389" s="11" t="n">
        <v>174.26</v>
      </c>
      <c r="K389" s="11" t="n">
        <v>178.42</v>
      </c>
      <c r="L389" s="11" t="n">
        <v>1.136</v>
      </c>
      <c r="M389" s="11" t="n">
        <v>2.272</v>
      </c>
      <c r="N389" s="11" t="n">
        <v>1</v>
      </c>
      <c r="O389" s="11" t="n">
        <v>4.5</v>
      </c>
      <c r="P389" s="11" t="n">
        <v>5.88</v>
      </c>
      <c r="Q389" s="11" t="n">
        <v>44.1</v>
      </c>
      <c r="R389" s="11" t="n">
        <f aca="false">SUM(K389:Q389)</f>
        <v>237.308</v>
      </c>
      <c r="S389" s="11" t="n">
        <f aca="false">R389/(1-Resumo!$C$6)</f>
        <v>269.668181818182</v>
      </c>
      <c r="T389" s="11" t="n">
        <f aca="false">S389-J389</f>
        <v>95.4081818181818</v>
      </c>
      <c r="U389" s="12" t="n">
        <f aca="false">IFERROR(S389/J389-1,0)</f>
        <v>0.54750477343155</v>
      </c>
      <c r="V389" s="2" t="str">
        <f aca="false">IF(S389&lt;J389,"SIM","NÃO")</f>
        <v>NÃO</v>
      </c>
      <c r="W389" s="2" t="n">
        <v>7</v>
      </c>
      <c r="X389" s="2" t="s">
        <v>156</v>
      </c>
    </row>
    <row r="390" customFormat="false" ht="15" hidden="false" customHeight="false" outlineLevel="0" collapsed="false">
      <c r="A390" s="2" t="n">
        <v>368123331</v>
      </c>
      <c r="B390" s="29" t="n">
        <v>46232.8212962963</v>
      </c>
      <c r="C390" s="2" t="s">
        <v>153</v>
      </c>
      <c r="D390" s="2" t="s">
        <v>574</v>
      </c>
      <c r="E390" s="2" t="s">
        <v>79</v>
      </c>
      <c r="F390" s="2" t="s">
        <v>107</v>
      </c>
      <c r="G390" s="30" t="n">
        <v>37.6</v>
      </c>
      <c r="H390" s="11" t="n">
        <v>391.04</v>
      </c>
      <c r="I390" s="11" t="s">
        <v>350</v>
      </c>
      <c r="J390" s="11" t="n">
        <v>113.83</v>
      </c>
      <c r="K390" s="11" t="n">
        <v>114.95</v>
      </c>
      <c r="L390" s="11" t="n">
        <v>0.391</v>
      </c>
      <c r="M390" s="11" t="n">
        <v>0.7821</v>
      </c>
      <c r="N390" s="11" t="n">
        <v>1</v>
      </c>
      <c r="O390" s="11" t="n">
        <v>4.5</v>
      </c>
      <c r="P390" s="11" t="n">
        <v>2.28</v>
      </c>
      <c r="Q390" s="11" t="n">
        <v>17.1</v>
      </c>
      <c r="R390" s="11" t="n">
        <f aca="false">SUM(K390:Q390)</f>
        <v>141.0031</v>
      </c>
      <c r="S390" s="11" t="n">
        <f aca="false">R390/(1-Resumo!$C$6)</f>
        <v>160.230795454545</v>
      </c>
      <c r="T390" s="11" t="n">
        <f aca="false">S390-J390</f>
        <v>46.4007954545455</v>
      </c>
      <c r="U390" s="12" t="n">
        <f aca="false">IFERROR(S390/J390-1,0)</f>
        <v>0.407632394399943</v>
      </c>
      <c r="V390" s="2" t="str">
        <f aca="false">IF(S390&lt;J390,"SIM","NÃO")</f>
        <v>NÃO</v>
      </c>
      <c r="W390" s="2" t="n">
        <v>7</v>
      </c>
      <c r="X390" s="2" t="s">
        <v>156</v>
      </c>
    </row>
    <row r="391" customFormat="false" ht="15" hidden="false" customHeight="false" outlineLevel="0" collapsed="false">
      <c r="A391" s="2" t="n">
        <v>368123432</v>
      </c>
      <c r="B391" s="29" t="n">
        <v>46232.8216666667</v>
      </c>
      <c r="C391" s="2" t="s">
        <v>153</v>
      </c>
      <c r="D391" s="2" t="s">
        <v>575</v>
      </c>
      <c r="E391" s="2" t="s">
        <v>78</v>
      </c>
      <c r="F391" s="2" t="s">
        <v>109</v>
      </c>
      <c r="G391" s="30" t="n">
        <v>52.3</v>
      </c>
      <c r="H391" s="11" t="n">
        <v>685.84</v>
      </c>
      <c r="I391" s="11" t="s">
        <v>350</v>
      </c>
      <c r="J391" s="11" t="n">
        <v>113.56</v>
      </c>
      <c r="K391" s="11" t="n">
        <v>112.3</v>
      </c>
      <c r="L391" s="11" t="n">
        <v>0.6858</v>
      </c>
      <c r="M391" s="11" t="n">
        <v>1.3717</v>
      </c>
      <c r="N391" s="11" t="n">
        <v>1</v>
      </c>
      <c r="O391" s="11" t="n">
        <v>4.5</v>
      </c>
      <c r="P391" s="11" t="n">
        <v>3.18</v>
      </c>
      <c r="Q391" s="11" t="n">
        <v>23.85</v>
      </c>
      <c r="R391" s="11" t="n">
        <f aca="false">SUM(K391:Q391)</f>
        <v>146.8875</v>
      </c>
      <c r="S391" s="11" t="n">
        <f aca="false">R391/(1-Resumo!$C$6)</f>
        <v>166.917613636364</v>
      </c>
      <c r="T391" s="11" t="n">
        <f aca="false">S391-J391</f>
        <v>53.3576136363636</v>
      </c>
      <c r="U391" s="12" t="n">
        <f aca="false">IFERROR(S391/J391-1,0)</f>
        <v>0.469862747766499</v>
      </c>
      <c r="V391" s="2" t="str">
        <f aca="false">IF(S391&lt;J391,"SIM","NÃO")</f>
        <v>NÃO</v>
      </c>
      <c r="W391" s="2" t="n">
        <v>5</v>
      </c>
      <c r="X391" s="2" t="s">
        <v>156</v>
      </c>
    </row>
    <row r="392" customFormat="false" ht="15" hidden="false" customHeight="false" outlineLevel="0" collapsed="false">
      <c r="A392" s="2" t="n">
        <v>368154400</v>
      </c>
      <c r="B392" s="29" t="n">
        <v>46232.8812268519</v>
      </c>
      <c r="C392" s="2" t="s">
        <v>153</v>
      </c>
      <c r="D392" s="2" t="s">
        <v>576</v>
      </c>
      <c r="E392" s="2" t="s">
        <v>78</v>
      </c>
      <c r="F392" s="2" t="s">
        <v>108</v>
      </c>
      <c r="G392" s="30" t="n">
        <v>43.5</v>
      </c>
      <c r="H392" s="11" t="n">
        <v>769.99</v>
      </c>
      <c r="I392" s="11" t="s">
        <v>155</v>
      </c>
      <c r="J392" s="11" t="n">
        <v>104.27</v>
      </c>
      <c r="K392" s="11" t="n">
        <v>93.97</v>
      </c>
      <c r="L392" s="11" t="n">
        <v>0.77</v>
      </c>
      <c r="M392" s="11" t="n">
        <v>1.54</v>
      </c>
      <c r="N392" s="11" t="n">
        <v>1</v>
      </c>
      <c r="O392" s="11" t="n">
        <v>4.5</v>
      </c>
      <c r="P392" s="11" t="n">
        <v>2.64</v>
      </c>
      <c r="Q392" s="11" t="n">
        <v>19.8</v>
      </c>
      <c r="R392" s="11" t="n">
        <f aca="false">SUM(K392:Q392)</f>
        <v>124.22</v>
      </c>
      <c r="S392" s="11" t="n">
        <f aca="false">R392/(1-Resumo!$C$6)</f>
        <v>141.159090909091</v>
      </c>
      <c r="T392" s="11" t="n">
        <f aca="false">S392-J392</f>
        <v>36.8890909090909</v>
      </c>
      <c r="U392" s="12" t="n">
        <f aca="false">IFERROR(S392/J392-1,0)</f>
        <v>0.353784318683139</v>
      </c>
      <c r="V392" s="2" t="str">
        <f aca="false">IF(S392&lt;J392,"SIM","NÃO")</f>
        <v>NÃO</v>
      </c>
      <c r="W392" s="2" t="n">
        <v>5</v>
      </c>
      <c r="X392" s="2" t="s">
        <v>156</v>
      </c>
    </row>
    <row r="393" customFormat="false" ht="15" hidden="false" customHeight="false" outlineLevel="0" collapsed="false">
      <c r="A393" s="2" t="n">
        <v>368170099</v>
      </c>
      <c r="B393" s="29" t="n">
        <v>46232.9090509259</v>
      </c>
      <c r="C393" s="2" t="s">
        <v>158</v>
      </c>
      <c r="D393" s="2" t="s">
        <v>577</v>
      </c>
      <c r="E393" s="2" t="s">
        <v>96</v>
      </c>
      <c r="F393" s="2" t="s">
        <v>114</v>
      </c>
      <c r="G393" s="30" t="n">
        <v>124.2</v>
      </c>
      <c r="H393" s="11" t="n">
        <v>1630.39</v>
      </c>
      <c r="I393" s="11" t="s">
        <v>350</v>
      </c>
      <c r="J393" s="11" t="n">
        <v>253.39</v>
      </c>
      <c r="K393" s="11" t="n">
        <v>264.84</v>
      </c>
      <c r="L393" s="11" t="n">
        <v>1.6304</v>
      </c>
      <c r="M393" s="11" t="n">
        <v>3.2608</v>
      </c>
      <c r="N393" s="11" t="n">
        <v>1</v>
      </c>
      <c r="O393" s="11" t="n">
        <v>9</v>
      </c>
      <c r="P393" s="11" t="n">
        <v>7.5</v>
      </c>
      <c r="Q393" s="11" t="n">
        <v>56.25</v>
      </c>
      <c r="R393" s="11" t="n">
        <f aca="false">SUM(K393:Q393)</f>
        <v>343.4812</v>
      </c>
      <c r="S393" s="11" t="n">
        <f aca="false">R393/(1-Resumo!$C$6)</f>
        <v>390.319545454545</v>
      </c>
      <c r="T393" s="11" t="n">
        <f aca="false">S393-J393</f>
        <v>136.929545454545</v>
      </c>
      <c r="U393" s="12" t="n">
        <f aca="false">IFERROR(S393/J393-1,0)</f>
        <v>0.540390486816944</v>
      </c>
      <c r="V393" s="2" t="str">
        <f aca="false">IF(S393&lt;J393,"SIM","NÃO")</f>
        <v>NÃO</v>
      </c>
      <c r="W393" s="2" t="n">
        <v>10</v>
      </c>
      <c r="X393" s="2" t="s">
        <v>156</v>
      </c>
    </row>
    <row r="394" customFormat="false" ht="15" hidden="false" customHeight="false" outlineLevel="0" collapsed="false">
      <c r="A394" s="2" t="n">
        <v>368193269</v>
      </c>
      <c r="B394" s="29" t="n">
        <v>46232.9664699074</v>
      </c>
      <c r="C394" s="2" t="s">
        <v>158</v>
      </c>
      <c r="D394" s="2" t="s">
        <v>578</v>
      </c>
      <c r="E394" s="2" t="s">
        <v>78</v>
      </c>
      <c r="F394" s="2" t="s">
        <v>106</v>
      </c>
      <c r="G394" s="30" t="n">
        <v>22.9</v>
      </c>
      <c r="H394" s="11" t="n">
        <v>314.76</v>
      </c>
      <c r="I394" s="11" t="s">
        <v>155</v>
      </c>
      <c r="J394" s="11" t="n">
        <v>81.83</v>
      </c>
      <c r="K394" s="11" t="n">
        <v>82.21</v>
      </c>
      <c r="L394" s="11" t="n">
        <v>0.3148</v>
      </c>
      <c r="M394" s="11" t="n">
        <v>0.6295</v>
      </c>
      <c r="N394" s="11" t="n">
        <v>1</v>
      </c>
      <c r="O394" s="11" t="n">
        <v>4.5</v>
      </c>
      <c r="P394" s="11" t="n">
        <v>1.38</v>
      </c>
      <c r="Q394" s="11" t="n">
        <v>10.35</v>
      </c>
      <c r="R394" s="11" t="n">
        <f aca="false">SUM(K394:Q394)</f>
        <v>100.3843</v>
      </c>
      <c r="S394" s="11" t="n">
        <f aca="false">R394/(1-Resumo!$C$6)</f>
        <v>114.073068181818</v>
      </c>
      <c r="T394" s="11" t="n">
        <f aca="false">S394-J394</f>
        <v>32.2430681818182</v>
      </c>
      <c r="U394" s="12" t="n">
        <f aca="false">IFERROR(S394/J394-1,0)</f>
        <v>0.394025029717929</v>
      </c>
      <c r="V394" s="2" t="str">
        <f aca="false">IF(S394&lt;J394,"SIM","NÃO")</f>
        <v>NÃO</v>
      </c>
      <c r="W394" s="2" t="n">
        <v>5</v>
      </c>
      <c r="X394" s="2" t="s">
        <v>156</v>
      </c>
    </row>
    <row r="395" customFormat="false" ht="15" hidden="false" customHeight="false" outlineLevel="0" collapsed="false">
      <c r="A395" s="2" t="n">
        <v>368199206</v>
      </c>
      <c r="B395" s="29" t="n">
        <v>46232.9820601852</v>
      </c>
      <c r="C395" s="2" t="s">
        <v>153</v>
      </c>
      <c r="D395" s="2" t="s">
        <v>579</v>
      </c>
      <c r="E395" s="2" t="s">
        <v>412</v>
      </c>
      <c r="F395" s="2" t="s">
        <v>114</v>
      </c>
      <c r="G395" s="30" t="n">
        <v>124.2</v>
      </c>
      <c r="H395" s="11" t="n">
        <v>1558.08</v>
      </c>
      <c r="I395" s="11" t="s">
        <v>350</v>
      </c>
      <c r="J395" s="11" t="n">
        <v>253.05</v>
      </c>
      <c r="K395" s="11" t="n">
        <v>264.84</v>
      </c>
      <c r="L395" s="11" t="n">
        <v>1.5581</v>
      </c>
      <c r="M395" s="11" t="n">
        <v>3.1162</v>
      </c>
      <c r="N395" s="11" t="n">
        <v>1</v>
      </c>
      <c r="O395" s="11" t="n">
        <v>9</v>
      </c>
      <c r="P395" s="11" t="n">
        <v>7.5</v>
      </c>
      <c r="Q395" s="11" t="n">
        <v>56.25</v>
      </c>
      <c r="R395" s="11" t="n">
        <f aca="false">SUM(K395:Q395)</f>
        <v>343.2643</v>
      </c>
      <c r="S395" s="11" t="n">
        <f aca="false">R395/(1-Resumo!$C$6)</f>
        <v>390.073068181818</v>
      </c>
      <c r="T395" s="11" t="n">
        <f aca="false">S395-J395</f>
        <v>137.023068181818</v>
      </c>
      <c r="U395" s="12" t="n">
        <f aca="false">IFERROR(S395/J395-1,0)</f>
        <v>0.541486141797345</v>
      </c>
      <c r="V395" s="2" t="str">
        <f aca="false">IF(S395&lt;J395,"SIM","NÃO")</f>
        <v>NÃO</v>
      </c>
      <c r="W395" s="2" t="n">
        <v>10</v>
      </c>
      <c r="X395" s="2" t="s">
        <v>161</v>
      </c>
    </row>
    <row r="396" customFormat="false" ht="15" hidden="false" customHeight="false" outlineLevel="0" collapsed="false">
      <c r="A396" s="2" t="n">
        <v>368235505</v>
      </c>
      <c r="B396" s="29" t="n">
        <v>46233.0966782407</v>
      </c>
      <c r="C396" s="2" t="s">
        <v>153</v>
      </c>
      <c r="D396" s="2" t="s">
        <v>580</v>
      </c>
      <c r="E396" s="2" t="s">
        <v>78</v>
      </c>
      <c r="F396" s="2" t="s">
        <v>108</v>
      </c>
      <c r="G396" s="30" t="n">
        <v>41</v>
      </c>
      <c r="H396" s="11" t="n">
        <v>559.99</v>
      </c>
      <c r="I396" s="11" t="s">
        <v>350</v>
      </c>
      <c r="J396" s="11" t="n">
        <v>101.09</v>
      </c>
      <c r="K396" s="11" t="n">
        <v>93.97</v>
      </c>
      <c r="L396" s="11" t="n">
        <v>0.56</v>
      </c>
      <c r="M396" s="11" t="n">
        <v>1.12</v>
      </c>
      <c r="N396" s="11" t="n">
        <v>1</v>
      </c>
      <c r="O396" s="11" t="n">
        <v>4.5</v>
      </c>
      <c r="P396" s="11" t="n">
        <v>2.46</v>
      </c>
      <c r="Q396" s="11" t="n">
        <v>18.45</v>
      </c>
      <c r="R396" s="11" t="n">
        <f aca="false">SUM(K396:Q396)</f>
        <v>122.06</v>
      </c>
      <c r="S396" s="11" t="n">
        <f aca="false">R396/(1-Resumo!$C$6)</f>
        <v>138.704545454545</v>
      </c>
      <c r="T396" s="11" t="n">
        <f aca="false">S396-J396</f>
        <v>37.6145454545455</v>
      </c>
      <c r="U396" s="12" t="n">
        <f aca="false">IFERROR(S396/J396-1,0)</f>
        <v>0.372089677065441</v>
      </c>
      <c r="V396" s="2" t="str">
        <f aca="false">IF(S396&lt;J396,"SIM","NÃO")</f>
        <v>NÃO</v>
      </c>
      <c r="W396" s="2" t="n">
        <v>5</v>
      </c>
      <c r="X396" s="2" t="s">
        <v>156</v>
      </c>
    </row>
    <row r="397" customFormat="false" ht="15" hidden="false" customHeight="false" outlineLevel="0" collapsed="false">
      <c r="A397" s="2" t="n">
        <v>368295630</v>
      </c>
      <c r="B397" s="29" t="n">
        <v>46233.3183101852</v>
      </c>
      <c r="C397" s="2" t="s">
        <v>158</v>
      </c>
      <c r="D397" s="2" t="s">
        <v>581</v>
      </c>
      <c r="E397" s="2" t="s">
        <v>78</v>
      </c>
      <c r="F397" s="2" t="s">
        <v>114</v>
      </c>
      <c r="G397" s="30" t="n">
        <v>124.2</v>
      </c>
      <c r="H397" s="11" t="n">
        <v>1630.39</v>
      </c>
      <c r="I397" s="11" t="s">
        <v>155</v>
      </c>
      <c r="J397" s="11" t="n">
        <v>234.1</v>
      </c>
      <c r="K397" s="11" t="n">
        <v>239.25</v>
      </c>
      <c r="L397" s="11" t="n">
        <v>1.6304</v>
      </c>
      <c r="M397" s="11" t="n">
        <v>3.2608</v>
      </c>
      <c r="N397" s="11" t="n">
        <v>1</v>
      </c>
      <c r="O397" s="11" t="n">
        <v>9</v>
      </c>
      <c r="P397" s="11" t="n">
        <v>7.5</v>
      </c>
      <c r="Q397" s="11" t="n">
        <v>56.25</v>
      </c>
      <c r="R397" s="11" t="n">
        <f aca="false">SUM(K397:Q397)</f>
        <v>317.8912</v>
      </c>
      <c r="S397" s="11" t="n">
        <f aca="false">R397/(1-Resumo!$C$6)</f>
        <v>361.24</v>
      </c>
      <c r="T397" s="11" t="n">
        <f aca="false">S397-J397</f>
        <v>127.14</v>
      </c>
      <c r="U397" s="12" t="n">
        <f aca="false">IFERROR(S397/J397-1,0)</f>
        <v>0.543101238786843</v>
      </c>
      <c r="V397" s="2" t="str">
        <f aca="false">IF(S397&lt;J397,"SIM","NÃO")</f>
        <v>NÃO</v>
      </c>
      <c r="W397" s="2" t="n">
        <v>5</v>
      </c>
      <c r="X397" s="2" t="s">
        <v>156</v>
      </c>
    </row>
    <row r="398" customFormat="false" ht="15" hidden="false" customHeight="false" outlineLevel="0" collapsed="false">
      <c r="A398" s="2" t="n">
        <v>368303266</v>
      </c>
      <c r="B398" s="29" t="n">
        <v>46233.3419212963</v>
      </c>
      <c r="C398" s="2" t="s">
        <v>198</v>
      </c>
      <c r="D398" s="2" t="s">
        <v>237</v>
      </c>
      <c r="E398" s="2" t="s">
        <v>82</v>
      </c>
      <c r="F398" s="2" t="s">
        <v>109</v>
      </c>
      <c r="G398" s="30" t="n">
        <v>52.3</v>
      </c>
      <c r="H398" s="11" t="n">
        <v>597.99</v>
      </c>
      <c r="I398" s="11" t="s">
        <v>350</v>
      </c>
      <c r="J398" s="11" t="n">
        <v>127.22</v>
      </c>
      <c r="K398" s="11" t="n">
        <v>128.14</v>
      </c>
      <c r="L398" s="11" t="n">
        <v>0.598</v>
      </c>
      <c r="M398" s="11" t="n">
        <v>1.196</v>
      </c>
      <c r="N398" s="11" t="n">
        <v>1</v>
      </c>
      <c r="O398" s="11" t="n">
        <v>4.5</v>
      </c>
      <c r="P398" s="11" t="n">
        <v>3.18</v>
      </c>
      <c r="Q398" s="11" t="n">
        <v>23.85</v>
      </c>
      <c r="R398" s="11" t="n">
        <f aca="false">SUM(K398:Q398)</f>
        <v>162.464</v>
      </c>
      <c r="S398" s="11" t="n">
        <f aca="false">R398/(1-Resumo!$C$6)</f>
        <v>184.618181818182</v>
      </c>
      <c r="T398" s="11" t="n">
        <f aca="false">S398-J398</f>
        <v>57.3981818181818</v>
      </c>
      <c r="U398" s="12" t="n">
        <f aca="false">IFERROR(S398/J398-1,0)</f>
        <v>0.451172628660445</v>
      </c>
      <c r="V398" s="2" t="str">
        <f aca="false">IF(S398&lt;J398,"SIM","NÃO")</f>
        <v>NÃO</v>
      </c>
      <c r="W398" s="2" t="n">
        <v>7</v>
      </c>
      <c r="X398" s="2" t="s">
        <v>156</v>
      </c>
    </row>
    <row r="399" customFormat="false" ht="15" hidden="false" customHeight="false" outlineLevel="0" collapsed="false">
      <c r="A399" s="2" t="n">
        <v>368306337</v>
      </c>
      <c r="B399" s="29" t="n">
        <v>46233.350775463</v>
      </c>
      <c r="C399" s="2" t="s">
        <v>153</v>
      </c>
      <c r="D399" s="2" t="s">
        <v>582</v>
      </c>
      <c r="E399" s="2" t="s">
        <v>82</v>
      </c>
      <c r="F399" s="2" t="s">
        <v>108</v>
      </c>
      <c r="G399" s="30" t="n">
        <v>44.5</v>
      </c>
      <c r="H399" s="11" t="n">
        <v>685.62</v>
      </c>
      <c r="I399" s="11" t="s">
        <v>155</v>
      </c>
      <c r="J399" s="11" t="n">
        <v>117.35</v>
      </c>
      <c r="K399" s="11" t="n">
        <v>114.95</v>
      </c>
      <c r="L399" s="11" t="n">
        <v>0.6856</v>
      </c>
      <c r="M399" s="11" t="n">
        <v>1.3712</v>
      </c>
      <c r="N399" s="11" t="n">
        <v>1</v>
      </c>
      <c r="O399" s="11" t="n">
        <v>4.5</v>
      </c>
      <c r="P399" s="11" t="n">
        <v>2.7</v>
      </c>
      <c r="Q399" s="11" t="n">
        <v>20.25</v>
      </c>
      <c r="R399" s="11" t="n">
        <f aca="false">SUM(K399:Q399)</f>
        <v>145.4568</v>
      </c>
      <c r="S399" s="11" t="n">
        <f aca="false">R399/(1-Resumo!$C$6)</f>
        <v>165.291818181818</v>
      </c>
      <c r="T399" s="11" t="n">
        <f aca="false">S399-J399</f>
        <v>47.9418181818182</v>
      </c>
      <c r="U399" s="12" t="n">
        <f aca="false">IFERROR(S399/J399-1,0)</f>
        <v>0.408537010496959</v>
      </c>
      <c r="V399" s="2" t="str">
        <f aca="false">IF(S399&lt;J399,"SIM","NÃO")</f>
        <v>NÃO</v>
      </c>
      <c r="W399" s="2" t="n">
        <v>7</v>
      </c>
      <c r="X399" s="2" t="s">
        <v>156</v>
      </c>
    </row>
    <row r="400" customFormat="false" ht="15" hidden="false" customHeight="false" outlineLevel="0" collapsed="false">
      <c r="A400" s="2" t="n">
        <v>368330685</v>
      </c>
      <c r="B400" s="29" t="n">
        <v>46233.3898611111</v>
      </c>
      <c r="C400" s="2" t="s">
        <v>369</v>
      </c>
      <c r="D400" s="2" t="s">
        <v>583</v>
      </c>
      <c r="E400" s="2" t="s">
        <v>78</v>
      </c>
      <c r="F400" s="2" t="s">
        <v>108</v>
      </c>
      <c r="G400" s="30" t="n">
        <v>48.3</v>
      </c>
      <c r="H400" s="11" t="n">
        <v>474.99</v>
      </c>
      <c r="I400" s="11" t="s">
        <v>155</v>
      </c>
      <c r="J400" s="11" t="n">
        <v>102.86</v>
      </c>
      <c r="K400" s="11" t="n">
        <v>93.97</v>
      </c>
      <c r="L400" s="11" t="n">
        <v>0.475</v>
      </c>
      <c r="M400" s="11" t="n">
        <v>0.95</v>
      </c>
      <c r="N400" s="11" t="n">
        <v>1</v>
      </c>
      <c r="O400" s="11" t="n">
        <v>4.5</v>
      </c>
      <c r="P400" s="11" t="n">
        <v>2.94</v>
      </c>
      <c r="Q400" s="11" t="n">
        <v>22.05</v>
      </c>
      <c r="R400" s="11" t="n">
        <f aca="false">SUM(K400:Q400)</f>
        <v>125.885</v>
      </c>
      <c r="S400" s="11" t="n">
        <f aca="false">R400/(1-Resumo!$C$6)</f>
        <v>143.051136363636</v>
      </c>
      <c r="T400" s="11" t="n">
        <f aca="false">S400-J400</f>
        <v>40.1911363636363</v>
      </c>
      <c r="U400" s="12" t="n">
        <f aca="false">IFERROR(S400/J400-1,0)</f>
        <v>0.39073630530465</v>
      </c>
      <c r="V400" s="2" t="str">
        <f aca="false">IF(S400&lt;J400,"SIM","NÃO")</f>
        <v>NÃO</v>
      </c>
      <c r="W400" s="2" t="n">
        <v>5</v>
      </c>
      <c r="X400" s="2" t="s">
        <v>156</v>
      </c>
    </row>
    <row r="401" customFormat="false" ht="15" hidden="false" customHeight="false" outlineLevel="0" collapsed="false">
      <c r="A401" s="2" t="n">
        <v>368347140</v>
      </c>
      <c r="B401" s="29" t="n">
        <v>46233.4425347222</v>
      </c>
      <c r="C401" s="2" t="s">
        <v>194</v>
      </c>
      <c r="D401" s="2" t="s">
        <v>584</v>
      </c>
      <c r="E401" s="2" t="s">
        <v>78</v>
      </c>
      <c r="F401" s="2" t="s">
        <v>105</v>
      </c>
      <c r="G401" s="30" t="n">
        <v>19.9</v>
      </c>
      <c r="H401" s="11" t="n">
        <v>227.12</v>
      </c>
      <c r="I401" s="11" t="s">
        <v>350</v>
      </c>
      <c r="J401" s="11" t="n">
        <v>65.89</v>
      </c>
      <c r="K401" s="11" t="n">
        <v>46.98</v>
      </c>
      <c r="L401" s="11" t="n">
        <v>0.2271</v>
      </c>
      <c r="M401" s="11" t="n">
        <v>0.4542</v>
      </c>
      <c r="N401" s="11" t="n">
        <v>1</v>
      </c>
      <c r="O401" s="11" t="n">
        <v>4.5</v>
      </c>
      <c r="P401" s="11" t="n">
        <v>1.2</v>
      </c>
      <c r="Q401" s="11" t="n">
        <v>9</v>
      </c>
      <c r="R401" s="11" t="n">
        <f aca="false">SUM(K401:Q401)</f>
        <v>63.3613</v>
      </c>
      <c r="S401" s="11" t="n">
        <f aca="false">R401/(1-Resumo!$C$6)</f>
        <v>72.0014772727273</v>
      </c>
      <c r="T401" s="11" t="n">
        <f aca="false">S401-J401</f>
        <v>6.11147727272727</v>
      </c>
      <c r="U401" s="12" t="n">
        <f aca="false">IFERROR(S401/J401-1,0)</f>
        <v>0.0927527283764953</v>
      </c>
      <c r="V401" s="2" t="str">
        <f aca="false">IF(S401&lt;J401,"SIM","NÃO")</f>
        <v>NÃO</v>
      </c>
      <c r="W401" s="2" t="n">
        <v>5</v>
      </c>
      <c r="X401" s="2" t="s">
        <v>156</v>
      </c>
    </row>
    <row r="402" customFormat="false" ht="15" hidden="false" customHeight="false" outlineLevel="0" collapsed="false">
      <c r="A402" s="2" t="n">
        <v>368352842</v>
      </c>
      <c r="B402" s="29" t="n">
        <v>46233.4518055556</v>
      </c>
      <c r="C402" s="2" t="s">
        <v>153</v>
      </c>
      <c r="D402" s="2" t="s">
        <v>585</v>
      </c>
      <c r="E402" s="2" t="s">
        <v>88</v>
      </c>
      <c r="F402" s="2" t="s">
        <v>109</v>
      </c>
      <c r="G402" s="30" t="n">
        <v>52.3</v>
      </c>
      <c r="H402" s="11" t="n">
        <v>685.84</v>
      </c>
      <c r="I402" s="11" t="s">
        <v>350</v>
      </c>
      <c r="J402" s="11" t="n">
        <v>141.94</v>
      </c>
      <c r="K402" s="11" t="n">
        <v>142.32</v>
      </c>
      <c r="L402" s="11" t="n">
        <v>0.6858</v>
      </c>
      <c r="M402" s="11" t="n">
        <v>1.3717</v>
      </c>
      <c r="N402" s="11" t="n">
        <v>1</v>
      </c>
      <c r="O402" s="11" t="n">
        <v>4.5</v>
      </c>
      <c r="P402" s="11" t="n">
        <v>3.18</v>
      </c>
      <c r="Q402" s="11" t="n">
        <v>23.85</v>
      </c>
      <c r="R402" s="11" t="n">
        <f aca="false">SUM(K402:Q402)</f>
        <v>176.9075</v>
      </c>
      <c r="S402" s="11" t="n">
        <f aca="false">R402/(1-Resumo!$C$6)</f>
        <v>201.03125</v>
      </c>
      <c r="T402" s="11" t="n">
        <f aca="false">S402-J402</f>
        <v>59.09125</v>
      </c>
      <c r="U402" s="12" t="n">
        <f aca="false">IFERROR(S402/J402-1,0)</f>
        <v>0.416311469635057</v>
      </c>
      <c r="V402" s="2" t="str">
        <f aca="false">IF(S402&lt;J402,"SIM","NÃO")</f>
        <v>NÃO</v>
      </c>
      <c r="W402" s="2" t="n">
        <v>10</v>
      </c>
      <c r="X402" s="2" t="s">
        <v>156</v>
      </c>
    </row>
    <row r="403" customFormat="false" ht="15" hidden="false" customHeight="false" outlineLevel="0" collapsed="false">
      <c r="A403" s="2" t="n">
        <v>368357810</v>
      </c>
      <c r="B403" s="29" t="n">
        <v>46233.4588310185</v>
      </c>
      <c r="C403" s="2" t="s">
        <v>153</v>
      </c>
      <c r="D403" s="2" t="s">
        <v>586</v>
      </c>
      <c r="E403" s="2" t="s">
        <v>78</v>
      </c>
      <c r="F403" s="2" t="s">
        <v>106</v>
      </c>
      <c r="G403" s="30" t="n">
        <v>22</v>
      </c>
      <c r="H403" s="11" t="n">
        <v>829.99</v>
      </c>
      <c r="I403" s="11" t="s">
        <v>155</v>
      </c>
      <c r="J403" s="11" t="n">
        <v>84.31</v>
      </c>
      <c r="K403" s="11" t="n">
        <v>82.21</v>
      </c>
      <c r="L403" s="11" t="n">
        <v>0.83</v>
      </c>
      <c r="M403" s="11" t="n">
        <v>1.66</v>
      </c>
      <c r="N403" s="11" t="n">
        <v>1</v>
      </c>
      <c r="O403" s="11" t="n">
        <v>4.5</v>
      </c>
      <c r="P403" s="11" t="n">
        <v>1.32</v>
      </c>
      <c r="Q403" s="11" t="n">
        <v>9.9</v>
      </c>
      <c r="R403" s="11" t="n">
        <f aca="false">SUM(K403:Q403)</f>
        <v>101.42</v>
      </c>
      <c r="S403" s="11" t="n">
        <f aca="false">R403/(1-Resumo!$C$6)</f>
        <v>115.25</v>
      </c>
      <c r="T403" s="11" t="n">
        <f aca="false">S403-J403</f>
        <v>30.94</v>
      </c>
      <c r="U403" s="12" t="n">
        <f aca="false">IFERROR(S403/J403-1,0)</f>
        <v>0.366979006049105</v>
      </c>
      <c r="V403" s="2" t="str">
        <f aca="false">IF(S403&lt;J403,"SIM","NÃO")</f>
        <v>NÃO</v>
      </c>
      <c r="W403" s="2" t="n">
        <v>5</v>
      </c>
      <c r="X403" s="2" t="s">
        <v>156</v>
      </c>
    </row>
    <row r="404" customFormat="false" ht="15" hidden="false" customHeight="false" outlineLevel="0" collapsed="false">
      <c r="A404" s="2" t="n">
        <v>368361033</v>
      </c>
      <c r="B404" s="29" t="n">
        <v>46233.463287037</v>
      </c>
      <c r="C404" s="2" t="s">
        <v>153</v>
      </c>
      <c r="D404" s="2" t="s">
        <v>587</v>
      </c>
      <c r="E404" s="2" t="s">
        <v>78</v>
      </c>
      <c r="F404" s="2" t="s">
        <v>107</v>
      </c>
      <c r="G404" s="30" t="n">
        <v>37.2</v>
      </c>
      <c r="H404" s="11" t="n">
        <v>399.99</v>
      </c>
      <c r="I404" s="11" t="s">
        <v>350</v>
      </c>
      <c r="J404" s="11" t="n">
        <v>92.87</v>
      </c>
      <c r="K404" s="11" t="n">
        <v>93.97</v>
      </c>
      <c r="L404" s="11" t="n">
        <v>0.4</v>
      </c>
      <c r="M404" s="11" t="n">
        <v>0.8</v>
      </c>
      <c r="N404" s="11" t="n">
        <v>1</v>
      </c>
      <c r="O404" s="11" t="n">
        <v>4.5</v>
      </c>
      <c r="P404" s="11" t="n">
        <v>2.28</v>
      </c>
      <c r="Q404" s="11" t="n">
        <v>17.1</v>
      </c>
      <c r="R404" s="11" t="n">
        <f aca="false">SUM(K404:Q404)</f>
        <v>120.05</v>
      </c>
      <c r="S404" s="11" t="n">
        <f aca="false">R404/(1-Resumo!$C$6)</f>
        <v>136.420454545455</v>
      </c>
      <c r="T404" s="11" t="n">
        <f aca="false">S404-J404</f>
        <v>43.5504545454546</v>
      </c>
      <c r="U404" s="12" t="n">
        <f aca="false">IFERROR(S404/J404-1,0)</f>
        <v>0.468939964955901</v>
      </c>
      <c r="V404" s="2" t="str">
        <f aca="false">IF(S404&lt;J404,"SIM","NÃO")</f>
        <v>NÃO</v>
      </c>
      <c r="W404" s="2" t="n">
        <v>5</v>
      </c>
      <c r="X404" s="2" t="s">
        <v>156</v>
      </c>
    </row>
    <row r="405" customFormat="false" ht="15" hidden="false" customHeight="false" outlineLevel="0" collapsed="false">
      <c r="A405" s="2" t="n">
        <v>368377370</v>
      </c>
      <c r="B405" s="29" t="n">
        <v>46233.4870949074</v>
      </c>
      <c r="C405" s="2" t="s">
        <v>153</v>
      </c>
      <c r="D405" s="2" t="s">
        <v>588</v>
      </c>
      <c r="E405" s="2" t="s">
        <v>219</v>
      </c>
      <c r="F405" s="2" t="s">
        <v>109</v>
      </c>
      <c r="G405" s="30" t="n">
        <v>54</v>
      </c>
      <c r="H405" s="11" t="n">
        <v>956.51</v>
      </c>
      <c r="I405" s="11" t="s">
        <v>350</v>
      </c>
      <c r="J405" s="11" t="n">
        <v>143.75</v>
      </c>
      <c r="K405" s="11" t="n">
        <v>142.32</v>
      </c>
      <c r="L405" s="11" t="n">
        <v>0.9565</v>
      </c>
      <c r="M405" s="11" t="n">
        <v>1.913</v>
      </c>
      <c r="N405" s="11" t="n">
        <v>1</v>
      </c>
      <c r="O405" s="11" t="n">
        <v>4.5</v>
      </c>
      <c r="P405" s="11" t="n">
        <v>3.24</v>
      </c>
      <c r="Q405" s="11" t="n">
        <v>24.3</v>
      </c>
      <c r="R405" s="11" t="n">
        <f aca="false">SUM(K405:Q405)</f>
        <v>178.2295</v>
      </c>
      <c r="S405" s="11" t="n">
        <f aca="false">R405/(1-Resumo!$C$6)</f>
        <v>202.533522727273</v>
      </c>
      <c r="T405" s="11" t="n">
        <f aca="false">S405-J405</f>
        <v>58.7835227272727</v>
      </c>
      <c r="U405" s="12" t="n">
        <f aca="false">IFERROR(S405/J405-1,0)</f>
        <v>0.408928853754941</v>
      </c>
      <c r="V405" s="2" t="str">
        <f aca="false">IF(S405&lt;J405,"SIM","NÃO")</f>
        <v>NÃO</v>
      </c>
      <c r="W405" s="2" t="n">
        <v>10</v>
      </c>
      <c r="X405" s="2" t="s">
        <v>161</v>
      </c>
    </row>
    <row r="406" customFormat="false" ht="15" hidden="false" customHeight="false" outlineLevel="0" collapsed="false">
      <c r="A406" s="2" t="n">
        <v>368408124</v>
      </c>
      <c r="B406" s="29" t="n">
        <v>46233.5485532407</v>
      </c>
      <c r="C406" s="2" t="s">
        <v>153</v>
      </c>
      <c r="D406" s="2" t="s">
        <v>589</v>
      </c>
      <c r="E406" s="2" t="s">
        <v>84</v>
      </c>
      <c r="F406" s="2" t="s">
        <v>108</v>
      </c>
      <c r="G406" s="30" t="n">
        <v>46.8</v>
      </c>
      <c r="H406" s="11" t="n">
        <v>599.99</v>
      </c>
      <c r="I406" s="11" t="s">
        <v>350</v>
      </c>
      <c r="J406" s="11" t="n">
        <v>117.76</v>
      </c>
      <c r="K406" s="11" t="n">
        <v>93.97</v>
      </c>
      <c r="L406" s="11" t="n">
        <v>0.6</v>
      </c>
      <c r="M406" s="11" t="n">
        <v>1.2</v>
      </c>
      <c r="N406" s="11" t="n">
        <v>1</v>
      </c>
      <c r="O406" s="11" t="n">
        <v>4.5</v>
      </c>
      <c r="P406" s="11" t="n">
        <v>2.82</v>
      </c>
      <c r="Q406" s="11" t="n">
        <v>21.15</v>
      </c>
      <c r="R406" s="11" t="n">
        <f aca="false">SUM(K406:Q406)</f>
        <v>125.24</v>
      </c>
      <c r="S406" s="11" t="n">
        <f aca="false">R406/(1-Resumo!$C$6)</f>
        <v>142.318181818182</v>
      </c>
      <c r="T406" s="11" t="n">
        <f aca="false">S406-J406</f>
        <v>24.5581818181818</v>
      </c>
      <c r="U406" s="12" t="n">
        <f aca="false">IFERROR(S406/J406-1,0)</f>
        <v>0.208544342885376</v>
      </c>
      <c r="V406" s="2" t="str">
        <f aca="false">IF(S406&lt;J406,"SIM","NÃO")</f>
        <v>NÃO</v>
      </c>
      <c r="W406" s="2" t="n">
        <v>5</v>
      </c>
      <c r="X406" s="2" t="s">
        <v>156</v>
      </c>
    </row>
    <row r="407" customFormat="false" ht="15" hidden="false" customHeight="false" outlineLevel="0" collapsed="false">
      <c r="A407" s="2" t="n">
        <v>368416343</v>
      </c>
      <c r="B407" s="29" t="n">
        <v>46233.5647337963</v>
      </c>
      <c r="C407" s="2" t="s">
        <v>153</v>
      </c>
      <c r="D407" s="2" t="s">
        <v>590</v>
      </c>
      <c r="E407" s="2" t="s">
        <v>80</v>
      </c>
      <c r="F407" s="2" t="s">
        <v>105</v>
      </c>
      <c r="G407" s="30" t="n">
        <v>19.9</v>
      </c>
      <c r="H407" s="11" t="n">
        <v>279.99</v>
      </c>
      <c r="I407" s="11" t="s">
        <v>155</v>
      </c>
      <c r="J407" s="11" t="n">
        <v>75.18</v>
      </c>
      <c r="K407" s="11" t="n">
        <v>46.98</v>
      </c>
      <c r="L407" s="11" t="n">
        <v>0.28</v>
      </c>
      <c r="M407" s="11" t="n">
        <v>0.56</v>
      </c>
      <c r="N407" s="11" t="n">
        <v>1</v>
      </c>
      <c r="O407" s="11" t="n">
        <v>4.5</v>
      </c>
      <c r="P407" s="11" t="n">
        <v>1.2</v>
      </c>
      <c r="Q407" s="11" t="n">
        <v>9</v>
      </c>
      <c r="R407" s="11" t="n">
        <f aca="false">SUM(K407:Q407)</f>
        <v>63.52</v>
      </c>
      <c r="S407" s="11" t="n">
        <f aca="false">R407/(1-Resumo!$C$6)</f>
        <v>72.1818181818182</v>
      </c>
      <c r="T407" s="11" t="n">
        <f aca="false">S407-J407</f>
        <v>-2.99818181818183</v>
      </c>
      <c r="U407" s="12" t="n">
        <f aca="false">IFERROR(S407/J407-1,0)</f>
        <v>-0.0398800454666378</v>
      </c>
      <c r="V407" s="2" t="str">
        <f aca="false">IF(S407&lt;J407,"SIM","NÃO")</f>
        <v>SIM</v>
      </c>
      <c r="W407" s="2" t="n">
        <v>5</v>
      </c>
      <c r="X407" s="2" t="s">
        <v>156</v>
      </c>
    </row>
    <row r="408" customFormat="false" ht="15" hidden="false" customHeight="false" outlineLevel="0" collapsed="false">
      <c r="A408" s="2" t="n">
        <v>368440917</v>
      </c>
      <c r="B408" s="29" t="n">
        <v>46233.6147569444</v>
      </c>
      <c r="C408" s="2" t="s">
        <v>153</v>
      </c>
      <c r="D408" s="2" t="s">
        <v>591</v>
      </c>
      <c r="E408" s="2" t="s">
        <v>78</v>
      </c>
      <c r="F408" s="2" t="s">
        <v>107</v>
      </c>
      <c r="G408" s="30" t="n">
        <v>39</v>
      </c>
      <c r="H408" s="11" t="n">
        <v>515.19</v>
      </c>
      <c r="I408" s="11" t="s">
        <v>155</v>
      </c>
      <c r="J408" s="11" t="n">
        <v>92.33</v>
      </c>
      <c r="K408" s="11" t="n">
        <v>93.97</v>
      </c>
      <c r="L408" s="11" t="n">
        <v>0.5152</v>
      </c>
      <c r="M408" s="11" t="n">
        <v>1.0304</v>
      </c>
      <c r="N408" s="11" t="n">
        <v>1</v>
      </c>
      <c r="O408" s="11" t="n">
        <v>4.5</v>
      </c>
      <c r="P408" s="11" t="n">
        <v>2.34</v>
      </c>
      <c r="Q408" s="11" t="n">
        <v>17.55</v>
      </c>
      <c r="R408" s="11" t="n">
        <f aca="false">SUM(K408:Q408)</f>
        <v>120.9056</v>
      </c>
      <c r="S408" s="11" t="n">
        <f aca="false">R408/(1-Resumo!$C$6)</f>
        <v>137.392727272727</v>
      </c>
      <c r="T408" s="11" t="n">
        <f aca="false">S408-J408</f>
        <v>45.0627272727273</v>
      </c>
      <c r="U408" s="12" t="n">
        <f aca="false">IFERROR(S408/J408-1,0)</f>
        <v>0.488061597235213</v>
      </c>
      <c r="V408" s="2" t="str">
        <f aca="false">IF(S408&lt;J408,"SIM","NÃO")</f>
        <v>NÃO</v>
      </c>
      <c r="W408" s="2" t="n">
        <v>5</v>
      </c>
      <c r="X408" s="2" t="s">
        <v>156</v>
      </c>
    </row>
    <row r="409" customFormat="false" ht="15" hidden="false" customHeight="false" outlineLevel="0" collapsed="false">
      <c r="A409" s="2" t="n">
        <v>368443840</v>
      </c>
      <c r="B409" s="29" t="n">
        <v>46233.6209953704</v>
      </c>
      <c r="C409" s="2" t="s">
        <v>153</v>
      </c>
      <c r="D409" s="2" t="s">
        <v>592</v>
      </c>
      <c r="E409" s="2" t="s">
        <v>78</v>
      </c>
      <c r="F409" s="2" t="s">
        <v>113</v>
      </c>
      <c r="G409" s="30" t="n">
        <v>117.5</v>
      </c>
      <c r="H409" s="11" t="n">
        <v>1349.99</v>
      </c>
      <c r="I409" s="11" t="s">
        <v>155</v>
      </c>
      <c r="J409" s="11" t="n">
        <v>186.11</v>
      </c>
      <c r="K409" s="11" t="n">
        <v>201.59</v>
      </c>
      <c r="L409" s="11" t="n">
        <v>1.35</v>
      </c>
      <c r="M409" s="11" t="n">
        <v>2.7</v>
      </c>
      <c r="N409" s="11" t="n">
        <v>1</v>
      </c>
      <c r="O409" s="11" t="n">
        <v>9</v>
      </c>
      <c r="P409" s="11" t="n">
        <v>7.08</v>
      </c>
      <c r="Q409" s="11" t="n">
        <v>53.1</v>
      </c>
      <c r="R409" s="11" t="n">
        <f aca="false">SUM(K409:Q409)</f>
        <v>275.82</v>
      </c>
      <c r="S409" s="11" t="n">
        <f aca="false">R409/(1-Resumo!$C$6)</f>
        <v>313.431818181818</v>
      </c>
      <c r="T409" s="11" t="n">
        <f aca="false">S409-J409</f>
        <v>127.321818181818</v>
      </c>
      <c r="U409" s="12" t="n">
        <f aca="false">IFERROR(S409/J409-1,0)</f>
        <v>0.684121316328076</v>
      </c>
      <c r="V409" s="2" t="str">
        <f aca="false">IF(S409&lt;J409,"SIM","NÃO")</f>
        <v>NÃO</v>
      </c>
      <c r="W409" s="2" t="n">
        <v>5</v>
      </c>
      <c r="X409" s="2" t="s">
        <v>156</v>
      </c>
    </row>
    <row r="410" customFormat="false" ht="15" hidden="false" customHeight="false" outlineLevel="0" collapsed="false">
      <c r="A410" s="2" t="n">
        <v>368446760</v>
      </c>
      <c r="B410" s="29" t="n">
        <v>46233.6272800926</v>
      </c>
      <c r="C410" s="2" t="s">
        <v>153</v>
      </c>
      <c r="D410" s="2" t="s">
        <v>593</v>
      </c>
      <c r="E410" s="2" t="s">
        <v>594</v>
      </c>
      <c r="F410" s="2" t="s">
        <v>107</v>
      </c>
      <c r="G410" s="30" t="n">
        <v>36.9</v>
      </c>
      <c r="H410" s="11" t="n">
        <v>389.99</v>
      </c>
      <c r="I410" s="11" t="s">
        <v>350</v>
      </c>
      <c r="J410" s="11" t="n">
        <v>122.57</v>
      </c>
      <c r="K410" s="11" t="n">
        <v>143.04</v>
      </c>
      <c r="L410" s="11" t="n">
        <v>0.39</v>
      </c>
      <c r="M410" s="11" t="n">
        <v>0.78</v>
      </c>
      <c r="N410" s="11" t="n">
        <v>1</v>
      </c>
      <c r="O410" s="11" t="n">
        <v>4.5</v>
      </c>
      <c r="P410" s="11" t="n">
        <v>2.22</v>
      </c>
      <c r="Q410" s="11" t="n">
        <v>16.65</v>
      </c>
      <c r="R410" s="11" t="n">
        <f aca="false">SUM(K410:Q410)</f>
        <v>168.58</v>
      </c>
      <c r="S410" s="11" t="n">
        <f aca="false">R410/(1-Resumo!$C$6)</f>
        <v>191.568181818182</v>
      </c>
      <c r="T410" s="11" t="n">
        <f aca="false">S410-J410</f>
        <v>68.9981818181818</v>
      </c>
      <c r="U410" s="12" t="n">
        <f aca="false">IFERROR(S410/J410-1,0)</f>
        <v>0.562928790227477</v>
      </c>
      <c r="V410" s="2" t="str">
        <f aca="false">IF(S410&lt;J410,"SIM","NÃO")</f>
        <v>NÃO</v>
      </c>
      <c r="W410" s="2" t="n">
        <v>11</v>
      </c>
      <c r="X410" s="2" t="s">
        <v>161</v>
      </c>
    </row>
    <row r="411" customFormat="false" ht="15" hidden="false" customHeight="false" outlineLevel="0" collapsed="false">
      <c r="A411" s="2" t="n">
        <v>368457198</v>
      </c>
      <c r="B411" s="29" t="n">
        <v>46233.6435069444</v>
      </c>
      <c r="C411" s="2" t="s">
        <v>153</v>
      </c>
      <c r="D411" s="2" t="s">
        <v>595</v>
      </c>
      <c r="E411" s="2" t="s">
        <v>78</v>
      </c>
      <c r="F411" s="2" t="s">
        <v>113</v>
      </c>
      <c r="G411" s="30" t="n">
        <v>106.5</v>
      </c>
      <c r="H411" s="11" t="n">
        <v>1199.99</v>
      </c>
      <c r="I411" s="11" t="s">
        <v>350</v>
      </c>
      <c r="J411" s="11" t="n">
        <v>183.16</v>
      </c>
      <c r="K411" s="11" t="n">
        <v>201.59</v>
      </c>
      <c r="L411" s="11" t="n">
        <v>1.2</v>
      </c>
      <c r="M411" s="11" t="n">
        <v>2.4</v>
      </c>
      <c r="N411" s="11" t="n">
        <v>1</v>
      </c>
      <c r="O411" s="11" t="n">
        <v>9</v>
      </c>
      <c r="P411" s="11" t="n">
        <v>6.42</v>
      </c>
      <c r="Q411" s="11" t="n">
        <v>48.15</v>
      </c>
      <c r="R411" s="11" t="n">
        <f aca="false">SUM(K411:Q411)</f>
        <v>269.76</v>
      </c>
      <c r="S411" s="11" t="n">
        <f aca="false">R411/(1-Resumo!$C$6)</f>
        <v>306.545454545455</v>
      </c>
      <c r="T411" s="11" t="n">
        <f aca="false">S411-J411</f>
        <v>123.385454545455</v>
      </c>
      <c r="U411" s="12" t="n">
        <f aca="false">IFERROR(S411/J411-1,0)</f>
        <v>0.673648474259962</v>
      </c>
      <c r="V411" s="2" t="str">
        <f aca="false">IF(S411&lt;J411,"SIM","NÃO")</f>
        <v>NÃO</v>
      </c>
      <c r="W411" s="2" t="n">
        <v>5</v>
      </c>
      <c r="X411" s="2" t="s">
        <v>156</v>
      </c>
    </row>
    <row r="412" customFormat="false" ht="15" hidden="false" customHeight="false" outlineLevel="0" collapsed="false">
      <c r="A412" s="2" t="n">
        <v>368483774</v>
      </c>
      <c r="B412" s="29" t="n">
        <v>46233.6851041667</v>
      </c>
      <c r="C412" s="2" t="s">
        <v>158</v>
      </c>
      <c r="D412" s="2" t="s">
        <v>596</v>
      </c>
      <c r="E412" s="2" t="s">
        <v>78</v>
      </c>
      <c r="F412" s="2" t="s">
        <v>107</v>
      </c>
      <c r="G412" s="30" t="n">
        <v>38.15</v>
      </c>
      <c r="H412" s="11" t="n">
        <v>418</v>
      </c>
      <c r="I412" s="11" t="s">
        <v>155</v>
      </c>
      <c r="J412" s="11" t="n">
        <v>91.86</v>
      </c>
      <c r="K412" s="11" t="n">
        <v>93.97</v>
      </c>
      <c r="L412" s="11" t="n">
        <v>0.418</v>
      </c>
      <c r="M412" s="11" t="n">
        <v>0.836</v>
      </c>
      <c r="N412" s="11" t="n">
        <v>1</v>
      </c>
      <c r="O412" s="11" t="n">
        <v>4.5</v>
      </c>
      <c r="P412" s="11" t="n">
        <v>2.34</v>
      </c>
      <c r="Q412" s="11" t="n">
        <v>17.55</v>
      </c>
      <c r="R412" s="11" t="n">
        <f aca="false">SUM(K412:Q412)</f>
        <v>120.614</v>
      </c>
      <c r="S412" s="11" t="n">
        <f aca="false">R412/(1-Resumo!$C$6)</f>
        <v>137.061363636364</v>
      </c>
      <c r="T412" s="11" t="n">
        <f aca="false">S412-J412</f>
        <v>45.2013636363636</v>
      </c>
      <c r="U412" s="12" t="n">
        <f aca="false">IFERROR(S412/J412-1,0)</f>
        <v>0.492067969043802</v>
      </c>
      <c r="V412" s="2" t="str">
        <f aca="false">IF(S412&lt;J412,"SIM","NÃO")</f>
        <v>NÃO</v>
      </c>
      <c r="W412" s="2" t="n">
        <v>5</v>
      </c>
      <c r="X412" s="2" t="s">
        <v>156</v>
      </c>
    </row>
    <row r="413" customFormat="false" ht="15" hidden="false" customHeight="false" outlineLevel="0" collapsed="false">
      <c r="A413" s="2" t="n">
        <v>368503920</v>
      </c>
      <c r="B413" s="29" t="n">
        <v>46233.7329050926</v>
      </c>
      <c r="C413" s="2" t="s">
        <v>153</v>
      </c>
      <c r="D413" s="2" t="s">
        <v>597</v>
      </c>
      <c r="E413" s="2" t="s">
        <v>78</v>
      </c>
      <c r="F413" s="2" t="s">
        <v>106</v>
      </c>
      <c r="G413" s="30" t="n">
        <v>27.4</v>
      </c>
      <c r="H413" s="11" t="n">
        <v>359.99</v>
      </c>
      <c r="I413" s="11" t="s">
        <v>155</v>
      </c>
      <c r="J413" s="11" t="n">
        <v>82.05</v>
      </c>
      <c r="K413" s="11" t="n">
        <v>82.21</v>
      </c>
      <c r="L413" s="11" t="n">
        <v>0.36</v>
      </c>
      <c r="M413" s="11" t="n">
        <v>0.72</v>
      </c>
      <c r="N413" s="11" t="n">
        <v>1</v>
      </c>
      <c r="O413" s="11" t="n">
        <v>4.5</v>
      </c>
      <c r="P413" s="11" t="n">
        <v>1.68</v>
      </c>
      <c r="Q413" s="11" t="n">
        <v>12.6</v>
      </c>
      <c r="R413" s="11" t="n">
        <f aca="false">SUM(K413:Q413)</f>
        <v>103.07</v>
      </c>
      <c r="S413" s="11" t="n">
        <f aca="false">R413/(1-Resumo!$C$6)</f>
        <v>117.125</v>
      </c>
      <c r="T413" s="11" t="n">
        <f aca="false">S413-J413</f>
        <v>35.075</v>
      </c>
      <c r="U413" s="12" t="n">
        <f aca="false">IFERROR(S413/J413-1,0)</f>
        <v>0.427483241925655</v>
      </c>
      <c r="V413" s="2" t="str">
        <f aca="false">IF(S413&lt;J413,"SIM","NÃO")</f>
        <v>NÃO</v>
      </c>
      <c r="W413" s="2" t="n">
        <v>5</v>
      </c>
      <c r="X413" s="2" t="s">
        <v>156</v>
      </c>
    </row>
    <row r="414" customFormat="false" ht="15" hidden="false" customHeight="false" outlineLevel="0" collapsed="false">
      <c r="A414" s="2" t="n">
        <v>368506039</v>
      </c>
      <c r="B414" s="29" t="n">
        <v>46233.7376388889</v>
      </c>
      <c r="C414" s="2" t="s">
        <v>153</v>
      </c>
      <c r="D414" s="2" t="s">
        <v>598</v>
      </c>
      <c r="E414" s="2" t="s">
        <v>78</v>
      </c>
      <c r="F414" s="2" t="s">
        <v>108</v>
      </c>
      <c r="G414" s="30" t="n">
        <v>48.3</v>
      </c>
      <c r="H414" s="11" t="n">
        <v>559.99</v>
      </c>
      <c r="I414" s="11" t="s">
        <v>350</v>
      </c>
      <c r="J414" s="11" t="n">
        <v>105.18</v>
      </c>
      <c r="K414" s="11" t="n">
        <v>93.97</v>
      </c>
      <c r="L414" s="11" t="n">
        <v>0.56</v>
      </c>
      <c r="M414" s="11" t="n">
        <v>1.12</v>
      </c>
      <c r="N414" s="11" t="n">
        <v>1</v>
      </c>
      <c r="O414" s="11" t="n">
        <v>4.5</v>
      </c>
      <c r="P414" s="11" t="n">
        <v>2.94</v>
      </c>
      <c r="Q414" s="11" t="n">
        <v>22.05</v>
      </c>
      <c r="R414" s="11" t="n">
        <f aca="false">SUM(K414:Q414)</f>
        <v>126.14</v>
      </c>
      <c r="S414" s="11" t="n">
        <f aca="false">R414/(1-Resumo!$C$6)</f>
        <v>143.340909090909</v>
      </c>
      <c r="T414" s="11" t="n">
        <f aca="false">S414-J414</f>
        <v>38.1609090909091</v>
      </c>
      <c r="U414" s="12" t="n">
        <f aca="false">IFERROR(S414/J414-1,0)</f>
        <v>0.362815260419368</v>
      </c>
      <c r="V414" s="2" t="str">
        <f aca="false">IF(S414&lt;J414,"SIM","NÃO")</f>
        <v>NÃO</v>
      </c>
      <c r="W414" s="2" t="n">
        <v>5</v>
      </c>
      <c r="X414" s="2" t="s">
        <v>156</v>
      </c>
    </row>
    <row r="415" customFormat="false" ht="15" hidden="false" customHeight="false" outlineLevel="0" collapsed="false">
      <c r="A415" s="2" t="n">
        <v>368512015</v>
      </c>
      <c r="B415" s="29" t="n">
        <v>46233.7516319445</v>
      </c>
      <c r="C415" s="2" t="s">
        <v>153</v>
      </c>
      <c r="D415" s="2" t="s">
        <v>599</v>
      </c>
      <c r="E415" s="2" t="s">
        <v>78</v>
      </c>
      <c r="F415" s="2" t="s">
        <v>109</v>
      </c>
      <c r="G415" s="30" t="n">
        <v>52.3</v>
      </c>
      <c r="H415" s="11" t="n">
        <v>685.84</v>
      </c>
      <c r="I415" s="11" t="s">
        <v>350</v>
      </c>
      <c r="J415" s="11" t="n">
        <v>113.56</v>
      </c>
      <c r="K415" s="11" t="n">
        <v>112.3</v>
      </c>
      <c r="L415" s="11" t="n">
        <v>0.6858</v>
      </c>
      <c r="M415" s="11" t="n">
        <v>1.3717</v>
      </c>
      <c r="N415" s="11" t="n">
        <v>1</v>
      </c>
      <c r="O415" s="11" t="n">
        <v>4.5</v>
      </c>
      <c r="P415" s="11" t="n">
        <v>3.18</v>
      </c>
      <c r="Q415" s="11" t="n">
        <v>23.85</v>
      </c>
      <c r="R415" s="11" t="n">
        <f aca="false">SUM(K415:Q415)</f>
        <v>146.8875</v>
      </c>
      <c r="S415" s="11" t="n">
        <f aca="false">R415/(1-Resumo!$C$6)</f>
        <v>166.917613636364</v>
      </c>
      <c r="T415" s="11" t="n">
        <f aca="false">S415-J415</f>
        <v>53.3576136363636</v>
      </c>
      <c r="U415" s="12" t="n">
        <f aca="false">IFERROR(S415/J415-1,0)</f>
        <v>0.469862747766499</v>
      </c>
      <c r="V415" s="2" t="str">
        <f aca="false">IF(S415&lt;J415,"SIM","NÃO")</f>
        <v>NÃO</v>
      </c>
      <c r="W415" s="2" t="n">
        <v>5</v>
      </c>
      <c r="X415" s="2" t="s">
        <v>156</v>
      </c>
    </row>
    <row r="416" customFormat="false" ht="15" hidden="false" customHeight="false" outlineLevel="0" collapsed="false">
      <c r="A416" s="2" t="n">
        <v>368510232</v>
      </c>
      <c r="B416" s="29" t="n">
        <v>46233.7567824074</v>
      </c>
      <c r="C416" s="2" t="s">
        <v>178</v>
      </c>
      <c r="D416" s="2" t="s">
        <v>600</v>
      </c>
      <c r="E416" s="2" t="s">
        <v>601</v>
      </c>
      <c r="F416" s="2" t="s">
        <v>106</v>
      </c>
      <c r="G416" s="30" t="n">
        <v>22.4</v>
      </c>
      <c r="H416" s="11" t="n">
        <v>424.99</v>
      </c>
      <c r="I416" s="11" t="s">
        <v>350</v>
      </c>
      <c r="J416" s="11" t="n">
        <v>104.95</v>
      </c>
      <c r="K416" s="11" t="n">
        <v>120.78</v>
      </c>
      <c r="L416" s="11" t="n">
        <v>0.425</v>
      </c>
      <c r="M416" s="11" t="n">
        <v>0.85</v>
      </c>
      <c r="N416" s="11" t="n">
        <v>1</v>
      </c>
      <c r="O416" s="11" t="n">
        <v>4.5</v>
      </c>
      <c r="P416" s="11" t="n">
        <v>1.38</v>
      </c>
      <c r="Q416" s="11" t="n">
        <v>10.35</v>
      </c>
      <c r="R416" s="11" t="n">
        <f aca="false">SUM(K416:Q416)</f>
        <v>139.285</v>
      </c>
      <c r="S416" s="11" t="n">
        <f aca="false">R416/(1-Resumo!$C$6)</f>
        <v>158.278409090909</v>
      </c>
      <c r="T416" s="11" t="n">
        <f aca="false">S416-J416</f>
        <v>53.3284090909091</v>
      </c>
      <c r="U416" s="12" t="n">
        <f aca="false">IFERROR(S416/J416-1,0)</f>
        <v>0.508131577807614</v>
      </c>
      <c r="V416" s="2" t="str">
        <f aca="false">IF(S416&lt;J416,"SIM","NÃO")</f>
        <v>NÃO</v>
      </c>
      <c r="W416" s="2" t="n">
        <v>10</v>
      </c>
      <c r="X416" s="2" t="s">
        <v>161</v>
      </c>
    </row>
    <row r="417" customFormat="false" ht="15" hidden="false" customHeight="false" outlineLevel="0" collapsed="false">
      <c r="A417" s="2" t="n">
        <v>368532852</v>
      </c>
      <c r="B417" s="29" t="n">
        <v>46233.7978935185</v>
      </c>
      <c r="C417" s="2" t="s">
        <v>153</v>
      </c>
      <c r="D417" s="2" t="s">
        <v>602</v>
      </c>
      <c r="E417" s="2" t="s">
        <v>80</v>
      </c>
      <c r="F417" s="2" t="s">
        <v>113</v>
      </c>
      <c r="G417" s="30" t="n">
        <v>106.5</v>
      </c>
      <c r="H417" s="11" t="n">
        <v>1249.99</v>
      </c>
      <c r="I417" s="11" t="s">
        <v>155</v>
      </c>
      <c r="J417" s="11" t="n">
        <v>195.82</v>
      </c>
      <c r="K417" s="11" t="n">
        <v>201.59</v>
      </c>
      <c r="L417" s="11" t="n">
        <v>1.25</v>
      </c>
      <c r="M417" s="11" t="n">
        <v>2.5</v>
      </c>
      <c r="N417" s="11" t="n">
        <v>1</v>
      </c>
      <c r="O417" s="11" t="n">
        <v>9</v>
      </c>
      <c r="P417" s="11" t="n">
        <v>6.42</v>
      </c>
      <c r="Q417" s="11" t="n">
        <v>48.15</v>
      </c>
      <c r="R417" s="11" t="n">
        <f aca="false">SUM(K417:Q417)</f>
        <v>269.91</v>
      </c>
      <c r="S417" s="11" t="n">
        <f aca="false">R417/(1-Resumo!$C$6)</f>
        <v>306.715909090909</v>
      </c>
      <c r="T417" s="11" t="n">
        <f aca="false">S417-J417</f>
        <v>110.895909090909</v>
      </c>
      <c r="U417" s="12" t="n">
        <f aca="false">IFERROR(S417/J417-1,0)</f>
        <v>0.56631554024568</v>
      </c>
      <c r="V417" s="2" t="str">
        <f aca="false">IF(S417&lt;J417,"SIM","NÃO")</f>
        <v>NÃO</v>
      </c>
      <c r="W417" s="2" t="n">
        <v>5</v>
      </c>
      <c r="X417" s="2" t="s">
        <v>156</v>
      </c>
    </row>
    <row r="418" customFormat="false" ht="15" hidden="false" customHeight="false" outlineLevel="0" collapsed="false">
      <c r="A418" s="2" t="n">
        <v>368538252</v>
      </c>
      <c r="B418" s="29" t="n">
        <v>46233.8104166667</v>
      </c>
      <c r="C418" s="2" t="s">
        <v>153</v>
      </c>
      <c r="D418" s="2" t="s">
        <v>603</v>
      </c>
      <c r="E418" s="2" t="s">
        <v>78</v>
      </c>
      <c r="F418" s="2" t="s">
        <v>109</v>
      </c>
      <c r="G418" s="30" t="n">
        <v>52.3</v>
      </c>
      <c r="H418" s="11" t="n">
        <v>685.84</v>
      </c>
      <c r="I418" s="11" t="s">
        <v>350</v>
      </c>
      <c r="J418" s="11" t="n">
        <v>113.56</v>
      </c>
      <c r="K418" s="11" t="n">
        <v>112.3</v>
      </c>
      <c r="L418" s="11" t="n">
        <v>0.6858</v>
      </c>
      <c r="M418" s="11" t="n">
        <v>1.3717</v>
      </c>
      <c r="N418" s="11" t="n">
        <v>1</v>
      </c>
      <c r="O418" s="11" t="n">
        <v>4.5</v>
      </c>
      <c r="P418" s="11" t="n">
        <v>3.18</v>
      </c>
      <c r="Q418" s="11" t="n">
        <v>23.85</v>
      </c>
      <c r="R418" s="11" t="n">
        <f aca="false">SUM(K418:Q418)</f>
        <v>146.8875</v>
      </c>
      <c r="S418" s="11" t="n">
        <f aca="false">R418/(1-Resumo!$C$6)</f>
        <v>166.917613636364</v>
      </c>
      <c r="T418" s="11" t="n">
        <f aca="false">S418-J418</f>
        <v>53.3576136363636</v>
      </c>
      <c r="U418" s="12" t="n">
        <f aca="false">IFERROR(S418/J418-1,0)</f>
        <v>0.469862747766499</v>
      </c>
      <c r="V418" s="2" t="str">
        <f aca="false">IF(S418&lt;J418,"SIM","NÃO")</f>
        <v>NÃO</v>
      </c>
      <c r="W418" s="2" t="n">
        <v>5</v>
      </c>
      <c r="X418" s="2" t="s">
        <v>156</v>
      </c>
    </row>
    <row r="419" customFormat="false" ht="15" hidden="false" customHeight="false" outlineLevel="0" collapsed="false">
      <c r="A419" s="2" t="n">
        <v>368552069</v>
      </c>
      <c r="B419" s="29" t="n">
        <v>46233.8405902778</v>
      </c>
      <c r="C419" s="2" t="s">
        <v>153</v>
      </c>
      <c r="D419" s="2" t="s">
        <v>604</v>
      </c>
      <c r="E419" s="2" t="s">
        <v>78</v>
      </c>
      <c r="F419" s="2" t="s">
        <v>109</v>
      </c>
      <c r="G419" s="30" t="n">
        <v>52.3</v>
      </c>
      <c r="H419" s="11" t="n">
        <v>685.84</v>
      </c>
      <c r="I419" s="11" t="s">
        <v>350</v>
      </c>
      <c r="J419" s="11" t="n">
        <v>113.56</v>
      </c>
      <c r="K419" s="11" t="n">
        <v>112.3</v>
      </c>
      <c r="L419" s="11" t="n">
        <v>0.6858</v>
      </c>
      <c r="M419" s="11" t="n">
        <v>1.3717</v>
      </c>
      <c r="N419" s="11" t="n">
        <v>1</v>
      </c>
      <c r="O419" s="11" t="n">
        <v>4.5</v>
      </c>
      <c r="P419" s="11" t="n">
        <v>3.18</v>
      </c>
      <c r="Q419" s="11" t="n">
        <v>23.85</v>
      </c>
      <c r="R419" s="11" t="n">
        <f aca="false">SUM(K419:Q419)</f>
        <v>146.8875</v>
      </c>
      <c r="S419" s="11" t="n">
        <f aca="false">R419/(1-Resumo!$C$6)</f>
        <v>166.917613636364</v>
      </c>
      <c r="T419" s="11" t="n">
        <f aca="false">S419-J419</f>
        <v>53.3576136363636</v>
      </c>
      <c r="U419" s="12" t="n">
        <f aca="false">IFERROR(S419/J419-1,0)</f>
        <v>0.469862747766499</v>
      </c>
      <c r="V419" s="2" t="str">
        <f aca="false">IF(S419&lt;J419,"SIM","NÃO")</f>
        <v>NÃO</v>
      </c>
      <c r="W419" s="2" t="n">
        <v>5</v>
      </c>
      <c r="X419" s="2" t="s">
        <v>156</v>
      </c>
    </row>
    <row r="420" customFormat="false" ht="15" hidden="false" customHeight="false" outlineLevel="0" collapsed="false">
      <c r="A420" s="2" t="n">
        <v>368561116</v>
      </c>
      <c r="B420" s="29" t="n">
        <v>46233.8573148148</v>
      </c>
      <c r="C420" s="2" t="s">
        <v>153</v>
      </c>
      <c r="D420" s="2" t="s">
        <v>605</v>
      </c>
      <c r="E420" s="2" t="s">
        <v>92</v>
      </c>
      <c r="F420" s="2" t="s">
        <v>109</v>
      </c>
      <c r="G420" s="30" t="n">
        <v>53.5</v>
      </c>
      <c r="H420" s="11" t="n">
        <v>649.99</v>
      </c>
      <c r="I420" s="11" t="s">
        <v>350</v>
      </c>
      <c r="J420" s="11" t="n">
        <v>142.27</v>
      </c>
      <c r="K420" s="11" t="n">
        <v>142.32</v>
      </c>
      <c r="L420" s="11" t="n">
        <v>0.65</v>
      </c>
      <c r="M420" s="11" t="n">
        <v>1.3</v>
      </c>
      <c r="N420" s="11" t="n">
        <v>1</v>
      </c>
      <c r="O420" s="11" t="n">
        <v>4.5</v>
      </c>
      <c r="P420" s="11" t="n">
        <v>3.24</v>
      </c>
      <c r="Q420" s="11" t="n">
        <v>24.3</v>
      </c>
      <c r="R420" s="11" t="n">
        <f aca="false">SUM(K420:Q420)</f>
        <v>177.31</v>
      </c>
      <c r="S420" s="11" t="n">
        <f aca="false">R420/(1-Resumo!$C$6)</f>
        <v>201.488636363636</v>
      </c>
      <c r="T420" s="11" t="n">
        <f aca="false">S420-J420</f>
        <v>59.2186363636364</v>
      </c>
      <c r="U420" s="12" t="n">
        <f aca="false">IFERROR(S420/J420-1,0)</f>
        <v>0.416241205901711</v>
      </c>
      <c r="V420" s="2" t="str">
        <f aca="false">IF(S420&lt;J420,"SIM","NÃO")</f>
        <v>NÃO</v>
      </c>
      <c r="W420" s="2" t="n">
        <v>10</v>
      </c>
      <c r="X420" s="2" t="s">
        <v>156</v>
      </c>
    </row>
    <row r="421" customFormat="false" ht="15" hidden="false" customHeight="false" outlineLevel="0" collapsed="false">
      <c r="A421" s="2" t="n">
        <v>368598847</v>
      </c>
      <c r="B421" s="29" t="n">
        <v>46233.9275347222</v>
      </c>
      <c r="C421" s="2" t="s">
        <v>191</v>
      </c>
      <c r="D421" s="2" t="s">
        <v>606</v>
      </c>
      <c r="E421" s="2" t="s">
        <v>78</v>
      </c>
      <c r="F421" s="2" t="s">
        <v>109</v>
      </c>
      <c r="G421" s="30" t="n">
        <v>52.73</v>
      </c>
      <c r="H421" s="11" t="n">
        <v>568.64</v>
      </c>
      <c r="I421" s="11" t="s">
        <v>155</v>
      </c>
      <c r="J421" s="11" t="n">
        <v>113.87</v>
      </c>
      <c r="K421" s="11" t="n">
        <v>112.3</v>
      </c>
      <c r="L421" s="11" t="n">
        <v>0.5686</v>
      </c>
      <c r="M421" s="11" t="n">
        <v>1.1373</v>
      </c>
      <c r="N421" s="11" t="n">
        <v>1</v>
      </c>
      <c r="O421" s="11" t="n">
        <v>4.5</v>
      </c>
      <c r="P421" s="11" t="n">
        <v>3.18</v>
      </c>
      <c r="Q421" s="11" t="n">
        <v>23.85</v>
      </c>
      <c r="R421" s="11" t="n">
        <f aca="false">SUM(K421:Q421)</f>
        <v>146.5359</v>
      </c>
      <c r="S421" s="11" t="n">
        <f aca="false">R421/(1-Resumo!$C$6)</f>
        <v>166.518068181818</v>
      </c>
      <c r="T421" s="11" t="n">
        <f aca="false">S421-J421</f>
        <v>52.6480681818182</v>
      </c>
      <c r="U421" s="12" t="n">
        <f aca="false">IFERROR(S421/J421-1,0)</f>
        <v>0.462352403458489</v>
      </c>
      <c r="V421" s="2" t="str">
        <f aca="false">IF(S421&lt;J421,"SIM","NÃO")</f>
        <v>NÃO</v>
      </c>
      <c r="W421" s="2" t="n">
        <v>5</v>
      </c>
      <c r="X421" s="2" t="s">
        <v>156</v>
      </c>
    </row>
    <row r="422" customFormat="false" ht="15" hidden="false" customHeight="false" outlineLevel="0" collapsed="false">
      <c r="A422" s="2" t="n">
        <v>368601341</v>
      </c>
      <c r="B422" s="29" t="n">
        <v>46233.9296759259</v>
      </c>
      <c r="C422" s="2" t="s">
        <v>153</v>
      </c>
      <c r="D422" s="2" t="s">
        <v>607</v>
      </c>
      <c r="E422" s="2" t="s">
        <v>85</v>
      </c>
      <c r="F422" s="2" t="s">
        <v>108</v>
      </c>
      <c r="G422" s="30" t="n">
        <v>48.3</v>
      </c>
      <c r="H422" s="11" t="n">
        <v>459.99</v>
      </c>
      <c r="I422" s="11" t="s">
        <v>350</v>
      </c>
      <c r="J422" s="11" t="n">
        <v>132.15</v>
      </c>
      <c r="K422" s="11" t="n">
        <v>152.54</v>
      </c>
      <c r="L422" s="11" t="n">
        <v>0.46</v>
      </c>
      <c r="M422" s="11" t="n">
        <v>0.92</v>
      </c>
      <c r="N422" s="11" t="n">
        <v>1</v>
      </c>
      <c r="O422" s="11" t="n">
        <v>4.5</v>
      </c>
      <c r="P422" s="11" t="n">
        <v>2.94</v>
      </c>
      <c r="Q422" s="11" t="n">
        <v>22.05</v>
      </c>
      <c r="R422" s="11" t="n">
        <f aca="false">SUM(K422:Q422)</f>
        <v>184.41</v>
      </c>
      <c r="S422" s="11" t="n">
        <f aca="false">R422/(1-Resumo!$C$6)</f>
        <v>209.556818181818</v>
      </c>
      <c r="T422" s="11" t="n">
        <f aca="false">S422-J422</f>
        <v>77.4068181818182</v>
      </c>
      <c r="U422" s="12" t="n">
        <f aca="false">IFERROR(S422/J422-1,0)</f>
        <v>0.585749664637292</v>
      </c>
      <c r="V422" s="2" t="str">
        <f aca="false">IF(S422&lt;J422,"SIM","NÃO")</f>
        <v>NÃO</v>
      </c>
      <c r="W422" s="2" t="n">
        <v>11</v>
      </c>
      <c r="X422" s="2" t="s">
        <v>156</v>
      </c>
    </row>
    <row r="423" customFormat="false" ht="15" hidden="false" customHeight="false" outlineLevel="0" collapsed="false">
      <c r="A423" s="2" t="n">
        <v>368603143</v>
      </c>
      <c r="B423" s="29" t="n">
        <v>46233.9340740741</v>
      </c>
      <c r="C423" s="2" t="s">
        <v>153</v>
      </c>
      <c r="D423" s="2" t="s">
        <v>608</v>
      </c>
      <c r="E423" s="2" t="s">
        <v>80</v>
      </c>
      <c r="F423" s="2" t="s">
        <v>107</v>
      </c>
      <c r="G423" s="30" t="n">
        <v>39.8</v>
      </c>
      <c r="H423" s="11" t="n">
        <v>499.99</v>
      </c>
      <c r="I423" s="11" t="s">
        <v>155</v>
      </c>
      <c r="J423" s="11" t="n">
        <v>113.35</v>
      </c>
      <c r="K423" s="11" t="n">
        <v>93.97</v>
      </c>
      <c r="L423" s="11" t="n">
        <v>0.5</v>
      </c>
      <c r="M423" s="11" t="n">
        <v>1</v>
      </c>
      <c r="N423" s="11" t="n">
        <v>1</v>
      </c>
      <c r="O423" s="11" t="n">
        <v>4.5</v>
      </c>
      <c r="P423" s="11" t="n">
        <v>2.4</v>
      </c>
      <c r="Q423" s="11" t="n">
        <v>18</v>
      </c>
      <c r="R423" s="11" t="n">
        <f aca="false">SUM(K423:Q423)</f>
        <v>121.37</v>
      </c>
      <c r="S423" s="11" t="n">
        <f aca="false">R423/(1-Resumo!$C$6)</f>
        <v>137.920454545455</v>
      </c>
      <c r="T423" s="11" t="n">
        <f aca="false">S423-J423</f>
        <v>24.5704545454546</v>
      </c>
      <c r="U423" s="12" t="n">
        <f aca="false">IFERROR(S423/J423-1,0)</f>
        <v>0.2167662509524</v>
      </c>
      <c r="V423" s="2" t="str">
        <f aca="false">IF(S423&lt;J423,"SIM","NÃO")</f>
        <v>NÃO</v>
      </c>
      <c r="W423" s="2" t="n">
        <v>5</v>
      </c>
      <c r="X423" s="2" t="s">
        <v>156</v>
      </c>
    </row>
    <row r="424" customFormat="false" ht="15" hidden="false" customHeight="false" outlineLevel="0" collapsed="false">
      <c r="A424" s="2" t="n">
        <v>368613000</v>
      </c>
      <c r="B424" s="29" t="n">
        <v>46233.9577893519</v>
      </c>
      <c r="C424" s="2" t="s">
        <v>158</v>
      </c>
      <c r="D424" s="2" t="s">
        <v>609</v>
      </c>
      <c r="E424" s="2" t="s">
        <v>203</v>
      </c>
      <c r="F424" s="2" t="s">
        <v>109</v>
      </c>
      <c r="G424" s="30" t="n">
        <v>56.7</v>
      </c>
      <c r="H424" s="11" t="n">
        <v>663.52</v>
      </c>
      <c r="I424" s="11" t="s">
        <v>350</v>
      </c>
      <c r="J424" s="11" t="n">
        <v>143.88</v>
      </c>
      <c r="K424" s="11" t="n">
        <v>122.3</v>
      </c>
      <c r="L424" s="11" t="n">
        <v>0.6635</v>
      </c>
      <c r="M424" s="11" t="n">
        <v>1.327</v>
      </c>
      <c r="N424" s="11" t="n">
        <v>1</v>
      </c>
      <c r="O424" s="11" t="n">
        <v>4.5</v>
      </c>
      <c r="P424" s="11" t="n">
        <v>3.42</v>
      </c>
      <c r="Q424" s="11" t="n">
        <v>25.65</v>
      </c>
      <c r="R424" s="11" t="n">
        <f aca="false">SUM(K424:Q424)</f>
        <v>158.8605</v>
      </c>
      <c r="S424" s="11" t="n">
        <f aca="false">R424/(1-Resumo!$C$6)</f>
        <v>180.523295454545</v>
      </c>
      <c r="T424" s="11" t="n">
        <f aca="false">S424-J424</f>
        <v>36.6432954545455</v>
      </c>
      <c r="U424" s="12" t="n">
        <f aca="false">IFERROR(S424/J424-1,0)</f>
        <v>0.254679562514216</v>
      </c>
      <c r="V424" s="2" t="str">
        <f aca="false">IF(S424&lt;J424,"SIM","NÃO")</f>
        <v>NÃO</v>
      </c>
      <c r="W424" s="2" t="n">
        <v>5</v>
      </c>
      <c r="X424" s="2" t="s">
        <v>161</v>
      </c>
    </row>
    <row r="425" customFormat="false" ht="15" hidden="false" customHeight="false" outlineLevel="0" collapsed="false">
      <c r="A425" s="2" t="n">
        <v>368628102</v>
      </c>
      <c r="B425" s="29" t="n">
        <v>46234.0036689815</v>
      </c>
      <c r="C425" s="2" t="s">
        <v>194</v>
      </c>
      <c r="D425" s="2" t="s">
        <v>610</v>
      </c>
      <c r="E425" s="2" t="s">
        <v>78</v>
      </c>
      <c r="F425" s="2" t="s">
        <v>108</v>
      </c>
      <c r="G425" s="30" t="n">
        <v>48</v>
      </c>
      <c r="H425" s="11" t="n">
        <v>785.83</v>
      </c>
      <c r="I425" s="11" t="s">
        <v>350</v>
      </c>
      <c r="J425" s="11" t="n">
        <v>105.74</v>
      </c>
      <c r="K425" s="11" t="n">
        <v>93.97</v>
      </c>
      <c r="L425" s="11" t="n">
        <v>0.7858</v>
      </c>
      <c r="M425" s="11" t="n">
        <v>1.5717</v>
      </c>
      <c r="N425" s="11" t="n">
        <v>1</v>
      </c>
      <c r="O425" s="11" t="n">
        <v>4.5</v>
      </c>
      <c r="P425" s="11" t="n">
        <v>2.88</v>
      </c>
      <c r="Q425" s="11" t="n">
        <v>21.6</v>
      </c>
      <c r="R425" s="11" t="n">
        <f aca="false">SUM(K425:Q425)</f>
        <v>126.3075</v>
      </c>
      <c r="S425" s="11" t="n">
        <f aca="false">R425/(1-Resumo!$C$6)</f>
        <v>143.53125</v>
      </c>
      <c r="T425" s="11" t="n">
        <f aca="false">S425-J425</f>
        <v>37.79125</v>
      </c>
      <c r="U425" s="12" t="n">
        <f aca="false">IFERROR(S425/J425-1,0)</f>
        <v>0.35739786268205</v>
      </c>
      <c r="V425" s="2" t="str">
        <f aca="false">IF(S425&lt;J425,"SIM","NÃO")</f>
        <v>NÃO</v>
      </c>
      <c r="W425" s="2" t="n">
        <v>5</v>
      </c>
      <c r="X425" s="2" t="s">
        <v>156</v>
      </c>
    </row>
    <row r="426" customFormat="false" ht="15" hidden="false" customHeight="false" outlineLevel="0" collapsed="false">
      <c r="A426" s="2" t="n">
        <v>368636536</v>
      </c>
      <c r="B426" s="29" t="n">
        <v>46234.0259143519</v>
      </c>
      <c r="C426" s="2" t="s">
        <v>153</v>
      </c>
      <c r="D426" s="2" t="s">
        <v>611</v>
      </c>
      <c r="E426" s="2" t="s">
        <v>78</v>
      </c>
      <c r="F426" s="2" t="s">
        <v>109</v>
      </c>
      <c r="G426" s="30" t="n">
        <v>52.3</v>
      </c>
      <c r="H426" s="11" t="n">
        <v>685.84</v>
      </c>
      <c r="I426" s="11" t="s">
        <v>350</v>
      </c>
      <c r="J426" s="11" t="n">
        <v>113.56</v>
      </c>
      <c r="K426" s="11" t="n">
        <v>112.3</v>
      </c>
      <c r="L426" s="11" t="n">
        <v>0.6858</v>
      </c>
      <c r="M426" s="11" t="n">
        <v>1.3717</v>
      </c>
      <c r="N426" s="11" t="n">
        <v>1</v>
      </c>
      <c r="O426" s="11" t="n">
        <v>4.5</v>
      </c>
      <c r="P426" s="11" t="n">
        <v>3.18</v>
      </c>
      <c r="Q426" s="11" t="n">
        <v>23.85</v>
      </c>
      <c r="R426" s="11" t="n">
        <f aca="false">SUM(K426:Q426)</f>
        <v>146.8875</v>
      </c>
      <c r="S426" s="11" t="n">
        <f aca="false">R426/(1-Resumo!$C$6)</f>
        <v>166.917613636364</v>
      </c>
      <c r="T426" s="11" t="n">
        <f aca="false">S426-J426</f>
        <v>53.3576136363636</v>
      </c>
      <c r="U426" s="12" t="n">
        <f aca="false">IFERROR(S426/J426-1,0)</f>
        <v>0.469862747766499</v>
      </c>
      <c r="V426" s="2" t="str">
        <f aca="false">IF(S426&lt;J426,"SIM","NÃO")</f>
        <v>NÃO</v>
      </c>
      <c r="W426" s="2" t="n">
        <v>5</v>
      </c>
      <c r="X426" s="2" t="s">
        <v>156</v>
      </c>
    </row>
    <row r="427" customFormat="false" ht="15" hidden="false" customHeight="false" outlineLevel="0" collapsed="false">
      <c r="A427" s="2" t="n">
        <v>368644846</v>
      </c>
      <c r="B427" s="29" t="n">
        <v>46234.0555324074</v>
      </c>
      <c r="C427" s="2" t="s">
        <v>153</v>
      </c>
      <c r="D427" s="2" t="s">
        <v>612</v>
      </c>
      <c r="E427" s="2" t="s">
        <v>82</v>
      </c>
      <c r="F427" s="2" t="s">
        <v>109</v>
      </c>
      <c r="G427" s="30" t="n">
        <v>52.3</v>
      </c>
      <c r="H427" s="11" t="n">
        <v>685.84</v>
      </c>
      <c r="I427" s="11" t="s">
        <v>350</v>
      </c>
      <c r="J427" s="11" t="n">
        <v>127.62</v>
      </c>
      <c r="K427" s="11" t="n">
        <v>128.14</v>
      </c>
      <c r="L427" s="11" t="n">
        <v>0.6858</v>
      </c>
      <c r="M427" s="11" t="n">
        <v>1.3717</v>
      </c>
      <c r="N427" s="11" t="n">
        <v>1</v>
      </c>
      <c r="O427" s="11" t="n">
        <v>4.5</v>
      </c>
      <c r="P427" s="11" t="n">
        <v>3.18</v>
      </c>
      <c r="Q427" s="11" t="n">
        <v>23.85</v>
      </c>
      <c r="R427" s="11" t="n">
        <f aca="false">SUM(K427:Q427)</f>
        <v>162.7275</v>
      </c>
      <c r="S427" s="11" t="n">
        <f aca="false">R427/(1-Resumo!$C$6)</f>
        <v>184.917613636364</v>
      </c>
      <c r="T427" s="11" t="n">
        <f aca="false">S427-J427</f>
        <v>57.2976136363636</v>
      </c>
      <c r="U427" s="12" t="n">
        <f aca="false">IFERROR(S427/J427-1,0)</f>
        <v>0.448970487669359</v>
      </c>
      <c r="V427" s="2" t="str">
        <f aca="false">IF(S427&lt;J427,"SIM","NÃO")</f>
        <v>NÃO</v>
      </c>
      <c r="W427" s="2" t="n">
        <v>7</v>
      </c>
      <c r="X427" s="2" t="s">
        <v>156</v>
      </c>
    </row>
    <row r="428" customFormat="false" ht="15" hidden="false" customHeight="false" outlineLevel="0" collapsed="false">
      <c r="A428" s="2" t="n">
        <v>368705484</v>
      </c>
      <c r="B428" s="29" t="n">
        <v>46234.2966550926</v>
      </c>
      <c r="C428" s="2" t="s">
        <v>153</v>
      </c>
      <c r="D428" s="2" t="s">
        <v>613</v>
      </c>
      <c r="E428" s="2" t="s">
        <v>78</v>
      </c>
      <c r="F428" s="2" t="s">
        <v>107</v>
      </c>
      <c r="G428" s="30" t="n">
        <v>36.9</v>
      </c>
      <c r="H428" s="11" t="n">
        <v>391.87</v>
      </c>
      <c r="I428" s="11" t="s">
        <v>155</v>
      </c>
      <c r="J428" s="11" t="n">
        <v>91.73</v>
      </c>
      <c r="K428" s="11" t="n">
        <v>93.97</v>
      </c>
      <c r="L428" s="11" t="n">
        <v>0.3919</v>
      </c>
      <c r="M428" s="11" t="n">
        <v>0.7837</v>
      </c>
      <c r="N428" s="11" t="n">
        <v>1</v>
      </c>
      <c r="O428" s="11" t="n">
        <v>4.5</v>
      </c>
      <c r="P428" s="11" t="n">
        <v>2.22</v>
      </c>
      <c r="Q428" s="11" t="n">
        <v>16.65</v>
      </c>
      <c r="R428" s="11" t="n">
        <f aca="false">SUM(K428:Q428)</f>
        <v>119.5156</v>
      </c>
      <c r="S428" s="11" t="n">
        <f aca="false">R428/(1-Resumo!$C$6)</f>
        <v>135.813181818182</v>
      </c>
      <c r="T428" s="11" t="n">
        <f aca="false">S428-J428</f>
        <v>44.0831818181818</v>
      </c>
      <c r="U428" s="12" t="n">
        <f aca="false">IFERROR(S428/J428-1,0)</f>
        <v>0.480575404100968</v>
      </c>
      <c r="V428" s="2" t="str">
        <f aca="false">IF(S428&lt;J428,"SIM","NÃO")</f>
        <v>NÃO</v>
      </c>
      <c r="W428" s="2" t="n">
        <v>5</v>
      </c>
      <c r="X428" s="2" t="s">
        <v>156</v>
      </c>
    </row>
    <row r="429" customFormat="false" ht="15" hidden="false" customHeight="false" outlineLevel="0" collapsed="false">
      <c r="A429" s="2" t="n">
        <v>368725146</v>
      </c>
      <c r="B429" s="29" t="n">
        <v>46234.3576388889</v>
      </c>
      <c r="C429" s="2" t="s">
        <v>158</v>
      </c>
      <c r="D429" s="2" t="s">
        <v>614</v>
      </c>
      <c r="E429" s="2" t="s">
        <v>78</v>
      </c>
      <c r="F429" s="2" t="s">
        <v>108</v>
      </c>
      <c r="G429" s="30" t="n">
        <v>48.6</v>
      </c>
      <c r="H429" s="11" t="n">
        <v>543.29</v>
      </c>
      <c r="I429" s="11" t="s">
        <v>155</v>
      </c>
      <c r="J429" s="11" t="n">
        <v>103.19</v>
      </c>
      <c r="K429" s="11" t="n">
        <v>93.97</v>
      </c>
      <c r="L429" s="11" t="n">
        <v>0.5433</v>
      </c>
      <c r="M429" s="11" t="n">
        <v>1.0866</v>
      </c>
      <c r="N429" s="11" t="n">
        <v>1</v>
      </c>
      <c r="O429" s="11" t="n">
        <v>4.5</v>
      </c>
      <c r="P429" s="11" t="n">
        <v>2.94</v>
      </c>
      <c r="Q429" s="11" t="n">
        <v>22.05</v>
      </c>
      <c r="R429" s="11" t="n">
        <f aca="false">SUM(K429:Q429)</f>
        <v>126.0899</v>
      </c>
      <c r="S429" s="11" t="n">
        <f aca="false">R429/(1-Resumo!$C$6)</f>
        <v>143.283977272727</v>
      </c>
      <c r="T429" s="11" t="n">
        <f aca="false">S429-J429</f>
        <v>40.0939772727273</v>
      </c>
      <c r="U429" s="12" t="n">
        <f aca="false">IFERROR(S429/J429-1,0)</f>
        <v>0.388545181439357</v>
      </c>
      <c r="V429" s="2" t="str">
        <f aca="false">IF(S429&lt;J429,"SIM","NÃO")</f>
        <v>NÃO</v>
      </c>
      <c r="W429" s="2" t="n">
        <v>5</v>
      </c>
      <c r="X429" s="2" t="s">
        <v>156</v>
      </c>
    </row>
    <row r="430" customFormat="false" ht="15" hidden="false" customHeight="false" outlineLevel="0" collapsed="false">
      <c r="A430" s="2" t="n">
        <v>368731672</v>
      </c>
      <c r="B430" s="29" t="n">
        <v>46234.374224537</v>
      </c>
      <c r="C430" s="2" t="s">
        <v>153</v>
      </c>
      <c r="D430" s="2" t="s">
        <v>615</v>
      </c>
      <c r="E430" s="2" t="s">
        <v>84</v>
      </c>
      <c r="F430" s="2" t="s">
        <v>108</v>
      </c>
      <c r="G430" s="30" t="n">
        <v>48.3</v>
      </c>
      <c r="H430" s="11" t="n">
        <v>459.99</v>
      </c>
      <c r="I430" s="11" t="s">
        <v>350</v>
      </c>
      <c r="J430" s="11" t="n">
        <v>118.12</v>
      </c>
      <c r="K430" s="11" t="n">
        <v>93.97</v>
      </c>
      <c r="L430" s="11" t="n">
        <v>0.46</v>
      </c>
      <c r="M430" s="11" t="n">
        <v>0.92</v>
      </c>
      <c r="N430" s="11" t="n">
        <v>1</v>
      </c>
      <c r="O430" s="11" t="n">
        <v>4.5</v>
      </c>
      <c r="P430" s="11" t="n">
        <v>2.94</v>
      </c>
      <c r="Q430" s="11" t="n">
        <v>22.05</v>
      </c>
      <c r="R430" s="11" t="n">
        <f aca="false">SUM(K430:Q430)</f>
        <v>125.84</v>
      </c>
      <c r="S430" s="11" t="n">
        <f aca="false">R430/(1-Resumo!$C$6)</f>
        <v>143</v>
      </c>
      <c r="T430" s="11" t="n">
        <f aca="false">S430-J430</f>
        <v>24.88</v>
      </c>
      <c r="U430" s="12" t="n">
        <f aca="false">IFERROR(S430/J430-1,0)</f>
        <v>0.210633254317643</v>
      </c>
      <c r="V430" s="2" t="str">
        <f aca="false">IF(S430&lt;J430,"SIM","NÃO")</f>
        <v>NÃO</v>
      </c>
      <c r="W430" s="2" t="n">
        <v>5</v>
      </c>
      <c r="X430" s="2" t="s">
        <v>156</v>
      </c>
    </row>
    <row r="431" customFormat="false" ht="15" hidden="false" customHeight="false" outlineLevel="0" collapsed="false">
      <c r="A431" s="2" t="n">
        <v>368736783</v>
      </c>
      <c r="B431" s="29" t="n">
        <v>46234.3867939815</v>
      </c>
      <c r="C431" s="2" t="s">
        <v>158</v>
      </c>
      <c r="D431" s="2" t="s">
        <v>616</v>
      </c>
      <c r="E431" s="2" t="s">
        <v>78</v>
      </c>
      <c r="F431" s="2" t="s">
        <v>107</v>
      </c>
      <c r="G431" s="30" t="n">
        <v>36.8</v>
      </c>
      <c r="H431" s="11" t="n">
        <v>418.55</v>
      </c>
      <c r="I431" s="11" t="s">
        <v>350</v>
      </c>
      <c r="J431" s="11" t="n">
        <v>92.45</v>
      </c>
      <c r="K431" s="11" t="n">
        <v>93.97</v>
      </c>
      <c r="L431" s="11" t="n">
        <v>0.4186</v>
      </c>
      <c r="M431" s="11" t="n">
        <v>0.8371</v>
      </c>
      <c r="N431" s="11" t="n">
        <v>1</v>
      </c>
      <c r="O431" s="11" t="n">
        <v>4.5</v>
      </c>
      <c r="P431" s="11" t="n">
        <v>2.22</v>
      </c>
      <c r="Q431" s="11" t="n">
        <v>16.65</v>
      </c>
      <c r="R431" s="11" t="n">
        <f aca="false">SUM(K431:Q431)</f>
        <v>119.5957</v>
      </c>
      <c r="S431" s="11" t="n">
        <f aca="false">R431/(1-Resumo!$C$6)</f>
        <v>135.904204545455</v>
      </c>
      <c r="T431" s="11" t="n">
        <f aca="false">S431-J431</f>
        <v>43.4542045454545</v>
      </c>
      <c r="U431" s="12" t="n">
        <f aca="false">IFERROR(S431/J431-1,0)</f>
        <v>0.470029254142288</v>
      </c>
      <c r="V431" s="2" t="str">
        <f aca="false">IF(S431&lt;J431,"SIM","NÃO")</f>
        <v>NÃO</v>
      </c>
      <c r="W431" s="2" t="n">
        <v>5</v>
      </c>
      <c r="X431" s="2" t="s">
        <v>156</v>
      </c>
    </row>
    <row r="432" customFormat="false" ht="15" hidden="false" customHeight="false" outlineLevel="0" collapsed="false">
      <c r="A432" s="2" t="n">
        <v>368739102</v>
      </c>
      <c r="B432" s="29" t="n">
        <v>46234.3925115741</v>
      </c>
      <c r="C432" s="2" t="s">
        <v>153</v>
      </c>
      <c r="D432" s="2" t="s">
        <v>617</v>
      </c>
      <c r="E432" s="2" t="s">
        <v>79</v>
      </c>
      <c r="F432" s="2" t="s">
        <v>105</v>
      </c>
      <c r="G432" s="30" t="n">
        <v>19.5</v>
      </c>
      <c r="H432" s="11" t="n">
        <v>350.99</v>
      </c>
      <c r="I432" s="11" t="s">
        <v>350</v>
      </c>
      <c r="J432" s="11" t="n">
        <v>77.05</v>
      </c>
      <c r="K432" s="11" t="n">
        <v>57.47</v>
      </c>
      <c r="L432" s="11" t="n">
        <v>0.351</v>
      </c>
      <c r="M432" s="11" t="n">
        <v>0.702</v>
      </c>
      <c r="N432" s="11" t="n">
        <v>1</v>
      </c>
      <c r="O432" s="11" t="n">
        <v>4.5</v>
      </c>
      <c r="P432" s="11" t="n">
        <v>1.2</v>
      </c>
      <c r="Q432" s="11" t="n">
        <v>9</v>
      </c>
      <c r="R432" s="11" t="n">
        <f aca="false">SUM(K432:Q432)</f>
        <v>74.223</v>
      </c>
      <c r="S432" s="11" t="n">
        <f aca="false">R432/(1-Resumo!$C$6)</f>
        <v>84.3443181818182</v>
      </c>
      <c r="T432" s="11" t="n">
        <f aca="false">S432-J432</f>
        <v>7.29431818181818</v>
      </c>
      <c r="U432" s="12" t="n">
        <f aca="false">IFERROR(S432/J432-1,0)</f>
        <v>0.0946699309775234</v>
      </c>
      <c r="V432" s="2" t="str">
        <f aca="false">IF(S432&lt;J432,"SIM","NÃO")</f>
        <v>NÃO</v>
      </c>
      <c r="W432" s="2" t="n">
        <v>7</v>
      </c>
      <c r="X432" s="2" t="s">
        <v>156</v>
      </c>
    </row>
    <row r="433" customFormat="false" ht="15" hidden="false" customHeight="false" outlineLevel="0" collapsed="false">
      <c r="A433" s="2" t="n">
        <v>368758549</v>
      </c>
      <c r="B433" s="29" t="n">
        <v>46234.4359375</v>
      </c>
      <c r="C433" s="2" t="s">
        <v>153</v>
      </c>
      <c r="D433" s="2" t="s">
        <v>618</v>
      </c>
      <c r="E433" s="2" t="s">
        <v>85</v>
      </c>
      <c r="F433" s="2" t="s">
        <v>110</v>
      </c>
      <c r="G433" s="30" t="n">
        <v>61.4</v>
      </c>
      <c r="H433" s="11" t="n">
        <v>901.59</v>
      </c>
      <c r="I433" s="11" t="s">
        <v>350</v>
      </c>
      <c r="J433" s="11" t="n">
        <v>155.09</v>
      </c>
      <c r="K433" s="11" t="n">
        <v>171.54</v>
      </c>
      <c r="L433" s="11" t="n">
        <v>0.9016</v>
      </c>
      <c r="M433" s="11" t="n">
        <v>1.8032</v>
      </c>
      <c r="N433" s="11" t="n">
        <v>1</v>
      </c>
      <c r="O433" s="11" t="n">
        <v>4.5</v>
      </c>
      <c r="P433" s="11" t="n">
        <v>3.72</v>
      </c>
      <c r="Q433" s="11" t="n">
        <v>27.9</v>
      </c>
      <c r="R433" s="11" t="n">
        <f aca="false">SUM(K433:Q433)</f>
        <v>211.3648</v>
      </c>
      <c r="S433" s="11" t="n">
        <f aca="false">R433/(1-Resumo!$C$6)</f>
        <v>240.187272727273</v>
      </c>
      <c r="T433" s="11" t="n">
        <f aca="false">S433-J433</f>
        <v>85.0972727272727</v>
      </c>
      <c r="U433" s="12" t="n">
        <f aca="false">IFERROR(S433/J433-1,0)</f>
        <v>0.548696065041413</v>
      </c>
      <c r="V433" s="2" t="str">
        <f aca="false">IF(S433&lt;J433,"SIM","NÃO")</f>
        <v>NÃO</v>
      </c>
      <c r="W433" s="2" t="n">
        <v>11</v>
      </c>
      <c r="X433" s="2" t="s">
        <v>156</v>
      </c>
    </row>
    <row r="434" customFormat="false" ht="15" hidden="false" customHeight="false" outlineLevel="0" collapsed="false">
      <c r="A434" s="2" t="n">
        <v>368763045</v>
      </c>
      <c r="B434" s="29" t="n">
        <v>46234.4459490741</v>
      </c>
      <c r="C434" s="2" t="s">
        <v>153</v>
      </c>
      <c r="D434" s="2" t="s">
        <v>619</v>
      </c>
      <c r="E434" s="2" t="s">
        <v>90</v>
      </c>
      <c r="F434" s="2" t="s">
        <v>114</v>
      </c>
      <c r="G434" s="30" t="n">
        <v>124.2</v>
      </c>
      <c r="H434" s="11" t="n">
        <v>1558.08</v>
      </c>
      <c r="I434" s="11" t="s">
        <v>350</v>
      </c>
      <c r="J434" s="11" t="n">
        <v>253.05</v>
      </c>
      <c r="K434" s="11" t="n">
        <v>249.03</v>
      </c>
      <c r="L434" s="11" t="n">
        <v>1.5581</v>
      </c>
      <c r="M434" s="11" t="n">
        <v>3.1162</v>
      </c>
      <c r="N434" s="11" t="n">
        <v>1</v>
      </c>
      <c r="O434" s="11" t="n">
        <v>9</v>
      </c>
      <c r="P434" s="11" t="n">
        <v>7.5</v>
      </c>
      <c r="Q434" s="11" t="n">
        <v>56.25</v>
      </c>
      <c r="R434" s="11" t="n">
        <f aca="false">SUM(K434:Q434)</f>
        <v>327.4543</v>
      </c>
      <c r="S434" s="11" t="n">
        <f aca="false">R434/(1-Resumo!$C$6)</f>
        <v>372.107159090909</v>
      </c>
      <c r="T434" s="11" t="n">
        <f aca="false">S434-J434</f>
        <v>119.057159090909</v>
      </c>
      <c r="U434" s="12" t="n">
        <f aca="false">IFERROR(S434/J434-1,0)</f>
        <v>0.470488674534318</v>
      </c>
      <c r="V434" s="2" t="str">
        <f aca="false">IF(S434&lt;J434,"SIM","NÃO")</f>
        <v>NÃO</v>
      </c>
      <c r="W434" s="2" t="n">
        <v>7</v>
      </c>
      <c r="X434" s="2" t="s">
        <v>156</v>
      </c>
    </row>
    <row r="435" customFormat="false" ht="15" hidden="false" customHeight="false" outlineLevel="0" collapsed="false">
      <c r="A435" s="2" t="n">
        <v>368763987</v>
      </c>
      <c r="B435" s="29" t="n">
        <v>46234.4525231482</v>
      </c>
      <c r="C435" s="2" t="s">
        <v>178</v>
      </c>
      <c r="D435" s="2" t="s">
        <v>620</v>
      </c>
      <c r="E435" s="2" t="s">
        <v>79</v>
      </c>
      <c r="F435" s="2" t="s">
        <v>109</v>
      </c>
      <c r="G435" s="30" t="n">
        <v>60</v>
      </c>
      <c r="H435" s="11" t="n">
        <v>849.99</v>
      </c>
      <c r="I435" s="11" t="s">
        <v>350</v>
      </c>
      <c r="J435" s="11" t="n">
        <v>131.98</v>
      </c>
      <c r="K435" s="11" t="n">
        <v>128.14</v>
      </c>
      <c r="L435" s="11" t="n">
        <v>0.85</v>
      </c>
      <c r="M435" s="11" t="n">
        <v>1.7</v>
      </c>
      <c r="N435" s="11" t="n">
        <v>1</v>
      </c>
      <c r="O435" s="11" t="n">
        <v>4.5</v>
      </c>
      <c r="P435" s="11" t="n">
        <v>3.6</v>
      </c>
      <c r="Q435" s="11" t="n">
        <v>27</v>
      </c>
      <c r="R435" s="11" t="n">
        <f aca="false">SUM(K435:Q435)</f>
        <v>166.79</v>
      </c>
      <c r="S435" s="11" t="n">
        <f aca="false">R435/(1-Resumo!$C$6)</f>
        <v>189.534090909091</v>
      </c>
      <c r="T435" s="11" t="n">
        <f aca="false">S435-J435</f>
        <v>57.5540909090909</v>
      </c>
      <c r="U435" s="12" t="n">
        <f aca="false">IFERROR(S435/J435-1,0)</f>
        <v>0.436081913237543</v>
      </c>
      <c r="V435" s="2" t="str">
        <f aca="false">IF(S435&lt;J435,"SIM","NÃO")</f>
        <v>NÃO</v>
      </c>
      <c r="W435" s="2" t="n">
        <v>7</v>
      </c>
      <c r="X435" s="2" t="s">
        <v>156</v>
      </c>
    </row>
    <row r="436" customFormat="false" ht="15" hidden="false" customHeight="false" outlineLevel="0" collapsed="false">
      <c r="A436" s="2" t="n">
        <v>368772774</v>
      </c>
      <c r="B436" s="29" t="n">
        <v>46234.4672453704</v>
      </c>
      <c r="C436" s="2" t="s">
        <v>153</v>
      </c>
      <c r="D436" s="2" t="s">
        <v>621</v>
      </c>
      <c r="E436" s="2" t="s">
        <v>88</v>
      </c>
      <c r="F436" s="2" t="s">
        <v>106</v>
      </c>
      <c r="G436" s="30" t="n">
        <v>28.1</v>
      </c>
      <c r="H436" s="11" t="n">
        <v>439.99</v>
      </c>
      <c r="I436" s="11" t="s">
        <v>350</v>
      </c>
      <c r="J436" s="11" t="n">
        <v>108.09</v>
      </c>
      <c r="K436" s="11" t="n">
        <v>108.83</v>
      </c>
      <c r="L436" s="11" t="n">
        <v>0.44</v>
      </c>
      <c r="M436" s="11" t="n">
        <v>0.88</v>
      </c>
      <c r="N436" s="11" t="n">
        <v>1</v>
      </c>
      <c r="O436" s="11" t="n">
        <v>4.5</v>
      </c>
      <c r="P436" s="11" t="n">
        <v>1.74</v>
      </c>
      <c r="Q436" s="11" t="n">
        <v>13.05</v>
      </c>
      <c r="R436" s="11" t="n">
        <f aca="false">SUM(K436:Q436)</f>
        <v>130.44</v>
      </c>
      <c r="S436" s="11" t="n">
        <f aca="false">R436/(1-Resumo!$C$6)</f>
        <v>148.227272727273</v>
      </c>
      <c r="T436" s="11" t="n">
        <f aca="false">S436-J436</f>
        <v>40.1372727272727</v>
      </c>
      <c r="U436" s="12" t="n">
        <f aca="false">IFERROR(S436/J436-1,0)</f>
        <v>0.371331970832387</v>
      </c>
      <c r="V436" s="2" t="str">
        <f aca="false">IF(S436&lt;J436,"SIM","NÃO")</f>
        <v>NÃO</v>
      </c>
      <c r="W436" s="2" t="n">
        <v>10</v>
      </c>
      <c r="X436" s="2" t="s">
        <v>156</v>
      </c>
    </row>
    <row r="437" customFormat="false" ht="15" hidden="false" customHeight="false" outlineLevel="0" collapsed="false">
      <c r="A437" s="2" t="n">
        <v>368770106</v>
      </c>
      <c r="B437" s="29" t="n">
        <v>46234.4692824074</v>
      </c>
      <c r="C437" s="2" t="s">
        <v>178</v>
      </c>
      <c r="D437" s="2" t="s">
        <v>622</v>
      </c>
      <c r="E437" s="2" t="s">
        <v>78</v>
      </c>
      <c r="F437" s="2" t="s">
        <v>107</v>
      </c>
      <c r="G437" s="30" t="n">
        <v>36.9</v>
      </c>
      <c r="H437" s="11" t="n">
        <v>390.99</v>
      </c>
      <c r="I437" s="11" t="s">
        <v>155</v>
      </c>
      <c r="J437" s="11" t="n">
        <v>91.73</v>
      </c>
      <c r="K437" s="11" t="n">
        <v>93.97</v>
      </c>
      <c r="L437" s="11" t="n">
        <v>0.391</v>
      </c>
      <c r="M437" s="11" t="n">
        <v>0.782</v>
      </c>
      <c r="N437" s="11" t="n">
        <v>1</v>
      </c>
      <c r="O437" s="11" t="n">
        <v>4.5</v>
      </c>
      <c r="P437" s="11" t="n">
        <v>2.22</v>
      </c>
      <c r="Q437" s="11" t="n">
        <v>16.65</v>
      </c>
      <c r="R437" s="11" t="n">
        <f aca="false">SUM(K437:Q437)</f>
        <v>119.513</v>
      </c>
      <c r="S437" s="11" t="n">
        <f aca="false">R437/(1-Resumo!$C$6)</f>
        <v>135.810227272727</v>
      </c>
      <c r="T437" s="11" t="n">
        <f aca="false">S437-J437</f>
        <v>44.0802272727273</v>
      </c>
      <c r="U437" s="12" t="n">
        <f aca="false">IFERROR(S437/J437-1,0)</f>
        <v>0.480543194949605</v>
      </c>
      <c r="V437" s="2" t="str">
        <f aca="false">IF(S437&lt;J437,"SIM","NÃO")</f>
        <v>NÃO</v>
      </c>
      <c r="W437" s="2" t="n">
        <v>5</v>
      </c>
      <c r="X437" s="2" t="s">
        <v>156</v>
      </c>
    </row>
    <row r="438" customFormat="false" ht="15" hidden="false" customHeight="false" outlineLevel="0" collapsed="false">
      <c r="A438" s="2" t="n">
        <v>368793613</v>
      </c>
      <c r="B438" s="29" t="n">
        <v>46234.5052083333</v>
      </c>
      <c r="C438" s="2" t="s">
        <v>153</v>
      </c>
      <c r="D438" s="2" t="s">
        <v>623</v>
      </c>
      <c r="E438" s="2" t="s">
        <v>79</v>
      </c>
      <c r="F438" s="2" t="s">
        <v>105</v>
      </c>
      <c r="G438" s="30" t="n">
        <v>19.5</v>
      </c>
      <c r="H438" s="11" t="n">
        <v>332.99</v>
      </c>
      <c r="I438" s="11" t="s">
        <v>350</v>
      </c>
      <c r="J438" s="11" t="n">
        <v>76.95</v>
      </c>
      <c r="K438" s="11" t="n">
        <v>57.47</v>
      </c>
      <c r="L438" s="11" t="n">
        <v>0.333</v>
      </c>
      <c r="M438" s="11" t="n">
        <v>0.666</v>
      </c>
      <c r="N438" s="11" t="n">
        <v>1</v>
      </c>
      <c r="O438" s="11" t="n">
        <v>4.5</v>
      </c>
      <c r="P438" s="11" t="n">
        <v>1.2</v>
      </c>
      <c r="Q438" s="11" t="n">
        <v>9</v>
      </c>
      <c r="R438" s="11" t="n">
        <f aca="false">SUM(K438:Q438)</f>
        <v>74.169</v>
      </c>
      <c r="S438" s="11" t="n">
        <f aca="false">R438/(1-Resumo!$C$6)</f>
        <v>84.2829545454545</v>
      </c>
      <c r="T438" s="11" t="n">
        <f aca="false">S438-J438</f>
        <v>7.33295454545454</v>
      </c>
      <c r="U438" s="12" t="n">
        <f aca="false">IFERROR(S438/J438-1,0)</f>
        <v>0.0952950558213717</v>
      </c>
      <c r="V438" s="2" t="str">
        <f aca="false">IF(S438&lt;J438,"SIM","NÃO")</f>
        <v>NÃO</v>
      </c>
      <c r="W438" s="2" t="n">
        <v>7</v>
      </c>
      <c r="X438" s="2" t="s">
        <v>156</v>
      </c>
    </row>
    <row r="439" customFormat="false" ht="15" hidden="false" customHeight="false" outlineLevel="0" collapsed="false">
      <c r="A439" s="2" t="n">
        <v>368801740</v>
      </c>
      <c r="B439" s="29" t="n">
        <v>46234.5195138889</v>
      </c>
      <c r="C439" s="2" t="s">
        <v>153</v>
      </c>
      <c r="D439" s="2" t="s">
        <v>282</v>
      </c>
      <c r="E439" s="2" t="s">
        <v>283</v>
      </c>
      <c r="F439" s="2" t="s">
        <v>108</v>
      </c>
      <c r="G439" s="30" t="n">
        <v>48.3</v>
      </c>
      <c r="H439" s="11" t="n">
        <v>429.99</v>
      </c>
      <c r="I439" s="11" t="s">
        <v>350</v>
      </c>
      <c r="J439" s="11" t="n">
        <v>131.99</v>
      </c>
      <c r="K439" s="11" t="n">
        <v>152.54</v>
      </c>
      <c r="L439" s="11" t="n">
        <v>0.43</v>
      </c>
      <c r="M439" s="11" t="n">
        <v>0.86</v>
      </c>
      <c r="N439" s="11" t="n">
        <v>1</v>
      </c>
      <c r="O439" s="11" t="n">
        <v>4.5</v>
      </c>
      <c r="P439" s="11" t="n">
        <v>2.94</v>
      </c>
      <c r="Q439" s="11" t="n">
        <v>22.05</v>
      </c>
      <c r="R439" s="11" t="n">
        <f aca="false">SUM(K439:Q439)</f>
        <v>184.32</v>
      </c>
      <c r="S439" s="11" t="n">
        <f aca="false">R439/(1-Resumo!$C$6)</f>
        <v>209.454545454545</v>
      </c>
      <c r="T439" s="11" t="n">
        <f aca="false">S439-J439</f>
        <v>77.4645454545454</v>
      </c>
      <c r="U439" s="12" t="n">
        <f aca="false">IFERROR(S439/J439-1,0)</f>
        <v>0.586897078979812</v>
      </c>
      <c r="V439" s="2" t="str">
        <f aca="false">IF(S439&lt;J439,"SIM","NÃO")</f>
        <v>NÃO</v>
      </c>
      <c r="W439" s="2" t="n">
        <v>11</v>
      </c>
      <c r="X439" s="2" t="s">
        <v>161</v>
      </c>
    </row>
    <row r="440" customFormat="false" ht="15" hidden="false" customHeight="false" outlineLevel="0" collapsed="false">
      <c r="A440" s="2" t="n">
        <v>368812045</v>
      </c>
      <c r="B440" s="29" t="n">
        <v>46234.5398611111</v>
      </c>
      <c r="C440" s="2" t="s">
        <v>153</v>
      </c>
      <c r="D440" s="2" t="s">
        <v>624</v>
      </c>
      <c r="E440" s="2" t="s">
        <v>78</v>
      </c>
      <c r="F440" s="2" t="s">
        <v>106</v>
      </c>
      <c r="G440" s="30" t="n">
        <v>31</v>
      </c>
      <c r="H440" s="11" t="n">
        <v>329.99</v>
      </c>
      <c r="I440" s="11" t="s">
        <v>350</v>
      </c>
      <c r="J440" s="11" t="n">
        <v>81.86</v>
      </c>
      <c r="K440" s="11" t="n">
        <v>82.21</v>
      </c>
      <c r="L440" s="11" t="n">
        <v>0.33</v>
      </c>
      <c r="M440" s="11" t="n">
        <v>0.66</v>
      </c>
      <c r="N440" s="11" t="n">
        <v>1</v>
      </c>
      <c r="O440" s="11" t="n">
        <v>4.5</v>
      </c>
      <c r="P440" s="11" t="n">
        <v>1.86</v>
      </c>
      <c r="Q440" s="11" t="n">
        <v>13.95</v>
      </c>
      <c r="R440" s="11" t="n">
        <f aca="false">SUM(K440:Q440)</f>
        <v>104.51</v>
      </c>
      <c r="S440" s="11" t="n">
        <f aca="false">R440/(1-Resumo!$C$6)</f>
        <v>118.761363636364</v>
      </c>
      <c r="T440" s="11" t="n">
        <f aca="false">S440-J440</f>
        <v>36.9013636363636</v>
      </c>
      <c r="U440" s="12" t="n">
        <f aca="false">IFERROR(S440/J440-1,0)</f>
        <v>0.450786264797992</v>
      </c>
      <c r="V440" s="2" t="str">
        <f aca="false">IF(S440&lt;J440,"SIM","NÃO")</f>
        <v>NÃO</v>
      </c>
      <c r="W440" s="2" t="n">
        <v>5</v>
      </c>
      <c r="X440" s="2" t="s">
        <v>156</v>
      </c>
    </row>
    <row r="441" customFormat="false" ht="15" hidden="false" customHeight="false" outlineLevel="0" collapsed="false">
      <c r="A441" s="2" t="n">
        <v>368823297</v>
      </c>
      <c r="B441" s="29" t="n">
        <v>46234.547025463</v>
      </c>
      <c r="C441" s="2" t="s">
        <v>369</v>
      </c>
      <c r="D441" s="2" t="s">
        <v>625</v>
      </c>
      <c r="E441" s="2" t="s">
        <v>78</v>
      </c>
      <c r="F441" s="2" t="s">
        <v>108</v>
      </c>
      <c r="G441" s="30" t="n">
        <v>44.8</v>
      </c>
      <c r="H441" s="11" t="n">
        <v>579.99</v>
      </c>
      <c r="I441" s="11" t="s">
        <v>155</v>
      </c>
      <c r="J441" s="11" t="n">
        <v>103.36</v>
      </c>
      <c r="K441" s="11" t="n">
        <v>93.97</v>
      </c>
      <c r="L441" s="11" t="n">
        <v>0.58</v>
      </c>
      <c r="M441" s="11" t="n">
        <v>1.16</v>
      </c>
      <c r="N441" s="11" t="n">
        <v>1</v>
      </c>
      <c r="O441" s="11" t="n">
        <v>4.5</v>
      </c>
      <c r="P441" s="11" t="n">
        <v>2.7</v>
      </c>
      <c r="Q441" s="11" t="n">
        <v>20.25</v>
      </c>
      <c r="R441" s="11" t="n">
        <f aca="false">SUM(K441:Q441)</f>
        <v>124.16</v>
      </c>
      <c r="S441" s="11" t="n">
        <f aca="false">R441/(1-Resumo!$C$6)</f>
        <v>141.090909090909</v>
      </c>
      <c r="T441" s="11" t="n">
        <f aca="false">S441-J441</f>
        <v>37.7309090909091</v>
      </c>
      <c r="U441" s="12" t="n">
        <f aca="false">IFERROR(S441/J441-1,0)</f>
        <v>0.365043625105545</v>
      </c>
      <c r="V441" s="2" t="str">
        <f aca="false">IF(S441&lt;J441,"SIM","NÃO")</f>
        <v>NÃO</v>
      </c>
      <c r="W441" s="2" t="n">
        <v>5</v>
      </c>
      <c r="X441" s="2" t="s">
        <v>156</v>
      </c>
    </row>
    <row r="442" customFormat="false" ht="15" hidden="false" customHeight="false" outlineLevel="0" collapsed="false">
      <c r="A442" s="2" t="n">
        <v>368816609</v>
      </c>
      <c r="B442" s="29" t="n">
        <v>46234.5499421296</v>
      </c>
      <c r="C442" s="2" t="s">
        <v>153</v>
      </c>
      <c r="D442" s="2" t="s">
        <v>626</v>
      </c>
      <c r="E442" s="2" t="s">
        <v>81</v>
      </c>
      <c r="F442" s="2" t="s">
        <v>107</v>
      </c>
      <c r="G442" s="30" t="n">
        <v>37.2</v>
      </c>
      <c r="H442" s="11" t="n">
        <v>399.99</v>
      </c>
      <c r="I442" s="11" t="s">
        <v>155</v>
      </c>
      <c r="J442" s="11" t="n">
        <v>112.88</v>
      </c>
      <c r="K442" s="11" t="n">
        <v>93.97</v>
      </c>
      <c r="L442" s="11" t="n">
        <v>0.4</v>
      </c>
      <c r="M442" s="11" t="n">
        <v>0.8</v>
      </c>
      <c r="N442" s="11" t="n">
        <v>1</v>
      </c>
      <c r="O442" s="11" t="n">
        <v>4.5</v>
      </c>
      <c r="P442" s="11" t="n">
        <v>2.28</v>
      </c>
      <c r="Q442" s="11" t="n">
        <v>17.1</v>
      </c>
      <c r="R442" s="11" t="n">
        <f aca="false">SUM(K442:Q442)</f>
        <v>120.05</v>
      </c>
      <c r="S442" s="11" t="n">
        <f aca="false">R442/(1-Resumo!$C$6)</f>
        <v>136.420454545455</v>
      </c>
      <c r="T442" s="11" t="n">
        <f aca="false">S442-J442</f>
        <v>23.5404545454546</v>
      </c>
      <c r="U442" s="12" t="n">
        <f aca="false">IFERROR(S442/J442-1,0)</f>
        <v>0.20854406932543</v>
      </c>
      <c r="V442" s="2" t="str">
        <f aca="false">IF(S442&lt;J442,"SIM","NÃO")</f>
        <v>NÃO</v>
      </c>
      <c r="W442" s="2" t="n">
        <v>5</v>
      </c>
      <c r="X442" s="2" t="s">
        <v>156</v>
      </c>
    </row>
    <row r="443" customFormat="false" ht="15" hidden="false" customHeight="false" outlineLevel="0" collapsed="false">
      <c r="A443" s="2" t="n">
        <v>368820209</v>
      </c>
      <c r="B443" s="29" t="n">
        <v>46234.5579861111</v>
      </c>
      <c r="C443" s="2" t="s">
        <v>158</v>
      </c>
      <c r="D443" s="2" t="s">
        <v>282</v>
      </c>
      <c r="E443" s="2" t="s">
        <v>283</v>
      </c>
      <c r="F443" s="2" t="s">
        <v>109</v>
      </c>
      <c r="G443" s="30" t="n">
        <v>54</v>
      </c>
      <c r="H443" s="11" t="n">
        <v>919.99</v>
      </c>
      <c r="I443" s="11" t="s">
        <v>350</v>
      </c>
      <c r="J443" s="11" t="n">
        <v>143.57</v>
      </c>
      <c r="K443" s="11" t="n">
        <v>162.04</v>
      </c>
      <c r="L443" s="11" t="n">
        <v>0.92</v>
      </c>
      <c r="M443" s="11" t="n">
        <v>1.84</v>
      </c>
      <c r="N443" s="11" t="n">
        <v>1</v>
      </c>
      <c r="O443" s="11" t="n">
        <v>4.5</v>
      </c>
      <c r="P443" s="11" t="n">
        <v>3.24</v>
      </c>
      <c r="Q443" s="11" t="n">
        <v>24.3</v>
      </c>
      <c r="R443" s="11" t="n">
        <f aca="false">SUM(K443:Q443)</f>
        <v>197.84</v>
      </c>
      <c r="S443" s="11" t="n">
        <f aca="false">R443/(1-Resumo!$C$6)</f>
        <v>224.818181818182</v>
      </c>
      <c r="T443" s="11" t="n">
        <f aca="false">S443-J443</f>
        <v>81.2481818181818</v>
      </c>
      <c r="U443" s="12" t="n">
        <f aca="false">IFERROR(S443/J443-1,0)</f>
        <v>0.565913365035744</v>
      </c>
      <c r="V443" s="2" t="str">
        <f aca="false">IF(S443&lt;J443,"SIM","NÃO")</f>
        <v>NÃO</v>
      </c>
      <c r="W443" s="2" t="n">
        <v>11</v>
      </c>
      <c r="X443" s="2" t="s">
        <v>161</v>
      </c>
    </row>
    <row r="444" customFormat="false" ht="15" hidden="false" customHeight="false" outlineLevel="0" collapsed="false">
      <c r="A444" s="2" t="n">
        <v>368856007</v>
      </c>
      <c r="B444" s="29" t="n">
        <v>46234.6327199074</v>
      </c>
      <c r="C444" s="2" t="s">
        <v>153</v>
      </c>
      <c r="D444" s="2" t="s">
        <v>627</v>
      </c>
      <c r="E444" s="2" t="s">
        <v>164</v>
      </c>
      <c r="F444" s="2" t="s">
        <v>112</v>
      </c>
      <c r="G444" s="30" t="n">
        <v>93.8</v>
      </c>
      <c r="H444" s="11" t="n">
        <v>999.99</v>
      </c>
      <c r="I444" s="11" t="s">
        <v>350</v>
      </c>
      <c r="J444" s="11" t="n">
        <v>174.34</v>
      </c>
      <c r="K444" s="11" t="n">
        <v>167.99</v>
      </c>
      <c r="L444" s="11" t="n">
        <v>1</v>
      </c>
      <c r="M444" s="11" t="n">
        <v>2</v>
      </c>
      <c r="N444" s="11" t="n">
        <v>1</v>
      </c>
      <c r="O444" s="11" t="n">
        <v>4.5</v>
      </c>
      <c r="P444" s="11" t="n">
        <v>5.64</v>
      </c>
      <c r="Q444" s="11" t="n">
        <v>42.3</v>
      </c>
      <c r="R444" s="11" t="n">
        <f aca="false">SUM(K444:Q444)</f>
        <v>224.43</v>
      </c>
      <c r="S444" s="11" t="n">
        <f aca="false">R444/(1-Resumo!$C$6)</f>
        <v>255.034090909091</v>
      </c>
      <c r="T444" s="11" t="n">
        <f aca="false">S444-J444</f>
        <v>80.6940909090909</v>
      </c>
      <c r="U444" s="12" t="n">
        <f aca="false">IFERROR(S444/J444-1,0)</f>
        <v>0.462854714403412</v>
      </c>
      <c r="V444" s="2" t="str">
        <f aca="false">IF(S444&lt;J444,"SIM","NÃO")</f>
        <v>NÃO</v>
      </c>
      <c r="W444" s="2" t="n">
        <v>5</v>
      </c>
      <c r="X444" s="2" t="s">
        <v>161</v>
      </c>
    </row>
    <row r="445" customFormat="false" ht="15" hidden="false" customHeight="false" outlineLevel="0" collapsed="false">
      <c r="A445" s="2" t="n">
        <v>368866781</v>
      </c>
      <c r="B445" s="29" t="n">
        <v>46234.6536458333</v>
      </c>
      <c r="C445" s="2" t="s">
        <v>158</v>
      </c>
      <c r="D445" s="2" t="s">
        <v>628</v>
      </c>
      <c r="E445" s="2" t="s">
        <v>342</v>
      </c>
      <c r="F445" s="2" t="s">
        <v>108</v>
      </c>
      <c r="G445" s="30" t="n">
        <v>43.5</v>
      </c>
      <c r="H445" s="11" t="n">
        <v>608.99</v>
      </c>
      <c r="I445" s="11" t="s">
        <v>350</v>
      </c>
      <c r="J445" s="11" t="n">
        <v>130.3</v>
      </c>
      <c r="K445" s="11" t="n">
        <v>129.29</v>
      </c>
      <c r="L445" s="11" t="n">
        <v>0.609</v>
      </c>
      <c r="M445" s="11" t="n">
        <v>1.218</v>
      </c>
      <c r="N445" s="11" t="n">
        <v>1</v>
      </c>
      <c r="O445" s="11" t="n">
        <v>4.5</v>
      </c>
      <c r="P445" s="11" t="n">
        <v>2.64</v>
      </c>
      <c r="Q445" s="11" t="n">
        <v>19.8</v>
      </c>
      <c r="R445" s="11" t="n">
        <f aca="false">SUM(K445:Q445)</f>
        <v>159.057</v>
      </c>
      <c r="S445" s="11" t="n">
        <f aca="false">R445/(1-Resumo!$C$6)</f>
        <v>180.746590909091</v>
      </c>
      <c r="T445" s="11" t="n">
        <f aca="false">S445-J445</f>
        <v>50.4465909090909</v>
      </c>
      <c r="U445" s="12" t="n">
        <f aca="false">IFERROR(S445/J445-1,0)</f>
        <v>0.387157259471151</v>
      </c>
      <c r="V445" s="2" t="str">
        <f aca="false">IF(S445&lt;J445,"SIM","NÃO")</f>
        <v>NÃO</v>
      </c>
      <c r="W445" s="2" t="n">
        <v>10</v>
      </c>
      <c r="X445" s="2" t="s">
        <v>161</v>
      </c>
    </row>
    <row r="446" customFormat="false" ht="15" hidden="false" customHeight="false" outlineLevel="0" collapsed="false">
      <c r="A446" s="2" t="n">
        <v>368873212</v>
      </c>
      <c r="B446" s="29" t="n">
        <v>46234.6675</v>
      </c>
      <c r="C446" s="2" t="s">
        <v>158</v>
      </c>
      <c r="D446" s="2" t="s">
        <v>629</v>
      </c>
      <c r="E446" s="2" t="s">
        <v>78</v>
      </c>
      <c r="F446" s="2" t="s">
        <v>106</v>
      </c>
      <c r="G446" s="30" t="n">
        <v>22</v>
      </c>
      <c r="H446" s="11" t="n">
        <v>727.37</v>
      </c>
      <c r="I446" s="11" t="s">
        <v>155</v>
      </c>
      <c r="J446" s="11" t="n">
        <v>83.8</v>
      </c>
      <c r="K446" s="11" t="n">
        <v>82.21</v>
      </c>
      <c r="L446" s="11" t="n">
        <v>0.7274</v>
      </c>
      <c r="M446" s="11" t="n">
        <v>1.4547</v>
      </c>
      <c r="N446" s="11" t="n">
        <v>1</v>
      </c>
      <c r="O446" s="11" t="n">
        <v>4.5</v>
      </c>
      <c r="P446" s="11" t="n">
        <v>1.32</v>
      </c>
      <c r="Q446" s="11" t="n">
        <v>9.9</v>
      </c>
      <c r="R446" s="11" t="n">
        <f aca="false">SUM(K446:Q446)</f>
        <v>101.1121</v>
      </c>
      <c r="S446" s="11" t="n">
        <f aca="false">R446/(1-Resumo!$C$6)</f>
        <v>114.900113636364</v>
      </c>
      <c r="T446" s="11" t="n">
        <f aca="false">S446-J446</f>
        <v>31.1001136363636</v>
      </c>
      <c r="U446" s="12" t="n">
        <f aca="false">IFERROR(S446/J446-1,0)</f>
        <v>0.371123074419614</v>
      </c>
      <c r="V446" s="2" t="str">
        <f aca="false">IF(S446&lt;J446,"SIM","NÃO")</f>
        <v>NÃO</v>
      </c>
      <c r="W446" s="2" t="n">
        <v>5</v>
      </c>
      <c r="X446" s="2" t="s">
        <v>156</v>
      </c>
    </row>
    <row r="447" customFormat="false" ht="15" hidden="false" customHeight="false" outlineLevel="0" collapsed="false">
      <c r="A447" s="2" t="n">
        <v>368898595</v>
      </c>
      <c r="B447" s="29" t="n">
        <v>46234.7240856482</v>
      </c>
      <c r="C447" s="2" t="s">
        <v>153</v>
      </c>
      <c r="D447" s="2" t="s">
        <v>630</v>
      </c>
      <c r="E447" s="2" t="s">
        <v>78</v>
      </c>
      <c r="F447" s="2" t="s">
        <v>114</v>
      </c>
      <c r="G447" s="30" t="n">
        <v>124.2</v>
      </c>
      <c r="H447" s="11" t="n">
        <v>1699.99</v>
      </c>
      <c r="I447" s="11" t="s">
        <v>350</v>
      </c>
      <c r="J447" s="11" t="n">
        <v>226.85</v>
      </c>
      <c r="K447" s="11" t="n">
        <v>239.25</v>
      </c>
      <c r="L447" s="11" t="n">
        <v>1.7</v>
      </c>
      <c r="M447" s="11" t="n">
        <v>3.4</v>
      </c>
      <c r="N447" s="11" t="n">
        <v>1</v>
      </c>
      <c r="O447" s="11" t="n">
        <v>9</v>
      </c>
      <c r="P447" s="11" t="n">
        <v>7.5</v>
      </c>
      <c r="Q447" s="11" t="n">
        <v>56.25</v>
      </c>
      <c r="R447" s="11" t="n">
        <f aca="false">SUM(K447:Q447)</f>
        <v>318.1</v>
      </c>
      <c r="S447" s="11" t="n">
        <f aca="false">R447/(1-Resumo!$C$6)</f>
        <v>361.477272727273</v>
      </c>
      <c r="T447" s="11" t="n">
        <f aca="false">S447-J447</f>
        <v>134.627272727273</v>
      </c>
      <c r="U447" s="12" t="n">
        <f aca="false">IFERROR(S447/J447-1,0)</f>
        <v>0.593463842747511</v>
      </c>
      <c r="V447" s="2" t="str">
        <f aca="false">IF(S447&lt;J447,"SIM","NÃO")</f>
        <v>NÃO</v>
      </c>
      <c r="W447" s="2" t="n">
        <v>5</v>
      </c>
      <c r="X447" s="2" t="s">
        <v>156</v>
      </c>
    </row>
    <row r="448" customFormat="false" ht="15" hidden="false" customHeight="false" outlineLevel="0" collapsed="false">
      <c r="A448" s="2" t="n">
        <v>368906974</v>
      </c>
      <c r="B448" s="29" t="n">
        <v>46234.746400463</v>
      </c>
      <c r="C448" s="2" t="s">
        <v>191</v>
      </c>
      <c r="D448" s="2" t="s">
        <v>631</v>
      </c>
      <c r="E448" s="2" t="s">
        <v>79</v>
      </c>
      <c r="F448" s="2" t="s">
        <v>107</v>
      </c>
      <c r="G448" s="30" t="n">
        <v>39.9</v>
      </c>
      <c r="H448" s="11" t="n">
        <v>495.99</v>
      </c>
      <c r="I448" s="11" t="s">
        <v>350</v>
      </c>
      <c r="J448" s="11" t="n">
        <v>115.35</v>
      </c>
      <c r="K448" s="11" t="n">
        <v>114.95</v>
      </c>
      <c r="L448" s="11" t="n">
        <v>0.496</v>
      </c>
      <c r="M448" s="11" t="n">
        <v>0.992</v>
      </c>
      <c r="N448" s="11" t="n">
        <v>1</v>
      </c>
      <c r="O448" s="11" t="n">
        <v>4.5</v>
      </c>
      <c r="P448" s="11" t="n">
        <v>2.4</v>
      </c>
      <c r="Q448" s="11" t="n">
        <v>18</v>
      </c>
      <c r="R448" s="11" t="n">
        <f aca="false">SUM(K448:Q448)</f>
        <v>142.338</v>
      </c>
      <c r="S448" s="11" t="n">
        <f aca="false">R448/(1-Resumo!$C$6)</f>
        <v>161.747727272727</v>
      </c>
      <c r="T448" s="11" t="n">
        <f aca="false">S448-J448</f>
        <v>46.3977272727273</v>
      </c>
      <c r="U448" s="12" t="n">
        <f aca="false">IFERROR(S448/J448-1,0)</f>
        <v>0.402234306655633</v>
      </c>
      <c r="V448" s="2" t="str">
        <f aca="false">IF(S448&lt;J448,"SIM","NÃO")</f>
        <v>NÃO</v>
      </c>
      <c r="W448" s="2" t="n">
        <v>7</v>
      </c>
      <c r="X448" s="2" t="s">
        <v>156</v>
      </c>
    </row>
    <row r="449" customFormat="false" ht="15" hidden="false" customHeight="false" outlineLevel="0" collapsed="false">
      <c r="A449" s="2" t="n">
        <v>368924697</v>
      </c>
      <c r="B449" s="29" t="n">
        <v>46234.7722569444</v>
      </c>
      <c r="C449" s="2" t="s">
        <v>153</v>
      </c>
      <c r="D449" s="2" t="s">
        <v>632</v>
      </c>
      <c r="E449" s="2" t="s">
        <v>633</v>
      </c>
      <c r="F449" s="2" t="s">
        <v>107</v>
      </c>
      <c r="G449" s="30" t="n">
        <v>37.2</v>
      </c>
      <c r="H449" s="11" t="n">
        <v>399.99</v>
      </c>
      <c r="I449" s="11" t="s">
        <v>350</v>
      </c>
      <c r="J449" s="11" t="n">
        <v>123.13</v>
      </c>
      <c r="K449" s="11" t="n">
        <v>143.04</v>
      </c>
      <c r="L449" s="11" t="n">
        <v>0.4</v>
      </c>
      <c r="M449" s="11" t="n">
        <v>0.8</v>
      </c>
      <c r="N449" s="11" t="n">
        <v>1</v>
      </c>
      <c r="O449" s="11" t="n">
        <v>4.5</v>
      </c>
      <c r="P449" s="11" t="n">
        <v>2.28</v>
      </c>
      <c r="Q449" s="11" t="n">
        <v>17.1</v>
      </c>
      <c r="R449" s="11" t="n">
        <f aca="false">SUM(K449:Q449)</f>
        <v>169.12</v>
      </c>
      <c r="S449" s="11" t="n">
        <f aca="false">R449/(1-Resumo!$C$6)</f>
        <v>192.181818181818</v>
      </c>
      <c r="T449" s="11" t="n">
        <f aca="false">S449-J449</f>
        <v>69.0518181818182</v>
      </c>
      <c r="U449" s="12" t="n">
        <f aca="false">IFERROR(S449/J449-1,0)</f>
        <v>0.560804175926404</v>
      </c>
      <c r="V449" s="2" t="str">
        <f aca="false">IF(S449&lt;J449,"SIM","NÃO")</f>
        <v>NÃO</v>
      </c>
      <c r="W449" s="2" t="n">
        <v>11</v>
      </c>
      <c r="X449" s="2" t="s">
        <v>161</v>
      </c>
    </row>
    <row r="450" customFormat="false" ht="15" hidden="false" customHeight="false" outlineLevel="0" collapsed="false">
      <c r="A450" s="2" t="n">
        <v>369015777</v>
      </c>
      <c r="B450" s="29" t="n">
        <v>46234.9237268519</v>
      </c>
      <c r="C450" s="2" t="s">
        <v>153</v>
      </c>
      <c r="D450" s="2" t="s">
        <v>634</v>
      </c>
      <c r="E450" s="2" t="s">
        <v>88</v>
      </c>
      <c r="F450" s="2" t="s">
        <v>107</v>
      </c>
      <c r="G450" s="30" t="n">
        <v>40</v>
      </c>
      <c r="H450" s="11" t="n">
        <v>619.99</v>
      </c>
      <c r="I450" s="11" t="s">
        <v>350</v>
      </c>
      <c r="J450" s="11" t="n">
        <v>125.19</v>
      </c>
      <c r="K450" s="11" t="n">
        <v>124.38</v>
      </c>
      <c r="L450" s="11" t="n">
        <v>0.62</v>
      </c>
      <c r="M450" s="11" t="n">
        <v>1.24</v>
      </c>
      <c r="N450" s="11" t="n">
        <v>1</v>
      </c>
      <c r="O450" s="11" t="n">
        <v>4.5</v>
      </c>
      <c r="P450" s="11" t="n">
        <v>2.4</v>
      </c>
      <c r="Q450" s="11" t="n">
        <v>18</v>
      </c>
      <c r="R450" s="11" t="n">
        <f aca="false">SUM(K450:Q450)</f>
        <v>152.14</v>
      </c>
      <c r="S450" s="11" t="n">
        <f aca="false">R450/(1-Resumo!$C$6)</f>
        <v>172.886363636364</v>
      </c>
      <c r="T450" s="11" t="n">
        <f aca="false">S450-J450</f>
        <v>47.6963636363636</v>
      </c>
      <c r="U450" s="12" t="n">
        <f aca="false">IFERROR(S450/J450-1,0)</f>
        <v>0.380991801552549</v>
      </c>
      <c r="V450" s="2" t="str">
        <f aca="false">IF(S450&lt;J450,"SIM","NÃO")</f>
        <v>NÃO</v>
      </c>
      <c r="W450" s="2" t="n">
        <v>10</v>
      </c>
      <c r="X450" s="2" t="s">
        <v>156</v>
      </c>
    </row>
    <row r="451" customFormat="false" ht="15" hidden="false" customHeight="false" outlineLevel="0" collapsed="false">
      <c r="A451" s="2" t="n">
        <v>369020391</v>
      </c>
      <c r="B451" s="29" t="n">
        <v>46234.9331712963</v>
      </c>
      <c r="C451" s="2" t="s">
        <v>153</v>
      </c>
      <c r="D451" s="2" t="s">
        <v>635</v>
      </c>
      <c r="E451" s="2" t="s">
        <v>93</v>
      </c>
      <c r="F451" s="2" t="s">
        <v>107</v>
      </c>
      <c r="G451" s="30" t="n">
        <v>37.2</v>
      </c>
      <c r="H451" s="11" t="n">
        <v>399.99</v>
      </c>
      <c r="I451" s="11" t="s">
        <v>350</v>
      </c>
      <c r="J451" s="11" t="n">
        <v>123.13</v>
      </c>
      <c r="K451" s="11" t="n">
        <v>114.95</v>
      </c>
      <c r="L451" s="11" t="n">
        <v>0.4</v>
      </c>
      <c r="M451" s="11" t="n">
        <v>0.8</v>
      </c>
      <c r="N451" s="11" t="n">
        <v>1</v>
      </c>
      <c r="O451" s="11" t="n">
        <v>4.5</v>
      </c>
      <c r="P451" s="11" t="n">
        <v>2.28</v>
      </c>
      <c r="Q451" s="11" t="n">
        <v>17.1</v>
      </c>
      <c r="R451" s="11" t="n">
        <f aca="false">SUM(K451:Q451)</f>
        <v>141.03</v>
      </c>
      <c r="S451" s="11" t="n">
        <f aca="false">R451/(1-Resumo!$C$6)</f>
        <v>160.261363636364</v>
      </c>
      <c r="T451" s="11" t="n">
        <f aca="false">S451-J451</f>
        <v>37.1313636363636</v>
      </c>
      <c r="U451" s="12" t="n">
        <f aca="false">IFERROR(S451/J451-1,0)</f>
        <v>0.301562280811854</v>
      </c>
      <c r="V451" s="2" t="str">
        <f aca="false">IF(S451&lt;J451,"SIM","NÃO")</f>
        <v>NÃO</v>
      </c>
      <c r="W451" s="2" t="n">
        <v>7</v>
      </c>
      <c r="X451" s="2" t="s">
        <v>156</v>
      </c>
    </row>
    <row r="452" customFormat="false" ht="15" hidden="false" customHeight="false" outlineLevel="0" collapsed="false">
      <c r="A452" s="2" t="n">
        <v>369031835</v>
      </c>
      <c r="B452" s="29" t="n">
        <v>46234.9561458333</v>
      </c>
      <c r="C452" s="2" t="s">
        <v>153</v>
      </c>
      <c r="D452" s="2" t="s">
        <v>636</v>
      </c>
      <c r="E452" s="2" t="s">
        <v>85</v>
      </c>
      <c r="F452" s="2" t="s">
        <v>114</v>
      </c>
      <c r="G452" s="30" t="n">
        <v>124.2</v>
      </c>
      <c r="H452" s="11" t="n">
        <v>1558.08</v>
      </c>
      <c r="I452" s="11" t="s">
        <v>350</v>
      </c>
      <c r="J452" s="11" t="n">
        <v>253.05</v>
      </c>
      <c r="K452" s="11" t="n">
        <v>264.84</v>
      </c>
      <c r="L452" s="11" t="n">
        <v>1.5581</v>
      </c>
      <c r="M452" s="11" t="n">
        <v>3.1162</v>
      </c>
      <c r="N452" s="11" t="n">
        <v>1</v>
      </c>
      <c r="O452" s="11" t="n">
        <v>9</v>
      </c>
      <c r="P452" s="11" t="n">
        <v>7.5</v>
      </c>
      <c r="Q452" s="11" t="n">
        <v>56.25</v>
      </c>
      <c r="R452" s="11" t="n">
        <f aca="false">SUM(K452:Q452)</f>
        <v>343.2643</v>
      </c>
      <c r="S452" s="11" t="n">
        <f aca="false">R452/(1-Resumo!$C$6)</f>
        <v>390.073068181818</v>
      </c>
      <c r="T452" s="11" t="n">
        <f aca="false">S452-J452</f>
        <v>137.023068181818</v>
      </c>
      <c r="U452" s="12" t="n">
        <f aca="false">IFERROR(S452/J452-1,0)</f>
        <v>0.541486141797345</v>
      </c>
      <c r="V452" s="2" t="str">
        <f aca="false">IF(S452&lt;J452,"SIM","NÃO")</f>
        <v>NÃO</v>
      </c>
      <c r="W452" s="2" t="n">
        <v>11</v>
      </c>
      <c r="X452" s="2" t="s">
        <v>156</v>
      </c>
    </row>
    <row r="453" customFormat="false" ht="15" hidden="false" customHeight="false" outlineLevel="0" collapsed="false">
      <c r="A453" s="2" t="n">
        <v>369072990</v>
      </c>
      <c r="B453" s="29" t="n">
        <v>46235.0544097222</v>
      </c>
      <c r="C453" s="2" t="s">
        <v>153</v>
      </c>
      <c r="D453" s="2" t="s">
        <v>637</v>
      </c>
      <c r="E453" s="2" t="s">
        <v>88</v>
      </c>
      <c r="F453" s="2" t="s">
        <v>109</v>
      </c>
      <c r="G453" s="30" t="n">
        <v>52.3</v>
      </c>
      <c r="H453" s="11" t="n">
        <v>685.85</v>
      </c>
      <c r="I453" s="11" t="s">
        <v>350</v>
      </c>
      <c r="J453" s="11" t="n">
        <v>141.94</v>
      </c>
      <c r="K453" s="11" t="n">
        <v>142.32</v>
      </c>
      <c r="L453" s="11" t="n">
        <v>0.6859</v>
      </c>
      <c r="M453" s="11" t="n">
        <v>1.3717</v>
      </c>
      <c r="N453" s="11" t="n">
        <v>1</v>
      </c>
      <c r="O453" s="11" t="n">
        <v>4.5</v>
      </c>
      <c r="P453" s="11" t="n">
        <v>3.18</v>
      </c>
      <c r="Q453" s="11" t="n">
        <v>23.85</v>
      </c>
      <c r="R453" s="11" t="n">
        <f aca="false">SUM(K453:Q453)</f>
        <v>176.9076</v>
      </c>
      <c r="S453" s="11" t="n">
        <f aca="false">R453/(1-Resumo!$C$6)</f>
        <v>201.031363636364</v>
      </c>
      <c r="T453" s="11" t="n">
        <f aca="false">S453-J453</f>
        <v>59.0913636363636</v>
      </c>
      <c r="U453" s="12" t="n">
        <f aca="false">IFERROR(S453/J453-1,0)</f>
        <v>0.416312270229418</v>
      </c>
      <c r="V453" s="2" t="str">
        <f aca="false">IF(S453&lt;J453,"SIM","NÃO")</f>
        <v>NÃO</v>
      </c>
      <c r="W453" s="2" t="n">
        <v>10</v>
      </c>
      <c r="X453" s="2" t="s">
        <v>156</v>
      </c>
    </row>
    <row r="454" customFormat="false" ht="15" hidden="false" customHeight="false" outlineLevel="0" collapsed="false">
      <c r="A454" s="2" t="n">
        <v>369082511</v>
      </c>
      <c r="B454" s="29" t="n">
        <v>46235.0810532407</v>
      </c>
      <c r="C454" s="2" t="s">
        <v>158</v>
      </c>
      <c r="D454" s="2" t="s">
        <v>638</v>
      </c>
      <c r="E454" s="2" t="s">
        <v>78</v>
      </c>
      <c r="F454" s="2" t="s">
        <v>113</v>
      </c>
      <c r="G454" s="30" t="n">
        <v>117.7</v>
      </c>
      <c r="H454" s="11" t="n">
        <v>1318.14</v>
      </c>
      <c r="I454" s="11" t="s">
        <v>350</v>
      </c>
      <c r="J454" s="11" t="n">
        <v>189.35</v>
      </c>
      <c r="K454" s="11" t="n">
        <v>201.59</v>
      </c>
      <c r="L454" s="11" t="n">
        <v>1.3181</v>
      </c>
      <c r="M454" s="11" t="n">
        <v>2.6363</v>
      </c>
      <c r="N454" s="11" t="n">
        <v>1</v>
      </c>
      <c r="O454" s="11" t="n">
        <v>9</v>
      </c>
      <c r="P454" s="11" t="n">
        <v>7.08</v>
      </c>
      <c r="Q454" s="11" t="n">
        <v>53.1</v>
      </c>
      <c r="R454" s="11" t="n">
        <f aca="false">SUM(K454:Q454)</f>
        <v>275.7244</v>
      </c>
      <c r="S454" s="11" t="n">
        <f aca="false">R454/(1-Resumo!$C$6)</f>
        <v>313.323181818182</v>
      </c>
      <c r="T454" s="11" t="n">
        <f aca="false">S454-J454</f>
        <v>123.973181818182</v>
      </c>
      <c r="U454" s="12" t="n">
        <f aca="false">IFERROR(S454/J454-1,0)</f>
        <v>0.654730297429004</v>
      </c>
      <c r="V454" s="2" t="str">
        <f aca="false">IF(S454&lt;J454,"SIM","NÃO")</f>
        <v>NÃO</v>
      </c>
      <c r="W454" s="2" t="n">
        <v>5</v>
      </c>
      <c r="X454" s="2" t="s">
        <v>156</v>
      </c>
    </row>
    <row r="455" customFormat="false" ht="15" hidden="false" customHeight="false" outlineLevel="0" collapsed="false">
      <c r="A455" s="2" t="n">
        <v>369229649</v>
      </c>
      <c r="B455" s="29" t="n">
        <v>46235.3638194444</v>
      </c>
      <c r="C455" s="2" t="s">
        <v>158</v>
      </c>
      <c r="D455" s="2" t="s">
        <v>506</v>
      </c>
      <c r="E455" s="2" t="s">
        <v>78</v>
      </c>
      <c r="F455" s="2" t="s">
        <v>109</v>
      </c>
      <c r="G455" s="30" t="n">
        <v>55</v>
      </c>
      <c r="H455" s="11" t="n">
        <v>676</v>
      </c>
      <c r="I455" s="11" t="s">
        <v>350</v>
      </c>
      <c r="J455" s="11" t="n">
        <v>114.53</v>
      </c>
      <c r="K455" s="11" t="n">
        <v>112.3</v>
      </c>
      <c r="L455" s="11" t="n">
        <v>0.676</v>
      </c>
      <c r="M455" s="11" t="n">
        <v>1.352</v>
      </c>
      <c r="N455" s="11" t="n">
        <v>1</v>
      </c>
      <c r="O455" s="11" t="n">
        <v>4.5</v>
      </c>
      <c r="P455" s="11" t="n">
        <v>3.3</v>
      </c>
      <c r="Q455" s="11" t="n">
        <v>24.75</v>
      </c>
      <c r="R455" s="11" t="n">
        <f aca="false">SUM(K455:Q455)</f>
        <v>147.878</v>
      </c>
      <c r="S455" s="11" t="n">
        <f aca="false">R455/(1-Resumo!$C$6)</f>
        <v>168.043181818182</v>
      </c>
      <c r="T455" s="11" t="n">
        <f aca="false">S455-J455</f>
        <v>53.5131818181818</v>
      </c>
      <c r="U455" s="12" t="n">
        <f aca="false">IFERROR(S455/J455-1,0)</f>
        <v>0.467241611963519</v>
      </c>
      <c r="V455" s="2" t="str">
        <f aca="false">IF(S455&lt;J455,"SIM","NÃO")</f>
        <v>NÃO</v>
      </c>
      <c r="W455" s="2" t="n">
        <v>5</v>
      </c>
      <c r="X455" s="2" t="s">
        <v>156</v>
      </c>
    </row>
    <row r="456" customFormat="false" ht="15" hidden="false" customHeight="false" outlineLevel="0" collapsed="false">
      <c r="A456" s="2" t="n">
        <v>369262008</v>
      </c>
      <c r="B456" s="29" t="n">
        <v>46235.4272337963</v>
      </c>
      <c r="C456" s="2" t="s">
        <v>158</v>
      </c>
      <c r="D456" s="2" t="s">
        <v>639</v>
      </c>
      <c r="E456" s="2" t="s">
        <v>78</v>
      </c>
      <c r="F456" s="2" t="s">
        <v>107</v>
      </c>
      <c r="G456" s="30" t="n">
        <v>36.8</v>
      </c>
      <c r="H456" s="11" t="n">
        <v>449.95</v>
      </c>
      <c r="I456" s="11" t="s">
        <v>155</v>
      </c>
      <c r="J456" s="11" t="n">
        <v>92.01</v>
      </c>
      <c r="K456" s="11" t="n">
        <v>93.97</v>
      </c>
      <c r="L456" s="11" t="n">
        <v>0.45</v>
      </c>
      <c r="M456" s="11" t="n">
        <v>0.8999</v>
      </c>
      <c r="N456" s="11" t="n">
        <v>1</v>
      </c>
      <c r="O456" s="11" t="n">
        <v>4.5</v>
      </c>
      <c r="P456" s="11" t="n">
        <v>2.22</v>
      </c>
      <c r="Q456" s="11" t="n">
        <v>16.65</v>
      </c>
      <c r="R456" s="11" t="n">
        <f aca="false">SUM(K456:Q456)</f>
        <v>119.6899</v>
      </c>
      <c r="S456" s="11" t="n">
        <f aca="false">R456/(1-Resumo!$C$6)</f>
        <v>136.01125</v>
      </c>
      <c r="T456" s="11" t="n">
        <f aca="false">S456-J456</f>
        <v>44.00125</v>
      </c>
      <c r="U456" s="12" t="n">
        <f aca="false">IFERROR(S456/J456-1,0)</f>
        <v>0.478222475817846</v>
      </c>
      <c r="V456" s="2" t="str">
        <f aca="false">IF(S456&lt;J456,"SIM","NÃO")</f>
        <v>NÃO</v>
      </c>
      <c r="W456" s="2" t="n">
        <v>5</v>
      </c>
      <c r="X456" s="2" t="s">
        <v>156</v>
      </c>
    </row>
    <row r="457" customFormat="false" ht="15" hidden="false" customHeight="false" outlineLevel="0" collapsed="false">
      <c r="A457" s="2" t="n">
        <v>369266435</v>
      </c>
      <c r="B457" s="29" t="n">
        <v>46235.4326388889</v>
      </c>
      <c r="C457" s="2" t="s">
        <v>153</v>
      </c>
      <c r="D457" s="2" t="s">
        <v>640</v>
      </c>
      <c r="E457" s="2" t="s">
        <v>79</v>
      </c>
      <c r="F457" s="2" t="s">
        <v>109</v>
      </c>
      <c r="G457" s="30" t="n">
        <v>52.3</v>
      </c>
      <c r="H457" s="11" t="n">
        <v>685.85</v>
      </c>
      <c r="I457" s="11" t="s">
        <v>350</v>
      </c>
      <c r="J457" s="11" t="n">
        <v>127.62</v>
      </c>
      <c r="K457" s="11" t="n">
        <v>128.14</v>
      </c>
      <c r="L457" s="11" t="n">
        <v>0.6859</v>
      </c>
      <c r="M457" s="11" t="n">
        <v>1.3717</v>
      </c>
      <c r="N457" s="11" t="n">
        <v>1</v>
      </c>
      <c r="O457" s="11" t="n">
        <v>4.5</v>
      </c>
      <c r="P457" s="11" t="n">
        <v>3.18</v>
      </c>
      <c r="Q457" s="11" t="n">
        <v>23.85</v>
      </c>
      <c r="R457" s="11" t="n">
        <f aca="false">SUM(K457:Q457)</f>
        <v>162.7276</v>
      </c>
      <c r="S457" s="11" t="n">
        <f aca="false">R457/(1-Resumo!$C$6)</f>
        <v>184.917727272727</v>
      </c>
      <c r="T457" s="11" t="n">
        <f aca="false">S457-J457</f>
        <v>57.2977272727272</v>
      </c>
      <c r="U457" s="12" t="n">
        <f aca="false">IFERROR(S457/J457-1,0)</f>
        <v>0.448971378096907</v>
      </c>
      <c r="V457" s="2" t="str">
        <f aca="false">IF(S457&lt;J457,"SIM","NÃO")</f>
        <v>NÃO</v>
      </c>
      <c r="W457" s="2" t="n">
        <v>7</v>
      </c>
      <c r="X457" s="2" t="s">
        <v>156</v>
      </c>
    </row>
    <row r="458" customFormat="false" ht="15" hidden="false" customHeight="false" outlineLevel="0" collapsed="false">
      <c r="A458" s="2" t="n">
        <v>369270837</v>
      </c>
      <c r="B458" s="29" t="n">
        <v>46235.4381944445</v>
      </c>
      <c r="C458" s="2" t="s">
        <v>153</v>
      </c>
      <c r="D458" s="2" t="s">
        <v>641</v>
      </c>
      <c r="E458" s="2" t="s">
        <v>84</v>
      </c>
      <c r="F458" s="2" t="s">
        <v>107</v>
      </c>
      <c r="G458" s="30" t="n">
        <v>37.6</v>
      </c>
      <c r="H458" s="11" t="n">
        <v>391.05</v>
      </c>
      <c r="I458" s="11" t="s">
        <v>350</v>
      </c>
      <c r="J458" s="11" t="n">
        <v>113.83</v>
      </c>
      <c r="K458" s="11" t="n">
        <v>93.97</v>
      </c>
      <c r="L458" s="11" t="n">
        <v>0.391</v>
      </c>
      <c r="M458" s="11" t="n">
        <v>0.7821</v>
      </c>
      <c r="N458" s="11" t="n">
        <v>1</v>
      </c>
      <c r="O458" s="11" t="n">
        <v>4.5</v>
      </c>
      <c r="P458" s="11" t="n">
        <v>2.28</v>
      </c>
      <c r="Q458" s="11" t="n">
        <v>17.1</v>
      </c>
      <c r="R458" s="11" t="n">
        <f aca="false">SUM(K458:Q458)</f>
        <v>120.0231</v>
      </c>
      <c r="S458" s="11" t="n">
        <f aca="false">R458/(1-Resumo!$C$6)</f>
        <v>136.389886363636</v>
      </c>
      <c r="T458" s="11" t="n">
        <f aca="false">S458-J458</f>
        <v>22.5598863636364</v>
      </c>
      <c r="U458" s="12" t="n">
        <f aca="false">IFERROR(S458/J458-1,0)</f>
        <v>0.19818928545758</v>
      </c>
      <c r="V458" s="2" t="str">
        <f aca="false">IF(S458&lt;J458,"SIM","NÃO")</f>
        <v>NÃO</v>
      </c>
      <c r="W458" s="2" t="n">
        <v>5</v>
      </c>
      <c r="X458" s="2" t="s">
        <v>156</v>
      </c>
    </row>
    <row r="459" customFormat="false" ht="15" hidden="false" customHeight="false" outlineLevel="0" collapsed="false">
      <c r="A459" s="2" t="n">
        <v>369271060</v>
      </c>
      <c r="B459" s="29" t="n">
        <v>46235.4384606482</v>
      </c>
      <c r="C459" s="2" t="s">
        <v>153</v>
      </c>
      <c r="D459" s="2" t="s">
        <v>642</v>
      </c>
      <c r="E459" s="2" t="s">
        <v>84</v>
      </c>
      <c r="F459" s="2" t="s">
        <v>105</v>
      </c>
      <c r="G459" s="30" t="n">
        <v>19.5</v>
      </c>
      <c r="H459" s="11" t="n">
        <v>359.99</v>
      </c>
      <c r="I459" s="11" t="s">
        <v>350</v>
      </c>
      <c r="J459" s="11" t="n">
        <v>77.09</v>
      </c>
      <c r="K459" s="11" t="n">
        <v>46.98</v>
      </c>
      <c r="L459" s="11" t="n">
        <v>0.36</v>
      </c>
      <c r="M459" s="11" t="n">
        <v>0.72</v>
      </c>
      <c r="N459" s="11" t="n">
        <v>1</v>
      </c>
      <c r="O459" s="11" t="n">
        <v>4.5</v>
      </c>
      <c r="P459" s="11" t="n">
        <v>1.2</v>
      </c>
      <c r="Q459" s="11" t="n">
        <v>9</v>
      </c>
      <c r="R459" s="11" t="n">
        <f aca="false">SUM(K459:Q459)</f>
        <v>63.76</v>
      </c>
      <c r="S459" s="11" t="n">
        <f aca="false">R459/(1-Resumo!$C$6)</f>
        <v>72.4545454545455</v>
      </c>
      <c r="T459" s="11" t="n">
        <f aca="false">S459-J459</f>
        <v>-4.63545454545455</v>
      </c>
      <c r="U459" s="12" t="n">
        <f aca="false">IFERROR(S459/J459-1,0)</f>
        <v>-0.0601304260663452</v>
      </c>
      <c r="V459" s="2" t="str">
        <f aca="false">IF(S459&lt;J459,"SIM","NÃO")</f>
        <v>SIM</v>
      </c>
      <c r="W459" s="2" t="n">
        <v>5</v>
      </c>
      <c r="X459" s="2" t="s">
        <v>156</v>
      </c>
    </row>
    <row r="460" customFormat="false" ht="15" hidden="false" customHeight="false" outlineLevel="0" collapsed="false">
      <c r="A460" s="2" t="n">
        <v>369278227</v>
      </c>
      <c r="B460" s="29" t="n">
        <v>46235.4477314815</v>
      </c>
      <c r="C460" s="2" t="s">
        <v>153</v>
      </c>
      <c r="D460" s="2" t="s">
        <v>643</v>
      </c>
      <c r="E460" s="2" t="s">
        <v>89</v>
      </c>
      <c r="F460" s="2" t="s">
        <v>108</v>
      </c>
      <c r="G460" s="30" t="n">
        <v>49.6</v>
      </c>
      <c r="H460" s="11" t="n">
        <v>769.99</v>
      </c>
      <c r="I460" s="11" t="s">
        <v>350</v>
      </c>
      <c r="J460" s="11" t="n">
        <v>134.14</v>
      </c>
      <c r="K460" s="11" t="n">
        <v>124.38</v>
      </c>
      <c r="L460" s="11" t="n">
        <v>0.77</v>
      </c>
      <c r="M460" s="11" t="n">
        <v>1.54</v>
      </c>
      <c r="N460" s="11" t="n">
        <v>1</v>
      </c>
      <c r="O460" s="11" t="n">
        <v>4.5</v>
      </c>
      <c r="P460" s="11" t="n">
        <v>3</v>
      </c>
      <c r="Q460" s="11" t="n">
        <v>22.5</v>
      </c>
      <c r="R460" s="11" t="n">
        <f aca="false">SUM(K460:Q460)</f>
        <v>157.69</v>
      </c>
      <c r="S460" s="11" t="n">
        <f aca="false">R460/(1-Resumo!$C$6)</f>
        <v>179.193181818182</v>
      </c>
      <c r="T460" s="11" t="n">
        <f aca="false">S460-J460</f>
        <v>45.0531818181818</v>
      </c>
      <c r="U460" s="12" t="n">
        <f aca="false">IFERROR(S460/J460-1,0)</f>
        <v>0.335866869078439</v>
      </c>
      <c r="V460" s="2" t="str">
        <f aca="false">IF(S460&lt;J460,"SIM","NÃO")</f>
        <v>NÃO</v>
      </c>
      <c r="W460" s="2" t="n">
        <v>8</v>
      </c>
      <c r="X460" s="2" t="s">
        <v>156</v>
      </c>
    </row>
    <row r="461" customFormat="false" ht="15" hidden="false" customHeight="false" outlineLevel="0" collapsed="false">
      <c r="A461" s="2" t="n">
        <v>369331548</v>
      </c>
      <c r="B461" s="29" t="n">
        <v>46235.5013657407</v>
      </c>
      <c r="C461" s="2" t="s">
        <v>153</v>
      </c>
      <c r="D461" s="2" t="s">
        <v>644</v>
      </c>
      <c r="E461" s="2" t="s">
        <v>78</v>
      </c>
      <c r="F461" s="2" t="s">
        <v>106</v>
      </c>
      <c r="G461" s="30" t="n">
        <v>22</v>
      </c>
      <c r="H461" s="11" t="n">
        <v>829.99</v>
      </c>
      <c r="I461" s="11" t="s">
        <v>155</v>
      </c>
      <c r="J461" s="11" t="n">
        <v>84.31</v>
      </c>
      <c r="K461" s="11" t="n">
        <v>82.21</v>
      </c>
      <c r="L461" s="11" t="n">
        <v>0.83</v>
      </c>
      <c r="M461" s="11" t="n">
        <v>1.66</v>
      </c>
      <c r="N461" s="11" t="n">
        <v>1</v>
      </c>
      <c r="O461" s="11" t="n">
        <v>4.5</v>
      </c>
      <c r="P461" s="11" t="n">
        <v>1.32</v>
      </c>
      <c r="Q461" s="11" t="n">
        <v>9.9</v>
      </c>
      <c r="R461" s="11" t="n">
        <f aca="false">SUM(K461:Q461)</f>
        <v>101.42</v>
      </c>
      <c r="S461" s="11" t="n">
        <f aca="false">R461/(1-Resumo!$C$6)</f>
        <v>115.25</v>
      </c>
      <c r="T461" s="11" t="n">
        <f aca="false">S461-J461</f>
        <v>30.94</v>
      </c>
      <c r="U461" s="12" t="n">
        <f aca="false">IFERROR(S461/J461-1,0)</f>
        <v>0.366979006049105</v>
      </c>
      <c r="V461" s="2" t="str">
        <f aca="false">IF(S461&lt;J461,"SIM","NÃO")</f>
        <v>NÃO</v>
      </c>
      <c r="W461" s="2" t="n">
        <v>5</v>
      </c>
      <c r="X461" s="2" t="s">
        <v>156</v>
      </c>
    </row>
    <row r="462" customFormat="false" ht="15" hidden="false" customHeight="false" outlineLevel="0" collapsed="false">
      <c r="A462" s="2" t="n">
        <v>369348990</v>
      </c>
      <c r="B462" s="29" t="n">
        <v>46235.5428472222</v>
      </c>
      <c r="C462" s="2" t="s">
        <v>178</v>
      </c>
      <c r="D462" s="2" t="s">
        <v>645</v>
      </c>
      <c r="E462" s="2" t="s">
        <v>81</v>
      </c>
      <c r="F462" s="2" t="s">
        <v>107</v>
      </c>
      <c r="G462" s="30" t="n">
        <v>35.4</v>
      </c>
      <c r="H462" s="11" t="n">
        <v>475.99</v>
      </c>
      <c r="I462" s="11" t="s">
        <v>155</v>
      </c>
      <c r="J462" s="11" t="n">
        <v>113.23</v>
      </c>
      <c r="K462" s="11" t="n">
        <v>93.97</v>
      </c>
      <c r="L462" s="11" t="n">
        <v>0.476</v>
      </c>
      <c r="M462" s="11" t="n">
        <v>0.952</v>
      </c>
      <c r="N462" s="11" t="n">
        <v>1</v>
      </c>
      <c r="O462" s="11" t="n">
        <v>4.5</v>
      </c>
      <c r="P462" s="11" t="n">
        <v>2.16</v>
      </c>
      <c r="Q462" s="11" t="n">
        <v>16.2</v>
      </c>
      <c r="R462" s="11" t="n">
        <f aca="false">SUM(K462:Q462)</f>
        <v>119.258</v>
      </c>
      <c r="S462" s="11" t="n">
        <f aca="false">R462/(1-Resumo!$C$6)</f>
        <v>135.520454545455</v>
      </c>
      <c r="T462" s="11" t="n">
        <f aca="false">S462-J462</f>
        <v>22.2904545454545</v>
      </c>
      <c r="U462" s="12" t="n">
        <f aca="false">IFERROR(S462/J462-1,0)</f>
        <v>0.196859971257216</v>
      </c>
      <c r="V462" s="2" t="str">
        <f aca="false">IF(S462&lt;J462,"SIM","NÃO")</f>
        <v>NÃO</v>
      </c>
      <c r="W462" s="2" t="n">
        <v>5</v>
      </c>
      <c r="X462" s="2" t="s">
        <v>156</v>
      </c>
    </row>
    <row r="463" customFormat="false" ht="15" hidden="false" customHeight="false" outlineLevel="0" collapsed="false">
      <c r="A463" s="2" t="n">
        <v>369394180</v>
      </c>
      <c r="B463" s="29" t="n">
        <v>46235.5871759259</v>
      </c>
      <c r="C463" s="2" t="s">
        <v>158</v>
      </c>
      <c r="D463" s="2" t="s">
        <v>646</v>
      </c>
      <c r="E463" s="2" t="s">
        <v>78</v>
      </c>
      <c r="F463" s="2" t="s">
        <v>109</v>
      </c>
      <c r="G463" s="30" t="n">
        <v>52.3</v>
      </c>
      <c r="H463" s="11" t="n">
        <v>642.07</v>
      </c>
      <c r="I463" s="11" t="s">
        <v>350</v>
      </c>
      <c r="J463" s="11" t="n">
        <v>113.35</v>
      </c>
      <c r="K463" s="11" t="n">
        <v>112.3</v>
      </c>
      <c r="L463" s="11" t="n">
        <v>0.6421</v>
      </c>
      <c r="M463" s="11" t="n">
        <v>1.2841</v>
      </c>
      <c r="N463" s="11" t="n">
        <v>1</v>
      </c>
      <c r="O463" s="11" t="n">
        <v>4.5</v>
      </c>
      <c r="P463" s="11" t="n">
        <v>3.18</v>
      </c>
      <c r="Q463" s="11" t="n">
        <v>23.85</v>
      </c>
      <c r="R463" s="11" t="n">
        <f aca="false">SUM(K463:Q463)</f>
        <v>146.7562</v>
      </c>
      <c r="S463" s="11" t="n">
        <f aca="false">R463/(1-Resumo!$C$6)</f>
        <v>166.768409090909</v>
      </c>
      <c r="T463" s="11" t="n">
        <f aca="false">S463-J463</f>
        <v>53.4184090909091</v>
      </c>
      <c r="U463" s="12" t="n">
        <f aca="false">IFERROR(S463/J463-1,0)</f>
        <v>0.471269599390464</v>
      </c>
      <c r="V463" s="2" t="str">
        <f aca="false">IF(S463&lt;J463,"SIM","NÃO")</f>
        <v>NÃO</v>
      </c>
      <c r="W463" s="2" t="n">
        <v>5</v>
      </c>
      <c r="X463" s="2" t="s">
        <v>156</v>
      </c>
    </row>
    <row r="464" customFormat="false" ht="15" hidden="false" customHeight="false" outlineLevel="0" collapsed="false">
      <c r="A464" s="2" t="n">
        <v>369397328</v>
      </c>
      <c r="B464" s="29" t="n">
        <v>46235.5910185185</v>
      </c>
      <c r="C464" s="2" t="s">
        <v>153</v>
      </c>
      <c r="D464" s="2" t="s">
        <v>647</v>
      </c>
      <c r="E464" s="2" t="s">
        <v>84</v>
      </c>
      <c r="F464" s="2" t="s">
        <v>108</v>
      </c>
      <c r="G464" s="30" t="n">
        <v>47.1</v>
      </c>
      <c r="H464" s="11" t="n">
        <v>619.99</v>
      </c>
      <c r="I464" s="11" t="s">
        <v>350</v>
      </c>
      <c r="J464" s="11" t="n">
        <v>118.36</v>
      </c>
      <c r="K464" s="11" t="n">
        <v>93.97</v>
      </c>
      <c r="L464" s="11" t="n">
        <v>0.62</v>
      </c>
      <c r="M464" s="11" t="n">
        <v>1.24</v>
      </c>
      <c r="N464" s="11" t="n">
        <v>1</v>
      </c>
      <c r="O464" s="11" t="n">
        <v>4.5</v>
      </c>
      <c r="P464" s="11" t="n">
        <v>2.88</v>
      </c>
      <c r="Q464" s="11" t="n">
        <v>21.6</v>
      </c>
      <c r="R464" s="11" t="n">
        <f aca="false">SUM(K464:Q464)</f>
        <v>125.81</v>
      </c>
      <c r="S464" s="11" t="n">
        <f aca="false">R464/(1-Resumo!$C$6)</f>
        <v>142.965909090909</v>
      </c>
      <c r="T464" s="11" t="n">
        <f aca="false">S464-J464</f>
        <v>24.6059090909091</v>
      </c>
      <c r="U464" s="12" t="n">
        <f aca="false">IFERROR(S464/J464-1,0)</f>
        <v>0.207890411379766</v>
      </c>
      <c r="V464" s="2" t="str">
        <f aca="false">IF(S464&lt;J464,"SIM","NÃO")</f>
        <v>NÃO</v>
      </c>
      <c r="W464" s="2" t="n">
        <v>5</v>
      </c>
      <c r="X464" s="2" t="s">
        <v>156</v>
      </c>
    </row>
    <row r="465" customFormat="false" ht="15" hidden="false" customHeight="false" outlineLevel="0" collapsed="false">
      <c r="A465" s="2" t="n">
        <v>369402156</v>
      </c>
      <c r="B465" s="29" t="n">
        <v>46235.5965393519</v>
      </c>
      <c r="C465" s="2" t="s">
        <v>158</v>
      </c>
      <c r="D465" s="2" t="s">
        <v>648</v>
      </c>
      <c r="E465" s="2" t="s">
        <v>239</v>
      </c>
      <c r="F465" s="2" t="s">
        <v>109</v>
      </c>
      <c r="G465" s="30" t="n">
        <v>52.3</v>
      </c>
      <c r="H465" s="11" t="n">
        <v>637.57</v>
      </c>
      <c r="I465" s="11" t="s">
        <v>350</v>
      </c>
      <c r="J465" s="11" t="n">
        <v>141.72</v>
      </c>
      <c r="K465" s="11" t="n">
        <v>144.53</v>
      </c>
      <c r="L465" s="11" t="n">
        <v>0.6376</v>
      </c>
      <c r="M465" s="11" t="n">
        <v>1.2751</v>
      </c>
      <c r="N465" s="11" t="n">
        <v>1</v>
      </c>
      <c r="O465" s="11" t="n">
        <v>4.5</v>
      </c>
      <c r="P465" s="11" t="n">
        <v>3.18</v>
      </c>
      <c r="Q465" s="11" t="n">
        <v>23.85</v>
      </c>
      <c r="R465" s="11" t="n">
        <f aca="false">SUM(K465:Q465)</f>
        <v>178.9727</v>
      </c>
      <c r="S465" s="11" t="n">
        <f aca="false">R465/(1-Resumo!$C$6)</f>
        <v>203.378068181818</v>
      </c>
      <c r="T465" s="11" t="n">
        <f aca="false">S465-J465</f>
        <v>61.6580681818182</v>
      </c>
      <c r="U465" s="12" t="n">
        <f aca="false">IFERROR(S465/J465-1,0)</f>
        <v>0.435069631539784</v>
      </c>
      <c r="V465" s="2" t="str">
        <f aca="false">IF(S465&lt;J465,"SIM","NÃO")</f>
        <v>NÃO</v>
      </c>
      <c r="W465" s="2" t="n">
        <v>10</v>
      </c>
      <c r="X465" s="2" t="s">
        <v>161</v>
      </c>
    </row>
    <row r="466" customFormat="false" ht="15" hidden="false" customHeight="false" outlineLevel="0" collapsed="false">
      <c r="A466" s="2" t="n">
        <v>369412776</v>
      </c>
      <c r="B466" s="29" t="n">
        <v>46235.6070949074</v>
      </c>
      <c r="C466" s="2" t="s">
        <v>158</v>
      </c>
      <c r="D466" s="2" t="s">
        <v>649</v>
      </c>
      <c r="E466" s="2" t="s">
        <v>650</v>
      </c>
      <c r="F466" s="2" t="s">
        <v>109</v>
      </c>
      <c r="G466" s="30" t="n">
        <v>51.3</v>
      </c>
      <c r="H466" s="11" t="n">
        <v>579</v>
      </c>
      <c r="I466" s="11" t="s">
        <v>350</v>
      </c>
      <c r="J466" s="11" t="n">
        <v>140.93</v>
      </c>
      <c r="K466" s="11" t="n">
        <v>142.32</v>
      </c>
      <c r="L466" s="11" t="n">
        <v>0.579</v>
      </c>
      <c r="M466" s="11" t="n">
        <v>1.158</v>
      </c>
      <c r="N466" s="11" t="n">
        <v>1</v>
      </c>
      <c r="O466" s="11" t="n">
        <v>4.5</v>
      </c>
      <c r="P466" s="11" t="n">
        <v>3.12</v>
      </c>
      <c r="Q466" s="11" t="n">
        <v>23.4</v>
      </c>
      <c r="R466" s="11" t="n">
        <f aca="false">SUM(K466:Q466)</f>
        <v>176.077</v>
      </c>
      <c r="S466" s="11" t="n">
        <f aca="false">R466/(1-Resumo!$C$6)</f>
        <v>200.0875</v>
      </c>
      <c r="T466" s="11" t="n">
        <f aca="false">S466-J466</f>
        <v>59.1575</v>
      </c>
      <c r="U466" s="12" t="n">
        <f aca="false">IFERROR(S466/J466-1,0)</f>
        <v>0.41976513162563</v>
      </c>
      <c r="V466" s="2" t="str">
        <f aca="false">IF(S466&lt;J466,"SIM","NÃO")</f>
        <v>NÃO</v>
      </c>
      <c r="W466" s="2" t="n">
        <v>10</v>
      </c>
      <c r="X466" s="2" t="s">
        <v>161</v>
      </c>
    </row>
    <row r="467" customFormat="false" ht="15" hidden="false" customHeight="false" outlineLevel="0" collapsed="false">
      <c r="A467" s="2" t="n">
        <v>369435531</v>
      </c>
      <c r="B467" s="29" t="n">
        <v>46235.6367361111</v>
      </c>
      <c r="C467" s="2" t="s">
        <v>178</v>
      </c>
      <c r="D467" s="2" t="s">
        <v>651</v>
      </c>
      <c r="E467" s="2" t="s">
        <v>78</v>
      </c>
      <c r="F467" s="2" t="s">
        <v>106</v>
      </c>
      <c r="G467" s="30" t="n">
        <v>33.11</v>
      </c>
      <c r="H467" s="11" t="n">
        <v>459.99</v>
      </c>
      <c r="I467" s="11" t="s">
        <v>155</v>
      </c>
      <c r="J467" s="11" t="n">
        <v>82.53</v>
      </c>
      <c r="K467" s="11" t="n">
        <v>82.21</v>
      </c>
      <c r="L467" s="11" t="n">
        <v>0.46</v>
      </c>
      <c r="M467" s="11" t="n">
        <v>0.92</v>
      </c>
      <c r="N467" s="11" t="n">
        <v>1</v>
      </c>
      <c r="O467" s="11" t="n">
        <v>4.5</v>
      </c>
      <c r="P467" s="11" t="n">
        <v>2.04</v>
      </c>
      <c r="Q467" s="11" t="n">
        <v>15.3</v>
      </c>
      <c r="R467" s="11" t="n">
        <f aca="false">SUM(K467:Q467)</f>
        <v>106.43</v>
      </c>
      <c r="S467" s="11" t="n">
        <f aca="false">R467/(1-Resumo!$C$6)</f>
        <v>120.943181818182</v>
      </c>
      <c r="T467" s="11" t="n">
        <f aca="false">S467-J467</f>
        <v>38.4131818181818</v>
      </c>
      <c r="U467" s="12" t="n">
        <f aca="false">IFERROR(S467/J467-1,0)</f>
        <v>0.465445072315301</v>
      </c>
      <c r="V467" s="2" t="str">
        <f aca="false">IF(S467&lt;J467,"SIM","NÃO")</f>
        <v>NÃO</v>
      </c>
      <c r="W467" s="2" t="n">
        <v>5</v>
      </c>
      <c r="X467" s="2" t="s">
        <v>156</v>
      </c>
    </row>
    <row r="468" customFormat="false" ht="15" hidden="false" customHeight="false" outlineLevel="0" collapsed="false">
      <c r="A468" s="2" t="n">
        <v>369468939</v>
      </c>
      <c r="B468" s="29" t="n">
        <v>46235.6687615741</v>
      </c>
      <c r="C468" s="2" t="s">
        <v>153</v>
      </c>
      <c r="D468" s="2" t="s">
        <v>652</v>
      </c>
      <c r="E468" s="2" t="s">
        <v>78</v>
      </c>
      <c r="F468" s="2" t="s">
        <v>105</v>
      </c>
      <c r="G468" s="30" t="n">
        <v>19.8</v>
      </c>
      <c r="H468" s="11" t="n">
        <v>369.99</v>
      </c>
      <c r="I468" s="11" t="s">
        <v>155</v>
      </c>
      <c r="J468" s="11" t="n">
        <v>64.99</v>
      </c>
      <c r="K468" s="11" t="n">
        <v>46.98</v>
      </c>
      <c r="L468" s="11" t="n">
        <v>0.37</v>
      </c>
      <c r="M468" s="11" t="n">
        <v>0.74</v>
      </c>
      <c r="N468" s="11" t="n">
        <v>1</v>
      </c>
      <c r="O468" s="11" t="n">
        <v>4.5</v>
      </c>
      <c r="P468" s="11" t="n">
        <v>1.2</v>
      </c>
      <c r="Q468" s="11" t="n">
        <v>9</v>
      </c>
      <c r="R468" s="11" t="n">
        <f aca="false">SUM(K468:Q468)</f>
        <v>63.79</v>
      </c>
      <c r="S468" s="11" t="n">
        <f aca="false">R468/(1-Resumo!$C$6)</f>
        <v>72.4886363636364</v>
      </c>
      <c r="T468" s="11" t="n">
        <f aca="false">S468-J468</f>
        <v>7.49863636363637</v>
      </c>
      <c r="U468" s="12" t="n">
        <f aca="false">IFERROR(S468/J468-1,0)</f>
        <v>0.115381387346305</v>
      </c>
      <c r="V468" s="2" t="str">
        <f aca="false">IF(S468&lt;J468,"SIM","NÃO")</f>
        <v>NÃO</v>
      </c>
      <c r="W468" s="2" t="n">
        <v>5</v>
      </c>
      <c r="X468" s="2" t="s">
        <v>156</v>
      </c>
    </row>
    <row r="469" customFormat="false" ht="15" hidden="false" customHeight="false" outlineLevel="0" collapsed="false">
      <c r="A469" s="2" t="n">
        <v>369479557</v>
      </c>
      <c r="B469" s="29" t="n">
        <v>46235.6800694445</v>
      </c>
      <c r="C469" s="2" t="s">
        <v>158</v>
      </c>
      <c r="D469" s="2" t="s">
        <v>653</v>
      </c>
      <c r="E469" s="2" t="s">
        <v>81</v>
      </c>
      <c r="F469" s="2" t="s">
        <v>113</v>
      </c>
      <c r="G469" s="30" t="n">
        <v>117.5</v>
      </c>
      <c r="H469" s="11" t="n">
        <v>1252.9</v>
      </c>
      <c r="I469" s="11" t="s">
        <v>155</v>
      </c>
      <c r="J469" s="11" t="n">
        <v>195.84</v>
      </c>
      <c r="K469" s="11" t="n">
        <v>201.59</v>
      </c>
      <c r="L469" s="11" t="n">
        <v>1.2529</v>
      </c>
      <c r="M469" s="11" t="n">
        <v>2.5058</v>
      </c>
      <c r="N469" s="11" t="n">
        <v>1</v>
      </c>
      <c r="O469" s="11" t="n">
        <v>9</v>
      </c>
      <c r="P469" s="11" t="n">
        <v>7.08</v>
      </c>
      <c r="Q469" s="11" t="n">
        <v>53.1</v>
      </c>
      <c r="R469" s="11" t="n">
        <f aca="false">SUM(K469:Q469)</f>
        <v>275.5287</v>
      </c>
      <c r="S469" s="11" t="n">
        <f aca="false">R469/(1-Resumo!$C$6)</f>
        <v>313.100795454545</v>
      </c>
      <c r="T469" s="11" t="n">
        <f aca="false">S469-J469</f>
        <v>117.260795454545</v>
      </c>
      <c r="U469" s="12" t="n">
        <f aca="false">IFERROR(S469/J469-1,0)</f>
        <v>0.598758146724599</v>
      </c>
      <c r="V469" s="2" t="str">
        <f aca="false">IF(S469&lt;J469,"SIM","NÃO")</f>
        <v>NÃO</v>
      </c>
      <c r="W469" s="2" t="n">
        <v>5</v>
      </c>
      <c r="X469" s="2" t="s">
        <v>156</v>
      </c>
    </row>
    <row r="470" customFormat="false" ht="15" hidden="false" customHeight="false" outlineLevel="0" collapsed="false">
      <c r="A470" s="2" t="n">
        <v>369493948</v>
      </c>
      <c r="B470" s="29" t="n">
        <v>46235.6941898148</v>
      </c>
      <c r="C470" s="2" t="s">
        <v>153</v>
      </c>
      <c r="D470" s="2" t="s">
        <v>654</v>
      </c>
      <c r="E470" s="2" t="s">
        <v>91</v>
      </c>
      <c r="F470" s="2" t="s">
        <v>107</v>
      </c>
      <c r="G470" s="30" t="n">
        <v>37.6</v>
      </c>
      <c r="H470" s="11" t="n">
        <v>391.05</v>
      </c>
      <c r="I470" s="11" t="s">
        <v>350</v>
      </c>
      <c r="J470" s="11" t="n">
        <v>123.08</v>
      </c>
      <c r="K470" s="11" t="n">
        <v>124.38</v>
      </c>
      <c r="L470" s="11" t="n">
        <v>0.391</v>
      </c>
      <c r="M470" s="11" t="n">
        <v>0.7821</v>
      </c>
      <c r="N470" s="11" t="n">
        <v>1</v>
      </c>
      <c r="O470" s="11" t="n">
        <v>4.5</v>
      </c>
      <c r="P470" s="11" t="n">
        <v>2.28</v>
      </c>
      <c r="Q470" s="11" t="n">
        <v>17.1</v>
      </c>
      <c r="R470" s="11" t="n">
        <f aca="false">SUM(K470:Q470)</f>
        <v>150.4331</v>
      </c>
      <c r="S470" s="11" t="n">
        <f aca="false">R470/(1-Resumo!$C$6)</f>
        <v>170.946704545455</v>
      </c>
      <c r="T470" s="11" t="n">
        <f aca="false">S470-J470</f>
        <v>47.8667045454545</v>
      </c>
      <c r="U470" s="12" t="n">
        <f aca="false">IFERROR(S470/J470-1,0)</f>
        <v>0.388907251750524</v>
      </c>
      <c r="V470" s="2" t="str">
        <f aca="false">IF(S470&lt;J470,"SIM","NÃO")</f>
        <v>NÃO</v>
      </c>
      <c r="W470" s="2" t="n">
        <v>10</v>
      </c>
      <c r="X470" s="2" t="s">
        <v>156</v>
      </c>
    </row>
    <row r="471" customFormat="false" ht="15" hidden="false" customHeight="false" outlineLevel="0" collapsed="false">
      <c r="A471" s="2" t="n">
        <v>369513985</v>
      </c>
      <c r="B471" s="29" t="n">
        <v>46235.6954861111</v>
      </c>
      <c r="C471" s="2" t="s">
        <v>369</v>
      </c>
      <c r="D471" s="2" t="s">
        <v>655</v>
      </c>
      <c r="E471" s="2" t="s">
        <v>78</v>
      </c>
      <c r="F471" s="2" t="s">
        <v>108</v>
      </c>
      <c r="G471" s="30" t="n">
        <v>46.8</v>
      </c>
      <c r="H471" s="11" t="n">
        <v>563.99</v>
      </c>
      <c r="I471" s="11" t="s">
        <v>155</v>
      </c>
      <c r="J471" s="11" t="n">
        <v>103.3</v>
      </c>
      <c r="K471" s="11" t="n">
        <v>93.97</v>
      </c>
      <c r="L471" s="11" t="n">
        <v>0.564</v>
      </c>
      <c r="M471" s="11" t="n">
        <v>1.128</v>
      </c>
      <c r="N471" s="11" t="n">
        <v>1</v>
      </c>
      <c r="O471" s="11" t="n">
        <v>4.5</v>
      </c>
      <c r="P471" s="11" t="n">
        <v>2.82</v>
      </c>
      <c r="Q471" s="11" t="n">
        <v>21.15</v>
      </c>
      <c r="R471" s="11" t="n">
        <f aca="false">SUM(K471:Q471)</f>
        <v>125.132</v>
      </c>
      <c r="S471" s="11" t="n">
        <f aca="false">R471/(1-Resumo!$C$6)</f>
        <v>142.195454545455</v>
      </c>
      <c r="T471" s="11" t="n">
        <f aca="false">S471-J471</f>
        <v>38.8954545454545</v>
      </c>
      <c r="U471" s="12" t="n">
        <f aca="false">IFERROR(S471/J471-1,0)</f>
        <v>0.376529085628795</v>
      </c>
      <c r="V471" s="2" t="str">
        <f aca="false">IF(S471&lt;J471,"SIM","NÃO")</f>
        <v>NÃO</v>
      </c>
      <c r="W471" s="2" t="n">
        <v>5</v>
      </c>
      <c r="X471" s="2" t="s">
        <v>156</v>
      </c>
    </row>
    <row r="472" customFormat="false" ht="15" hidden="false" customHeight="false" outlineLevel="0" collapsed="false">
      <c r="A472" s="2" t="n">
        <v>369495865</v>
      </c>
      <c r="B472" s="29" t="n">
        <v>46235.6959837963</v>
      </c>
      <c r="C472" s="2" t="s">
        <v>158</v>
      </c>
      <c r="D472" s="2" t="s">
        <v>656</v>
      </c>
      <c r="E472" s="2" t="s">
        <v>84</v>
      </c>
      <c r="F472" s="2" t="s">
        <v>109</v>
      </c>
      <c r="G472" s="30" t="n">
        <v>58.6</v>
      </c>
      <c r="H472" s="11" t="n">
        <v>648.53</v>
      </c>
      <c r="I472" s="11" t="s">
        <v>350</v>
      </c>
      <c r="J472" s="11" t="n">
        <v>130.51</v>
      </c>
      <c r="K472" s="11" t="n">
        <v>112.3</v>
      </c>
      <c r="L472" s="11" t="n">
        <v>0.6485</v>
      </c>
      <c r="M472" s="11" t="n">
        <v>1.2971</v>
      </c>
      <c r="N472" s="11" t="n">
        <v>1</v>
      </c>
      <c r="O472" s="11" t="n">
        <v>4.5</v>
      </c>
      <c r="P472" s="11" t="n">
        <v>3.54</v>
      </c>
      <c r="Q472" s="11" t="n">
        <v>26.55</v>
      </c>
      <c r="R472" s="11" t="n">
        <f aca="false">SUM(K472:Q472)</f>
        <v>149.8356</v>
      </c>
      <c r="S472" s="11" t="n">
        <f aca="false">R472/(1-Resumo!$C$6)</f>
        <v>170.267727272727</v>
      </c>
      <c r="T472" s="11" t="n">
        <f aca="false">S472-J472</f>
        <v>39.7577272727273</v>
      </c>
      <c r="U472" s="12" t="n">
        <f aca="false">IFERROR(S472/J472-1,0)</f>
        <v>0.304633570398646</v>
      </c>
      <c r="V472" s="2" t="str">
        <f aca="false">IF(S472&lt;J472,"SIM","NÃO")</f>
        <v>NÃO</v>
      </c>
      <c r="W472" s="2" t="n">
        <v>5</v>
      </c>
      <c r="X472" s="2" t="s">
        <v>156</v>
      </c>
    </row>
    <row r="473" customFormat="false" ht="15" hidden="false" customHeight="false" outlineLevel="0" collapsed="false">
      <c r="A473" s="2" t="n">
        <v>369520531</v>
      </c>
      <c r="B473" s="29" t="n">
        <v>46235.7187384259</v>
      </c>
      <c r="C473" s="2" t="s">
        <v>158</v>
      </c>
      <c r="D473" s="2" t="s">
        <v>657</v>
      </c>
      <c r="E473" s="2" t="s">
        <v>83</v>
      </c>
      <c r="F473" s="2" t="s">
        <v>109</v>
      </c>
      <c r="G473" s="30" t="n">
        <v>52.3</v>
      </c>
      <c r="H473" s="11" t="n">
        <v>637.57</v>
      </c>
      <c r="I473" s="11" t="s">
        <v>350</v>
      </c>
      <c r="J473" s="11" t="n">
        <v>141.72</v>
      </c>
      <c r="K473" s="11" t="n">
        <v>162.04</v>
      </c>
      <c r="L473" s="11" t="n">
        <v>0.6376</v>
      </c>
      <c r="M473" s="11" t="n">
        <v>1.2751</v>
      </c>
      <c r="N473" s="11" t="n">
        <v>1</v>
      </c>
      <c r="O473" s="11" t="n">
        <v>4.5</v>
      </c>
      <c r="P473" s="11" t="n">
        <v>3.18</v>
      </c>
      <c r="Q473" s="11" t="n">
        <v>23.85</v>
      </c>
      <c r="R473" s="11" t="n">
        <f aca="false">SUM(K473:Q473)</f>
        <v>196.4827</v>
      </c>
      <c r="S473" s="11" t="n">
        <f aca="false">R473/(1-Resumo!$C$6)</f>
        <v>223.275795454545</v>
      </c>
      <c r="T473" s="11" t="n">
        <f aca="false">S473-J473</f>
        <v>81.5557954545455</v>
      </c>
      <c r="U473" s="12" t="n">
        <f aca="false">IFERROR(S473/J473-1,0)</f>
        <v>0.575471319888128</v>
      </c>
      <c r="V473" s="2" t="str">
        <f aca="false">IF(S473&lt;J473,"SIM","NÃO")</f>
        <v>NÃO</v>
      </c>
      <c r="W473" s="2" t="n">
        <v>11</v>
      </c>
      <c r="X473" s="2" t="s">
        <v>156</v>
      </c>
    </row>
    <row r="474" customFormat="false" ht="15" hidden="false" customHeight="false" outlineLevel="0" collapsed="false">
      <c r="A474" s="2" t="n">
        <v>369526007</v>
      </c>
      <c r="B474" s="29" t="n">
        <v>46235.7235185185</v>
      </c>
      <c r="C474" s="2" t="s">
        <v>153</v>
      </c>
      <c r="D474" s="2" t="s">
        <v>658</v>
      </c>
      <c r="E474" s="2" t="s">
        <v>93</v>
      </c>
      <c r="F474" s="2" t="s">
        <v>114</v>
      </c>
      <c r="G474" s="30" t="n">
        <v>134.4</v>
      </c>
      <c r="H474" s="11" t="n">
        <v>1779.99</v>
      </c>
      <c r="I474" s="11" t="s">
        <v>350</v>
      </c>
      <c r="J474" s="11" t="n">
        <v>259.23</v>
      </c>
      <c r="K474" s="11" t="n">
        <v>249.03</v>
      </c>
      <c r="L474" s="11" t="n">
        <v>1.78</v>
      </c>
      <c r="M474" s="11" t="n">
        <v>3.56</v>
      </c>
      <c r="N474" s="11" t="n">
        <v>1</v>
      </c>
      <c r="O474" s="11" t="n">
        <v>9</v>
      </c>
      <c r="P474" s="11" t="n">
        <v>8.1</v>
      </c>
      <c r="Q474" s="11" t="n">
        <v>60.75</v>
      </c>
      <c r="R474" s="11" t="n">
        <f aca="false">SUM(K474:Q474)</f>
        <v>333.22</v>
      </c>
      <c r="S474" s="11" t="n">
        <f aca="false">R474/(1-Resumo!$C$6)</f>
        <v>378.659090909091</v>
      </c>
      <c r="T474" s="11" t="n">
        <f aca="false">S474-J474</f>
        <v>119.429090909091</v>
      </c>
      <c r="U474" s="12" t="n">
        <f aca="false">IFERROR(S474/J474-1,0)</f>
        <v>0.46070705901744</v>
      </c>
      <c r="V474" s="2" t="str">
        <f aca="false">IF(S474&lt;J474,"SIM","NÃO")</f>
        <v>NÃO</v>
      </c>
      <c r="W474" s="2" t="n">
        <v>7</v>
      </c>
      <c r="X474" s="2" t="s">
        <v>156</v>
      </c>
    </row>
    <row r="475" customFormat="false" ht="15" hidden="false" customHeight="false" outlineLevel="0" collapsed="false">
      <c r="A475" s="2" t="n">
        <v>369526819</v>
      </c>
      <c r="B475" s="29" t="n">
        <v>46235.7241319444</v>
      </c>
      <c r="C475" s="2" t="s">
        <v>153</v>
      </c>
      <c r="D475" s="2" t="s">
        <v>659</v>
      </c>
      <c r="E475" s="2" t="s">
        <v>660</v>
      </c>
      <c r="F475" s="2" t="s">
        <v>106</v>
      </c>
      <c r="G475" s="30" t="n">
        <v>20.9</v>
      </c>
      <c r="H475" s="11" t="n">
        <v>487.59</v>
      </c>
      <c r="I475" s="11" t="s">
        <v>350</v>
      </c>
      <c r="J475" s="11" t="n">
        <v>104.23</v>
      </c>
      <c r="K475" s="11" t="n">
        <v>120.78</v>
      </c>
      <c r="L475" s="11" t="n">
        <v>0.4876</v>
      </c>
      <c r="M475" s="11" t="n">
        <v>0.9752</v>
      </c>
      <c r="N475" s="11" t="n">
        <v>1</v>
      </c>
      <c r="O475" s="11" t="n">
        <v>4.5</v>
      </c>
      <c r="P475" s="11" t="n">
        <v>1.26</v>
      </c>
      <c r="Q475" s="11" t="n">
        <v>9.45</v>
      </c>
      <c r="R475" s="11" t="n">
        <f aca="false">SUM(K475:Q475)</f>
        <v>138.4528</v>
      </c>
      <c r="S475" s="11" t="n">
        <f aca="false">R475/(1-Resumo!$C$6)</f>
        <v>157.332727272727</v>
      </c>
      <c r="T475" s="11" t="n">
        <f aca="false">S475-J475</f>
        <v>53.1027272727273</v>
      </c>
      <c r="U475" s="12" t="n">
        <f aca="false">IFERROR(S475/J475-1,0)</f>
        <v>0.509476420154728</v>
      </c>
      <c r="V475" s="2" t="str">
        <f aca="false">IF(S475&lt;J475,"SIM","NÃO")</f>
        <v>NÃO</v>
      </c>
      <c r="W475" s="2" t="n">
        <v>10</v>
      </c>
      <c r="X475" s="2" t="s">
        <v>161</v>
      </c>
    </row>
    <row r="476" customFormat="false" ht="15" hidden="false" customHeight="false" outlineLevel="0" collapsed="false">
      <c r="A476" s="2" t="n">
        <v>369424625</v>
      </c>
      <c r="B476" s="29" t="n">
        <v>46235.7513888889</v>
      </c>
      <c r="C476" s="2" t="s">
        <v>178</v>
      </c>
      <c r="D476" s="2" t="s">
        <v>661</v>
      </c>
      <c r="E476" s="2" t="s">
        <v>186</v>
      </c>
      <c r="F476" s="2" t="s">
        <v>106</v>
      </c>
      <c r="G476" s="30" t="n">
        <v>26.4</v>
      </c>
      <c r="H476" s="11" t="n">
        <v>399.99</v>
      </c>
      <c r="I476" s="11" t="s">
        <v>350</v>
      </c>
      <c r="J476" s="11" t="n">
        <v>106.89</v>
      </c>
      <c r="K476" s="11" t="n">
        <v>82.21</v>
      </c>
      <c r="L476" s="11" t="n">
        <v>0.4</v>
      </c>
      <c r="M476" s="11" t="n">
        <v>0.8</v>
      </c>
      <c r="N476" s="11" t="n">
        <v>1</v>
      </c>
      <c r="O476" s="11" t="n">
        <v>4.5</v>
      </c>
      <c r="P476" s="11" t="n">
        <v>1.62</v>
      </c>
      <c r="Q476" s="11" t="n">
        <v>12.15</v>
      </c>
      <c r="R476" s="11" t="n">
        <f aca="false">SUM(K476:Q476)</f>
        <v>102.68</v>
      </c>
      <c r="S476" s="11" t="n">
        <f aca="false">R476/(1-Resumo!$C$6)</f>
        <v>116.681818181818</v>
      </c>
      <c r="T476" s="11" t="n">
        <f aca="false">S476-J476</f>
        <v>9.79181818181817</v>
      </c>
      <c r="U476" s="12" t="n">
        <f aca="false">IFERROR(S476/J476-1,0)</f>
        <v>0.0916064943569854</v>
      </c>
      <c r="V476" s="2" t="str">
        <f aca="false">IF(S476&lt;J476,"SIM","NÃO")</f>
        <v>NÃO</v>
      </c>
      <c r="W476" s="2" t="n">
        <v>5</v>
      </c>
      <c r="X476" s="2" t="s">
        <v>161</v>
      </c>
    </row>
    <row r="477" customFormat="false" ht="15" hidden="false" customHeight="false" outlineLevel="0" collapsed="false">
      <c r="A477" s="2" t="n">
        <v>369563798</v>
      </c>
      <c r="B477" s="29" t="n">
        <v>46235.7604282407</v>
      </c>
      <c r="C477" s="2" t="s">
        <v>158</v>
      </c>
      <c r="D477" s="2" t="s">
        <v>662</v>
      </c>
      <c r="E477" s="2" t="s">
        <v>78</v>
      </c>
      <c r="F477" s="2" t="s">
        <v>106</v>
      </c>
      <c r="G477" s="30" t="n">
        <v>27.5</v>
      </c>
      <c r="H477" s="11" t="n">
        <v>338</v>
      </c>
      <c r="I477" s="11" t="s">
        <v>155</v>
      </c>
      <c r="J477" s="11" t="n">
        <v>81.95</v>
      </c>
      <c r="K477" s="11" t="n">
        <v>82.21</v>
      </c>
      <c r="L477" s="11" t="n">
        <v>0.338</v>
      </c>
      <c r="M477" s="11" t="n">
        <v>0.676</v>
      </c>
      <c r="N477" s="11" t="n">
        <v>1</v>
      </c>
      <c r="O477" s="11" t="n">
        <v>4.5</v>
      </c>
      <c r="P477" s="11" t="n">
        <v>1.68</v>
      </c>
      <c r="Q477" s="11" t="n">
        <v>12.6</v>
      </c>
      <c r="R477" s="11" t="n">
        <f aca="false">SUM(K477:Q477)</f>
        <v>103.004</v>
      </c>
      <c r="S477" s="11" t="n">
        <f aca="false">R477/(1-Resumo!$C$6)</f>
        <v>117.05</v>
      </c>
      <c r="T477" s="11" t="n">
        <f aca="false">S477-J477</f>
        <v>35.1</v>
      </c>
      <c r="U477" s="12" t="n">
        <f aca="false">IFERROR(S477/J477-1,0)</f>
        <v>0.428309945088468</v>
      </c>
      <c r="V477" s="2" t="str">
        <f aca="false">IF(S477&lt;J477,"SIM","NÃO")</f>
        <v>NÃO</v>
      </c>
      <c r="W477" s="2" t="n">
        <v>5</v>
      </c>
      <c r="X477" s="2" t="s">
        <v>156</v>
      </c>
    </row>
    <row r="478" customFormat="false" ht="15" hidden="false" customHeight="false" outlineLevel="0" collapsed="false">
      <c r="A478" s="2" t="n">
        <v>369575900</v>
      </c>
      <c r="B478" s="29" t="n">
        <v>46235.7759837963</v>
      </c>
      <c r="C478" s="2" t="s">
        <v>158</v>
      </c>
      <c r="D478" s="2" t="s">
        <v>663</v>
      </c>
      <c r="E478" s="2" t="s">
        <v>664</v>
      </c>
      <c r="F478" s="2" t="s">
        <v>107</v>
      </c>
      <c r="G478" s="30" t="n">
        <v>36.8</v>
      </c>
      <c r="H478" s="11" t="n">
        <v>418.55</v>
      </c>
      <c r="I478" s="11" t="s">
        <v>350</v>
      </c>
      <c r="J478" s="11" t="n">
        <v>122.7</v>
      </c>
      <c r="K478" s="11" t="n">
        <v>124.38</v>
      </c>
      <c r="L478" s="11" t="n">
        <v>0.4186</v>
      </c>
      <c r="M478" s="11" t="n">
        <v>0.8371</v>
      </c>
      <c r="N478" s="11" t="n">
        <v>1</v>
      </c>
      <c r="O478" s="11" t="n">
        <v>4.5</v>
      </c>
      <c r="P478" s="11" t="n">
        <v>2.22</v>
      </c>
      <c r="Q478" s="11" t="n">
        <v>16.65</v>
      </c>
      <c r="R478" s="11" t="n">
        <f aca="false">SUM(K478:Q478)</f>
        <v>150.0057</v>
      </c>
      <c r="S478" s="11" t="n">
        <f aca="false">R478/(1-Resumo!$C$6)</f>
        <v>170.461022727273</v>
      </c>
      <c r="T478" s="11" t="n">
        <f aca="false">S478-J478</f>
        <v>47.7610227272727</v>
      </c>
      <c r="U478" s="12" t="n">
        <f aca="false">IFERROR(S478/J478-1,0)</f>
        <v>0.389250388975328</v>
      </c>
      <c r="V478" s="2" t="str">
        <f aca="false">IF(S478&lt;J478,"SIM","NÃO")</f>
        <v>NÃO</v>
      </c>
      <c r="W478" s="2" t="n">
        <v>10</v>
      </c>
      <c r="X478" s="2" t="s">
        <v>161</v>
      </c>
    </row>
    <row r="479" customFormat="false" ht="15" hidden="false" customHeight="false" outlineLevel="0" collapsed="false">
      <c r="A479" s="2" t="n">
        <v>369592706</v>
      </c>
      <c r="B479" s="29" t="n">
        <v>46235.800775463</v>
      </c>
      <c r="C479" s="2" t="s">
        <v>153</v>
      </c>
      <c r="D479" s="2" t="s">
        <v>598</v>
      </c>
      <c r="E479" s="2" t="s">
        <v>78</v>
      </c>
      <c r="F479" s="2" t="s">
        <v>110</v>
      </c>
      <c r="G479" s="30" t="n">
        <v>63.9</v>
      </c>
      <c r="H479" s="11" t="n">
        <v>735.99</v>
      </c>
      <c r="I479" s="11" t="s">
        <v>350</v>
      </c>
      <c r="J479" s="11" t="n">
        <v>124.67</v>
      </c>
      <c r="K479" s="11" t="n">
        <v>131.02</v>
      </c>
      <c r="L479" s="11" t="n">
        <v>0.736</v>
      </c>
      <c r="M479" s="11" t="n">
        <v>1.472</v>
      </c>
      <c r="N479" s="11" t="n">
        <v>1</v>
      </c>
      <c r="O479" s="11" t="n">
        <v>4.5</v>
      </c>
      <c r="P479" s="11" t="n">
        <v>3.84</v>
      </c>
      <c r="Q479" s="11" t="n">
        <v>28.8</v>
      </c>
      <c r="R479" s="11" t="n">
        <f aca="false">SUM(K479:Q479)</f>
        <v>171.368</v>
      </c>
      <c r="S479" s="11" t="n">
        <f aca="false">R479/(1-Resumo!$C$6)</f>
        <v>194.736363636364</v>
      </c>
      <c r="T479" s="11" t="n">
        <f aca="false">S479-J479</f>
        <v>70.0663636363637</v>
      </c>
      <c r="U479" s="12" t="n">
        <f aca="false">IFERROR(S479/J479-1,0)</f>
        <v>0.562014627708058</v>
      </c>
      <c r="V479" s="2" t="str">
        <f aca="false">IF(S479&lt;J479,"SIM","NÃO")</f>
        <v>NÃO</v>
      </c>
      <c r="W479" s="2" t="n">
        <v>5</v>
      </c>
      <c r="X479" s="2" t="s">
        <v>156</v>
      </c>
    </row>
    <row r="480" customFormat="false" ht="15" hidden="false" customHeight="false" outlineLevel="0" collapsed="false">
      <c r="A480" s="2" t="n">
        <v>369628221</v>
      </c>
      <c r="B480" s="29" t="n">
        <v>46235.8559259259</v>
      </c>
      <c r="C480" s="2" t="s">
        <v>191</v>
      </c>
      <c r="D480" s="2" t="s">
        <v>665</v>
      </c>
      <c r="E480" s="2" t="s">
        <v>78</v>
      </c>
      <c r="F480" s="2" t="s">
        <v>107</v>
      </c>
      <c r="G480" s="30" t="n">
        <v>40</v>
      </c>
      <c r="H480" s="11" t="n">
        <v>619.99</v>
      </c>
      <c r="I480" s="11" t="s">
        <v>155</v>
      </c>
      <c r="J480" s="11" t="n">
        <v>92.83</v>
      </c>
      <c r="K480" s="11" t="n">
        <v>93.97</v>
      </c>
      <c r="L480" s="11" t="n">
        <v>0.62</v>
      </c>
      <c r="M480" s="11" t="n">
        <v>1.24</v>
      </c>
      <c r="N480" s="11" t="n">
        <v>1</v>
      </c>
      <c r="O480" s="11" t="n">
        <v>4.5</v>
      </c>
      <c r="P480" s="11" t="n">
        <v>2.4</v>
      </c>
      <c r="Q480" s="11" t="n">
        <v>18</v>
      </c>
      <c r="R480" s="11" t="n">
        <f aca="false">SUM(K480:Q480)</f>
        <v>121.73</v>
      </c>
      <c r="S480" s="11" t="n">
        <f aca="false">R480/(1-Resumo!$C$6)</f>
        <v>138.329545454545</v>
      </c>
      <c r="T480" s="11" t="n">
        <f aca="false">S480-J480</f>
        <v>45.4995454545455</v>
      </c>
      <c r="U480" s="12" t="n">
        <f aca="false">IFERROR(S480/J480-1,0)</f>
        <v>0.490138376112738</v>
      </c>
      <c r="V480" s="2" t="str">
        <f aca="false">IF(S480&lt;J480,"SIM","NÃO")</f>
        <v>NÃO</v>
      </c>
      <c r="W480" s="2" t="n">
        <v>5</v>
      </c>
      <c r="X480" s="2" t="s">
        <v>156</v>
      </c>
    </row>
    <row r="481" customFormat="false" ht="15" hidden="false" customHeight="false" outlineLevel="0" collapsed="false">
      <c r="A481" s="2" t="n">
        <v>369634526</v>
      </c>
      <c r="B481" s="29" t="n">
        <v>46235.8625694444</v>
      </c>
      <c r="C481" s="2" t="s">
        <v>158</v>
      </c>
      <c r="D481" s="2" t="s">
        <v>666</v>
      </c>
      <c r="E481" s="2" t="s">
        <v>78</v>
      </c>
      <c r="F481" s="2" t="s">
        <v>109</v>
      </c>
      <c r="G481" s="30" t="n">
        <v>52.3</v>
      </c>
      <c r="H481" s="11" t="n">
        <v>637.57</v>
      </c>
      <c r="I481" s="11" t="s">
        <v>350</v>
      </c>
      <c r="J481" s="11" t="n">
        <v>113.33</v>
      </c>
      <c r="K481" s="11" t="n">
        <v>112.3</v>
      </c>
      <c r="L481" s="11" t="n">
        <v>0.6376</v>
      </c>
      <c r="M481" s="11" t="n">
        <v>1.2751</v>
      </c>
      <c r="N481" s="11" t="n">
        <v>1</v>
      </c>
      <c r="O481" s="11" t="n">
        <v>4.5</v>
      </c>
      <c r="P481" s="11" t="n">
        <v>3.18</v>
      </c>
      <c r="Q481" s="11" t="n">
        <v>23.85</v>
      </c>
      <c r="R481" s="11" t="n">
        <f aca="false">SUM(K481:Q481)</f>
        <v>146.7427</v>
      </c>
      <c r="S481" s="11" t="n">
        <f aca="false">R481/(1-Resumo!$C$6)</f>
        <v>166.753068181818</v>
      </c>
      <c r="T481" s="11" t="n">
        <f aca="false">S481-J481</f>
        <v>53.4230681818182</v>
      </c>
      <c r="U481" s="12" t="n">
        <f aca="false">IFERROR(S481/J481-1,0)</f>
        <v>0.471393877894804</v>
      </c>
      <c r="V481" s="2" t="str">
        <f aca="false">IF(S481&lt;J481,"SIM","NÃO")</f>
        <v>NÃO</v>
      </c>
      <c r="W481" s="2" t="n">
        <v>5</v>
      </c>
      <c r="X481" s="2" t="s">
        <v>156</v>
      </c>
    </row>
    <row r="482" customFormat="false" ht="15" hidden="false" customHeight="false" outlineLevel="0" collapsed="false">
      <c r="A482" s="2" t="n">
        <v>369714041</v>
      </c>
      <c r="B482" s="29" t="n">
        <v>46235.9599189815</v>
      </c>
      <c r="C482" s="2" t="s">
        <v>369</v>
      </c>
      <c r="D482" s="2" t="s">
        <v>667</v>
      </c>
      <c r="E482" s="2" t="s">
        <v>78</v>
      </c>
      <c r="F482" s="2" t="s">
        <v>106</v>
      </c>
      <c r="G482" s="30" t="n">
        <v>32.13</v>
      </c>
      <c r="H482" s="11" t="n">
        <v>399.99</v>
      </c>
      <c r="I482" s="11" t="s">
        <v>155</v>
      </c>
      <c r="J482" s="11" t="n">
        <v>82.24</v>
      </c>
      <c r="K482" s="11" t="n">
        <v>82.21</v>
      </c>
      <c r="L482" s="11" t="n">
        <v>0.4</v>
      </c>
      <c r="M482" s="11" t="n">
        <v>0.8</v>
      </c>
      <c r="N482" s="11" t="n">
        <v>1</v>
      </c>
      <c r="O482" s="11" t="n">
        <v>4.5</v>
      </c>
      <c r="P482" s="11" t="n">
        <v>1.98</v>
      </c>
      <c r="Q482" s="11" t="n">
        <v>14.85</v>
      </c>
      <c r="R482" s="11" t="n">
        <f aca="false">SUM(K482:Q482)</f>
        <v>105.74</v>
      </c>
      <c r="S482" s="11" t="n">
        <f aca="false">R482/(1-Resumo!$C$6)</f>
        <v>120.159090909091</v>
      </c>
      <c r="T482" s="11" t="n">
        <f aca="false">S482-J482</f>
        <v>37.9190909090909</v>
      </c>
      <c r="U482" s="12" t="n">
        <f aca="false">IFERROR(S482/J482-1,0)</f>
        <v>0.461078440042448</v>
      </c>
      <c r="V482" s="2" t="str">
        <f aca="false">IF(S482&lt;J482,"SIM","NÃO")</f>
        <v>NÃO</v>
      </c>
      <c r="W482" s="2" t="n">
        <v>5</v>
      </c>
      <c r="X482" s="2" t="s">
        <v>156</v>
      </c>
    </row>
    <row r="483" customFormat="false" ht="15" hidden="false" customHeight="false" outlineLevel="0" collapsed="false">
      <c r="A483" s="2" t="n">
        <v>370184155</v>
      </c>
      <c r="B483" s="29" t="n">
        <v>46236.3136342593</v>
      </c>
      <c r="C483" s="2" t="s">
        <v>178</v>
      </c>
      <c r="D483" s="2" t="s">
        <v>668</v>
      </c>
      <c r="E483" s="2" t="s">
        <v>92</v>
      </c>
      <c r="F483" s="2" t="s">
        <v>108</v>
      </c>
      <c r="G483" s="30" t="n">
        <v>48.3</v>
      </c>
      <c r="H483" s="11" t="n">
        <v>424.99</v>
      </c>
      <c r="I483" s="11" t="s">
        <v>350</v>
      </c>
      <c r="J483" s="11" t="n">
        <v>131.97</v>
      </c>
      <c r="K483" s="11" t="n">
        <v>129.29</v>
      </c>
      <c r="L483" s="11" t="n">
        <v>0.425</v>
      </c>
      <c r="M483" s="11" t="n">
        <v>0.85</v>
      </c>
      <c r="N483" s="11" t="n">
        <v>1</v>
      </c>
      <c r="O483" s="11" t="n">
        <v>4.5</v>
      </c>
      <c r="P483" s="11" t="n">
        <v>2.94</v>
      </c>
      <c r="Q483" s="11" t="n">
        <v>22.05</v>
      </c>
      <c r="R483" s="11" t="n">
        <f aca="false">SUM(K483:Q483)</f>
        <v>161.055</v>
      </c>
      <c r="S483" s="11" t="n">
        <f aca="false">R483/(1-Resumo!$C$6)</f>
        <v>183.017045454545</v>
      </c>
      <c r="T483" s="11" t="n">
        <f aca="false">S483-J483</f>
        <v>51.0470454545455</v>
      </c>
      <c r="U483" s="12" t="n">
        <f aca="false">IFERROR(S483/J483-1,0)</f>
        <v>0.386807952220546</v>
      </c>
      <c r="V483" s="2" t="str">
        <f aca="false">IF(S483&lt;J483,"SIM","NÃO")</f>
        <v>NÃO</v>
      </c>
      <c r="W483" s="2" t="n">
        <v>10</v>
      </c>
      <c r="X483" s="2" t="s">
        <v>156</v>
      </c>
    </row>
    <row r="484" customFormat="false" ht="15" hidden="false" customHeight="false" outlineLevel="0" collapsed="false">
      <c r="A484" s="2" t="n">
        <v>370284349</v>
      </c>
      <c r="B484" s="29" t="n">
        <v>46236.4037384259</v>
      </c>
      <c r="C484" s="2" t="s">
        <v>153</v>
      </c>
      <c r="D484" s="2" t="s">
        <v>669</v>
      </c>
      <c r="E484" s="2" t="s">
        <v>94</v>
      </c>
      <c r="F484" s="2" t="s">
        <v>105</v>
      </c>
      <c r="G484" s="30" t="n">
        <v>19.5</v>
      </c>
      <c r="H484" s="11" t="n">
        <v>379.99</v>
      </c>
      <c r="I484" s="11" t="s">
        <v>350</v>
      </c>
      <c r="J484" s="11" t="n">
        <v>77.18</v>
      </c>
      <c r="K484" s="11" t="n">
        <v>46.98</v>
      </c>
      <c r="L484" s="11" t="n">
        <v>0.38</v>
      </c>
      <c r="M484" s="11" t="n">
        <v>0.76</v>
      </c>
      <c r="N484" s="11" t="n">
        <v>1</v>
      </c>
      <c r="O484" s="11" t="n">
        <v>4.5</v>
      </c>
      <c r="P484" s="11" t="n">
        <v>1.2</v>
      </c>
      <c r="Q484" s="11" t="n">
        <v>9</v>
      </c>
      <c r="R484" s="11" t="n">
        <f aca="false">SUM(K484:Q484)</f>
        <v>63.82</v>
      </c>
      <c r="S484" s="11" t="n">
        <f aca="false">R484/(1-Resumo!$C$6)</f>
        <v>72.5227272727273</v>
      </c>
      <c r="T484" s="11" t="n">
        <f aca="false">S484-J484</f>
        <v>-4.65727272727274</v>
      </c>
      <c r="U484" s="12" t="n">
        <f aca="false">IFERROR(S484/J484-1,0)</f>
        <v>-0.0603429998350964</v>
      </c>
      <c r="V484" s="2" t="str">
        <f aca="false">IF(S484&lt;J484,"SIM","NÃO")</f>
        <v>SIM</v>
      </c>
      <c r="W484" s="2" t="n">
        <v>5</v>
      </c>
      <c r="X484" s="2" t="s">
        <v>156</v>
      </c>
    </row>
    <row r="485" customFormat="false" ht="15" hidden="false" customHeight="false" outlineLevel="0" collapsed="false">
      <c r="A485" s="2" t="n">
        <v>370329478</v>
      </c>
      <c r="B485" s="29" t="n">
        <v>46236.4432291667</v>
      </c>
      <c r="C485" s="2" t="s">
        <v>153</v>
      </c>
      <c r="D485" s="2" t="s">
        <v>670</v>
      </c>
      <c r="E485" s="2" t="s">
        <v>78</v>
      </c>
      <c r="F485" s="2" t="s">
        <v>108</v>
      </c>
      <c r="G485" s="30" t="n">
        <v>45.3</v>
      </c>
      <c r="H485" s="11" t="n">
        <v>699.99</v>
      </c>
      <c r="I485" s="11" t="s">
        <v>155</v>
      </c>
      <c r="J485" s="11" t="n">
        <v>103.94</v>
      </c>
      <c r="K485" s="11" t="n">
        <v>93.97</v>
      </c>
      <c r="L485" s="11" t="n">
        <v>0.7</v>
      </c>
      <c r="M485" s="11" t="n">
        <v>1.4</v>
      </c>
      <c r="N485" s="11" t="n">
        <v>1</v>
      </c>
      <c r="O485" s="11" t="n">
        <v>4.5</v>
      </c>
      <c r="P485" s="11" t="n">
        <v>2.76</v>
      </c>
      <c r="Q485" s="11" t="n">
        <v>20.7</v>
      </c>
      <c r="R485" s="11" t="n">
        <f aca="false">SUM(K485:Q485)</f>
        <v>125.03</v>
      </c>
      <c r="S485" s="11" t="n">
        <f aca="false">R485/(1-Resumo!$C$6)</f>
        <v>142.079545454545</v>
      </c>
      <c r="T485" s="11" t="n">
        <f aca="false">S485-J485</f>
        <v>38.1395454545455</v>
      </c>
      <c r="U485" s="12" t="n">
        <f aca="false">IFERROR(S485/J485-1,0)</f>
        <v>0.366938093655431</v>
      </c>
      <c r="V485" s="2" t="str">
        <f aca="false">IF(S485&lt;J485,"SIM","NÃO")</f>
        <v>NÃO</v>
      </c>
      <c r="W485" s="2" t="n">
        <v>5</v>
      </c>
      <c r="X485" s="2" t="s">
        <v>156</v>
      </c>
    </row>
    <row r="486" customFormat="false" ht="15" hidden="false" customHeight="false" outlineLevel="0" collapsed="false">
      <c r="A486" s="2" t="n">
        <v>370343324</v>
      </c>
      <c r="B486" s="29" t="n">
        <v>46236.454849537</v>
      </c>
      <c r="C486" s="2" t="s">
        <v>153</v>
      </c>
      <c r="D486" s="2" t="s">
        <v>671</v>
      </c>
      <c r="E486" s="2" t="s">
        <v>86</v>
      </c>
      <c r="F486" s="2" t="s">
        <v>108</v>
      </c>
      <c r="G486" s="30" t="n">
        <v>46.8</v>
      </c>
      <c r="H486" s="11" t="n">
        <v>599.99</v>
      </c>
      <c r="I486" s="11" t="s">
        <v>350</v>
      </c>
      <c r="J486" s="11" t="n">
        <v>117.76</v>
      </c>
      <c r="K486" s="11" t="n">
        <v>93.97</v>
      </c>
      <c r="L486" s="11" t="n">
        <v>0.6</v>
      </c>
      <c r="M486" s="11" t="n">
        <v>1.2</v>
      </c>
      <c r="N486" s="11" t="n">
        <v>1</v>
      </c>
      <c r="O486" s="11" t="n">
        <v>4.5</v>
      </c>
      <c r="P486" s="11" t="n">
        <v>2.82</v>
      </c>
      <c r="Q486" s="11" t="n">
        <v>21.15</v>
      </c>
      <c r="R486" s="11" t="n">
        <f aca="false">SUM(K486:Q486)</f>
        <v>125.24</v>
      </c>
      <c r="S486" s="11" t="n">
        <f aca="false">R486/(1-Resumo!$C$6)</f>
        <v>142.318181818182</v>
      </c>
      <c r="T486" s="11" t="n">
        <f aca="false">S486-J486</f>
        <v>24.5581818181818</v>
      </c>
      <c r="U486" s="12" t="n">
        <f aca="false">IFERROR(S486/J486-1,0)</f>
        <v>0.208544342885376</v>
      </c>
      <c r="V486" s="2" t="str">
        <f aca="false">IF(S486&lt;J486,"SIM","NÃO")</f>
        <v>NÃO</v>
      </c>
      <c r="W486" s="2" t="n">
        <v>5</v>
      </c>
      <c r="X486" s="2" t="s">
        <v>156</v>
      </c>
    </row>
    <row r="487" customFormat="false" ht="15" hidden="false" customHeight="false" outlineLevel="0" collapsed="false">
      <c r="A487" s="2" t="n">
        <v>370350679</v>
      </c>
      <c r="B487" s="29" t="n">
        <v>46236.4597569444</v>
      </c>
      <c r="C487" s="2" t="s">
        <v>178</v>
      </c>
      <c r="D487" s="2" t="s">
        <v>672</v>
      </c>
      <c r="E487" s="2" t="s">
        <v>80</v>
      </c>
      <c r="F487" s="2" t="s">
        <v>107</v>
      </c>
      <c r="G487" s="30" t="n">
        <v>37.59</v>
      </c>
      <c r="H487" s="11" t="n">
        <v>424.99</v>
      </c>
      <c r="I487" s="11" t="s">
        <v>155</v>
      </c>
      <c r="J487" s="11" t="n">
        <v>112.99</v>
      </c>
      <c r="K487" s="11" t="n">
        <v>93.97</v>
      </c>
      <c r="L487" s="11" t="n">
        <v>0.425</v>
      </c>
      <c r="M487" s="11" t="n">
        <v>0.85</v>
      </c>
      <c r="N487" s="11" t="n">
        <v>1</v>
      </c>
      <c r="O487" s="11" t="n">
        <v>4.5</v>
      </c>
      <c r="P487" s="11" t="n">
        <v>2.28</v>
      </c>
      <c r="Q487" s="11" t="n">
        <v>17.1</v>
      </c>
      <c r="R487" s="11" t="n">
        <f aca="false">SUM(K487:Q487)</f>
        <v>120.125</v>
      </c>
      <c r="S487" s="11" t="n">
        <f aca="false">R487/(1-Resumo!$C$6)</f>
        <v>136.505681818182</v>
      </c>
      <c r="T487" s="11" t="n">
        <f aca="false">S487-J487</f>
        <v>23.5156818181818</v>
      </c>
      <c r="U487" s="12" t="n">
        <f aca="false">IFERROR(S487/J487-1,0)</f>
        <v>0.208121796780085</v>
      </c>
      <c r="V487" s="2" t="str">
        <f aca="false">IF(S487&lt;J487,"SIM","NÃO")</f>
        <v>NÃO</v>
      </c>
      <c r="W487" s="2" t="n">
        <v>5</v>
      </c>
      <c r="X487" s="2" t="s">
        <v>156</v>
      </c>
    </row>
    <row r="488" customFormat="false" ht="15" hidden="false" customHeight="false" outlineLevel="0" collapsed="false">
      <c r="A488" s="2" t="n">
        <v>370430913</v>
      </c>
      <c r="B488" s="29" t="n">
        <v>46236.5358449074</v>
      </c>
      <c r="C488" s="2" t="s">
        <v>178</v>
      </c>
      <c r="D488" s="2" t="s">
        <v>673</v>
      </c>
      <c r="E488" s="2" t="s">
        <v>78</v>
      </c>
      <c r="F488" s="2" t="s">
        <v>107</v>
      </c>
      <c r="G488" s="30" t="n">
        <v>36.8</v>
      </c>
      <c r="H488" s="11" t="n">
        <v>499.99</v>
      </c>
      <c r="I488" s="11" t="s">
        <v>155</v>
      </c>
      <c r="J488" s="11" t="n">
        <v>92.25</v>
      </c>
      <c r="K488" s="11" t="n">
        <v>93.97</v>
      </c>
      <c r="L488" s="11" t="n">
        <v>0.5</v>
      </c>
      <c r="M488" s="11" t="n">
        <v>1</v>
      </c>
      <c r="N488" s="11" t="n">
        <v>1</v>
      </c>
      <c r="O488" s="11" t="n">
        <v>4.5</v>
      </c>
      <c r="P488" s="11" t="n">
        <v>2.22</v>
      </c>
      <c r="Q488" s="11" t="n">
        <v>16.65</v>
      </c>
      <c r="R488" s="11" t="n">
        <f aca="false">SUM(K488:Q488)</f>
        <v>119.84</v>
      </c>
      <c r="S488" s="11" t="n">
        <f aca="false">R488/(1-Resumo!$C$6)</f>
        <v>136.181818181818</v>
      </c>
      <c r="T488" s="11" t="n">
        <f aca="false">S488-J488</f>
        <v>43.9318181818182</v>
      </c>
      <c r="U488" s="12" t="n">
        <f aca="false">IFERROR(S488/J488-1,0)</f>
        <v>0.476225671347623</v>
      </c>
      <c r="V488" s="2" t="str">
        <f aca="false">IF(S488&lt;J488,"SIM","NÃO")</f>
        <v>NÃO</v>
      </c>
      <c r="W488" s="2" t="n">
        <v>5</v>
      </c>
      <c r="X488" s="2" t="s">
        <v>156</v>
      </c>
    </row>
    <row r="489" customFormat="false" ht="15" hidden="false" customHeight="false" outlineLevel="0" collapsed="false">
      <c r="A489" s="2" t="n">
        <v>370465831</v>
      </c>
      <c r="B489" s="29" t="n">
        <v>46236.5669675926</v>
      </c>
      <c r="C489" s="2" t="s">
        <v>158</v>
      </c>
      <c r="D489" s="2" t="s">
        <v>674</v>
      </c>
      <c r="E489" s="2" t="s">
        <v>78</v>
      </c>
      <c r="F489" s="2" t="s">
        <v>110</v>
      </c>
      <c r="G489" s="30" t="n">
        <v>60.1</v>
      </c>
      <c r="H489" s="11" t="n">
        <v>999.09</v>
      </c>
      <c r="I489" s="11" t="s">
        <v>155</v>
      </c>
      <c r="J489" s="11" t="n">
        <v>126</v>
      </c>
      <c r="K489" s="11" t="n">
        <v>131.02</v>
      </c>
      <c r="L489" s="11" t="n">
        <v>0.9991</v>
      </c>
      <c r="M489" s="11" t="n">
        <v>1.9982</v>
      </c>
      <c r="N489" s="11" t="n">
        <v>1</v>
      </c>
      <c r="O489" s="11" t="n">
        <v>4.5</v>
      </c>
      <c r="P489" s="11" t="n">
        <v>3.66</v>
      </c>
      <c r="Q489" s="11" t="n">
        <v>27.45</v>
      </c>
      <c r="R489" s="11" t="n">
        <f aca="false">SUM(K489:Q489)</f>
        <v>170.6273</v>
      </c>
      <c r="S489" s="11" t="n">
        <f aca="false">R489/(1-Resumo!$C$6)</f>
        <v>193.894659090909</v>
      </c>
      <c r="T489" s="11" t="n">
        <f aca="false">S489-J489</f>
        <v>67.8946590909091</v>
      </c>
      <c r="U489" s="12" t="n">
        <f aca="false">IFERROR(S489/J489-1,0)</f>
        <v>0.538846500721501</v>
      </c>
      <c r="V489" s="2" t="str">
        <f aca="false">IF(S489&lt;J489,"SIM","NÃO")</f>
        <v>NÃO</v>
      </c>
      <c r="W489" s="2" t="n">
        <v>5</v>
      </c>
      <c r="X489" s="2" t="s">
        <v>156</v>
      </c>
    </row>
    <row r="490" customFormat="false" ht="15" hidden="false" customHeight="false" outlineLevel="0" collapsed="false">
      <c r="A490" s="2" t="n">
        <v>370495359</v>
      </c>
      <c r="B490" s="29" t="n">
        <v>46236.6143518519</v>
      </c>
      <c r="C490" s="2" t="s">
        <v>153</v>
      </c>
      <c r="D490" s="2" t="s">
        <v>675</v>
      </c>
      <c r="E490" s="2" t="s">
        <v>78</v>
      </c>
      <c r="F490" s="2" t="s">
        <v>109</v>
      </c>
      <c r="G490" s="30" t="n">
        <v>58.6</v>
      </c>
      <c r="H490" s="11" t="n">
        <v>669.99</v>
      </c>
      <c r="I490" s="11" t="s">
        <v>350</v>
      </c>
      <c r="J490" s="11" t="n">
        <v>116.56</v>
      </c>
      <c r="K490" s="11" t="n">
        <v>112.3</v>
      </c>
      <c r="L490" s="11" t="n">
        <v>0.67</v>
      </c>
      <c r="M490" s="11" t="n">
        <v>1.34</v>
      </c>
      <c r="N490" s="11" t="n">
        <v>1</v>
      </c>
      <c r="O490" s="11" t="n">
        <v>4.5</v>
      </c>
      <c r="P490" s="11" t="n">
        <v>3.54</v>
      </c>
      <c r="Q490" s="11" t="n">
        <v>26.55</v>
      </c>
      <c r="R490" s="11" t="n">
        <f aca="false">SUM(K490:Q490)</f>
        <v>149.9</v>
      </c>
      <c r="S490" s="11" t="n">
        <f aca="false">R490/(1-Resumo!$C$6)</f>
        <v>170.340909090909</v>
      </c>
      <c r="T490" s="11" t="n">
        <f aca="false">S490-J490</f>
        <v>53.7809090909091</v>
      </c>
      <c r="U490" s="12" t="n">
        <f aca="false">IFERROR(S490/J490-1,0)</f>
        <v>0.461401073188994</v>
      </c>
      <c r="V490" s="2" t="str">
        <f aca="false">IF(S490&lt;J490,"SIM","NÃO")</f>
        <v>NÃO</v>
      </c>
      <c r="W490" s="2" t="n">
        <v>5</v>
      </c>
      <c r="X490" s="2" t="s">
        <v>156</v>
      </c>
    </row>
    <row r="491" customFormat="false" ht="15" hidden="false" customHeight="false" outlineLevel="0" collapsed="false">
      <c r="A491" s="2" t="n">
        <v>370498415</v>
      </c>
      <c r="B491" s="29" t="n">
        <v>46236.6175115741</v>
      </c>
      <c r="C491" s="2" t="s">
        <v>153</v>
      </c>
      <c r="D491" s="2" t="s">
        <v>676</v>
      </c>
      <c r="E491" s="2" t="s">
        <v>81</v>
      </c>
      <c r="F491" s="2" t="s">
        <v>113</v>
      </c>
      <c r="G491" s="30" t="n">
        <v>106.5</v>
      </c>
      <c r="H491" s="11" t="n">
        <v>1199.99</v>
      </c>
      <c r="I491" s="11" t="s">
        <v>155</v>
      </c>
      <c r="J491" s="11" t="n">
        <v>195.58</v>
      </c>
      <c r="K491" s="11" t="n">
        <v>201.59</v>
      </c>
      <c r="L491" s="11" t="n">
        <v>1.2</v>
      </c>
      <c r="M491" s="11" t="n">
        <v>2.4</v>
      </c>
      <c r="N491" s="11" t="n">
        <v>1</v>
      </c>
      <c r="O491" s="11" t="n">
        <v>9</v>
      </c>
      <c r="P491" s="11" t="n">
        <v>6.42</v>
      </c>
      <c r="Q491" s="11" t="n">
        <v>48.15</v>
      </c>
      <c r="R491" s="11" t="n">
        <f aca="false">SUM(K491:Q491)</f>
        <v>269.76</v>
      </c>
      <c r="S491" s="11" t="n">
        <f aca="false">R491/(1-Resumo!$C$6)</f>
        <v>306.545454545455</v>
      </c>
      <c r="T491" s="11" t="n">
        <f aca="false">S491-J491</f>
        <v>110.965454545455</v>
      </c>
      <c r="U491" s="12" t="n">
        <f aca="false">IFERROR(S491/J491-1,0)</f>
        <v>0.567366062713235</v>
      </c>
      <c r="V491" s="2" t="str">
        <f aca="false">IF(S491&lt;J491,"SIM","NÃO")</f>
        <v>NÃO</v>
      </c>
      <c r="W491" s="2" t="n">
        <v>5</v>
      </c>
      <c r="X491" s="2" t="s">
        <v>156</v>
      </c>
    </row>
    <row r="492" customFormat="false" ht="15" hidden="false" customHeight="false" outlineLevel="0" collapsed="false">
      <c r="A492" s="2" t="n">
        <v>370500000</v>
      </c>
      <c r="B492" s="29" t="n">
        <v>46236.6192476852</v>
      </c>
      <c r="C492" s="2" t="s">
        <v>153</v>
      </c>
      <c r="D492" s="2" t="s">
        <v>677</v>
      </c>
      <c r="E492" s="2" t="s">
        <v>78</v>
      </c>
      <c r="F492" s="2" t="s">
        <v>106</v>
      </c>
      <c r="G492" s="30" t="n">
        <v>20.9</v>
      </c>
      <c r="H492" s="11" t="n">
        <v>449.99</v>
      </c>
      <c r="I492" s="11" t="s">
        <v>155</v>
      </c>
      <c r="J492" s="11" t="n">
        <v>82.48</v>
      </c>
      <c r="K492" s="11" t="n">
        <v>82.21</v>
      </c>
      <c r="L492" s="11" t="n">
        <v>0.45</v>
      </c>
      <c r="M492" s="11" t="n">
        <v>0.9</v>
      </c>
      <c r="N492" s="11" t="n">
        <v>1</v>
      </c>
      <c r="O492" s="11" t="n">
        <v>4.5</v>
      </c>
      <c r="P492" s="11" t="n">
        <v>1.26</v>
      </c>
      <c r="Q492" s="11" t="n">
        <v>9.45</v>
      </c>
      <c r="R492" s="11" t="n">
        <f aca="false">SUM(K492:Q492)</f>
        <v>99.77</v>
      </c>
      <c r="S492" s="11" t="n">
        <f aca="false">R492/(1-Resumo!$C$6)</f>
        <v>113.375</v>
      </c>
      <c r="T492" s="11" t="n">
        <f aca="false">S492-J492</f>
        <v>30.895</v>
      </c>
      <c r="U492" s="12" t="n">
        <f aca="false">IFERROR(S492/J492-1,0)</f>
        <v>0.374575654704171</v>
      </c>
      <c r="V492" s="2" t="str">
        <f aca="false">IF(S492&lt;J492,"SIM","NÃO")</f>
        <v>NÃO</v>
      </c>
      <c r="W492" s="2" t="n">
        <v>5</v>
      </c>
      <c r="X492" s="2" t="s">
        <v>156</v>
      </c>
    </row>
    <row r="493" customFormat="false" ht="15" hidden="false" customHeight="false" outlineLevel="0" collapsed="false">
      <c r="A493" s="2" t="n">
        <v>370517917</v>
      </c>
      <c r="B493" s="29" t="n">
        <v>46236.6412731482</v>
      </c>
      <c r="C493" s="2" t="s">
        <v>153</v>
      </c>
      <c r="D493" s="2" t="s">
        <v>678</v>
      </c>
      <c r="E493" s="2" t="s">
        <v>82</v>
      </c>
      <c r="F493" s="2" t="s">
        <v>109</v>
      </c>
      <c r="G493" s="30" t="n">
        <v>52.3</v>
      </c>
      <c r="H493" s="11" t="n">
        <v>685.85</v>
      </c>
      <c r="I493" s="11" t="s">
        <v>350</v>
      </c>
      <c r="J493" s="11" t="n">
        <v>127.62</v>
      </c>
      <c r="K493" s="11" t="n">
        <v>128.14</v>
      </c>
      <c r="L493" s="11" t="n">
        <v>0.6859</v>
      </c>
      <c r="M493" s="11" t="n">
        <v>1.3717</v>
      </c>
      <c r="N493" s="11" t="n">
        <v>1</v>
      </c>
      <c r="O493" s="11" t="n">
        <v>4.5</v>
      </c>
      <c r="P493" s="11" t="n">
        <v>3.18</v>
      </c>
      <c r="Q493" s="11" t="n">
        <v>23.85</v>
      </c>
      <c r="R493" s="11" t="n">
        <f aca="false">SUM(K493:Q493)</f>
        <v>162.7276</v>
      </c>
      <c r="S493" s="11" t="n">
        <f aca="false">R493/(1-Resumo!$C$6)</f>
        <v>184.917727272727</v>
      </c>
      <c r="T493" s="11" t="n">
        <f aca="false">S493-J493</f>
        <v>57.2977272727272</v>
      </c>
      <c r="U493" s="12" t="n">
        <f aca="false">IFERROR(S493/J493-1,0)</f>
        <v>0.448971378096907</v>
      </c>
      <c r="V493" s="2" t="str">
        <f aca="false">IF(S493&lt;J493,"SIM","NÃO")</f>
        <v>NÃO</v>
      </c>
      <c r="W493" s="2" t="n">
        <v>7</v>
      </c>
      <c r="X493" s="2" t="s">
        <v>156</v>
      </c>
    </row>
    <row r="494" customFormat="false" ht="15" hidden="false" customHeight="false" outlineLevel="0" collapsed="false">
      <c r="A494" s="2" t="n">
        <v>370579255</v>
      </c>
      <c r="B494" s="29" t="n">
        <v>46236.7131712963</v>
      </c>
      <c r="C494" s="2" t="s">
        <v>153</v>
      </c>
      <c r="D494" s="2" t="s">
        <v>679</v>
      </c>
      <c r="E494" s="2" t="s">
        <v>78</v>
      </c>
      <c r="F494" s="2" t="s">
        <v>108</v>
      </c>
      <c r="G494" s="30" t="n">
        <v>49.6</v>
      </c>
      <c r="H494" s="11" t="n">
        <v>769.99</v>
      </c>
      <c r="I494" s="11" t="s">
        <v>155</v>
      </c>
      <c r="J494" s="11" t="n">
        <v>104.27</v>
      </c>
      <c r="K494" s="11" t="n">
        <v>93.97</v>
      </c>
      <c r="L494" s="11" t="n">
        <v>0.77</v>
      </c>
      <c r="M494" s="11" t="n">
        <v>1.54</v>
      </c>
      <c r="N494" s="11" t="n">
        <v>1</v>
      </c>
      <c r="O494" s="11" t="n">
        <v>4.5</v>
      </c>
      <c r="P494" s="11" t="n">
        <v>3</v>
      </c>
      <c r="Q494" s="11" t="n">
        <v>22.5</v>
      </c>
      <c r="R494" s="11" t="n">
        <f aca="false">SUM(K494:Q494)</f>
        <v>127.28</v>
      </c>
      <c r="S494" s="11" t="n">
        <f aca="false">R494/(1-Resumo!$C$6)</f>
        <v>144.636363636364</v>
      </c>
      <c r="T494" s="11" t="n">
        <f aca="false">S494-J494</f>
        <v>40.3663636363636</v>
      </c>
      <c r="U494" s="12" t="n">
        <f aca="false">IFERROR(S494/J494-1,0)</f>
        <v>0.387133054918612</v>
      </c>
      <c r="V494" s="2" t="str">
        <f aca="false">IF(S494&lt;J494,"SIM","NÃO")</f>
        <v>NÃO</v>
      </c>
      <c r="W494" s="2" t="n">
        <v>5</v>
      </c>
      <c r="X494" s="2" t="s">
        <v>156</v>
      </c>
    </row>
    <row r="495" customFormat="false" ht="15" hidden="false" customHeight="false" outlineLevel="0" collapsed="false">
      <c r="A495" s="2" t="n">
        <v>370585604</v>
      </c>
      <c r="B495" s="29" t="n">
        <v>46236.7215277778</v>
      </c>
      <c r="C495" s="2" t="s">
        <v>153</v>
      </c>
      <c r="D495" s="2" t="s">
        <v>680</v>
      </c>
      <c r="E495" s="2" t="s">
        <v>260</v>
      </c>
      <c r="F495" s="2" t="s">
        <v>114</v>
      </c>
      <c r="G495" s="30" t="n">
        <v>124</v>
      </c>
      <c r="H495" s="11" t="n">
        <v>1668.38</v>
      </c>
      <c r="I495" s="11" t="s">
        <v>350</v>
      </c>
      <c r="J495" s="11" t="n">
        <v>253.06</v>
      </c>
      <c r="K495" s="11" t="n">
        <v>264.84</v>
      </c>
      <c r="L495" s="11" t="n">
        <v>1.6684</v>
      </c>
      <c r="M495" s="11" t="n">
        <v>3.3368</v>
      </c>
      <c r="N495" s="11" t="n">
        <v>1</v>
      </c>
      <c r="O495" s="11" t="n">
        <v>9</v>
      </c>
      <c r="P495" s="11" t="n">
        <v>7.44</v>
      </c>
      <c r="Q495" s="11" t="n">
        <v>55.8</v>
      </c>
      <c r="R495" s="11" t="n">
        <f aca="false">SUM(K495:Q495)</f>
        <v>343.0852</v>
      </c>
      <c r="S495" s="11" t="n">
        <f aca="false">R495/(1-Resumo!$C$6)</f>
        <v>389.869545454545</v>
      </c>
      <c r="T495" s="11" t="n">
        <f aca="false">S495-J495</f>
        <v>136.809545454545</v>
      </c>
      <c r="U495" s="12" t="n">
        <f aca="false">IFERROR(S495/J495-1,0)</f>
        <v>0.540620981010612</v>
      </c>
      <c r="V495" s="2" t="str">
        <f aca="false">IF(S495&lt;J495,"SIM","NÃO")</f>
        <v>NÃO</v>
      </c>
      <c r="W495" s="2" t="n">
        <v>10</v>
      </c>
      <c r="X495" s="2" t="s">
        <v>161</v>
      </c>
    </row>
    <row r="496" customFormat="false" ht="15" hidden="false" customHeight="false" outlineLevel="0" collapsed="false">
      <c r="A496" s="2" t="n">
        <v>370585715</v>
      </c>
      <c r="B496" s="29" t="n">
        <v>46236.7274768519</v>
      </c>
      <c r="C496" s="2" t="s">
        <v>178</v>
      </c>
      <c r="D496" s="2" t="s">
        <v>681</v>
      </c>
      <c r="E496" s="2" t="s">
        <v>682</v>
      </c>
      <c r="F496" s="2" t="s">
        <v>117</v>
      </c>
      <c r="G496" s="30" t="n">
        <v>200.3</v>
      </c>
      <c r="H496" s="11" t="n">
        <v>2124.99</v>
      </c>
      <c r="I496" s="11" t="s">
        <v>350</v>
      </c>
      <c r="J496" s="11" t="n">
        <v>376.08</v>
      </c>
      <c r="K496" s="11" t="n">
        <v>441.4</v>
      </c>
      <c r="L496" s="11" t="n">
        <v>2.125</v>
      </c>
      <c r="M496" s="11" t="n">
        <v>4.25</v>
      </c>
      <c r="N496" s="11" t="n">
        <v>1</v>
      </c>
      <c r="O496" s="11" t="n">
        <v>13.5</v>
      </c>
      <c r="P496" s="11" t="n">
        <v>12.06</v>
      </c>
      <c r="Q496" s="11" t="n">
        <v>90.45</v>
      </c>
      <c r="R496" s="11" t="n">
        <f aca="false">SUM(K496:Q496)</f>
        <v>564.785</v>
      </c>
      <c r="S496" s="11" t="n">
        <f aca="false">R496/(1-Resumo!$C$6)</f>
        <v>641.801136363636</v>
      </c>
      <c r="T496" s="11" t="n">
        <f aca="false">S496-J496</f>
        <v>265.721136363636</v>
      </c>
      <c r="U496" s="12" t="n">
        <f aca="false">IFERROR(S496/J496-1,0)</f>
        <v>0.706554819090716</v>
      </c>
      <c r="V496" s="2" t="str">
        <f aca="false">IF(S496&lt;J496,"SIM","NÃO")</f>
        <v>NÃO</v>
      </c>
      <c r="W496" s="2" t="n">
        <v>10</v>
      </c>
      <c r="X496" s="2" t="s">
        <v>161</v>
      </c>
    </row>
    <row r="497" customFormat="false" ht="15" hidden="false" customHeight="false" outlineLevel="0" collapsed="false">
      <c r="A497" s="2" t="n">
        <v>370591401</v>
      </c>
      <c r="B497" s="29" t="n">
        <v>46236.7290972222</v>
      </c>
      <c r="C497" s="2" t="s">
        <v>153</v>
      </c>
      <c r="D497" s="2" t="s">
        <v>683</v>
      </c>
      <c r="E497" s="2" t="s">
        <v>80</v>
      </c>
      <c r="F497" s="2" t="s">
        <v>109</v>
      </c>
      <c r="G497" s="30" t="n">
        <v>52.3</v>
      </c>
      <c r="H497" s="11" t="n">
        <v>685.85</v>
      </c>
      <c r="I497" s="11" t="s">
        <v>350</v>
      </c>
      <c r="J497" s="11" t="n">
        <v>127.62</v>
      </c>
      <c r="K497" s="11" t="n">
        <v>112.3</v>
      </c>
      <c r="L497" s="11" t="n">
        <v>0.6859</v>
      </c>
      <c r="M497" s="11" t="n">
        <v>1.3717</v>
      </c>
      <c r="N497" s="11" t="n">
        <v>1</v>
      </c>
      <c r="O497" s="11" t="n">
        <v>4.5</v>
      </c>
      <c r="P497" s="11" t="n">
        <v>3.18</v>
      </c>
      <c r="Q497" s="11" t="n">
        <v>23.85</v>
      </c>
      <c r="R497" s="11" t="n">
        <f aca="false">SUM(K497:Q497)</f>
        <v>146.8876</v>
      </c>
      <c r="S497" s="11" t="n">
        <f aca="false">R497/(1-Resumo!$C$6)</f>
        <v>166.917727272727</v>
      </c>
      <c r="T497" s="11" t="n">
        <f aca="false">S497-J497</f>
        <v>39.2977272727273</v>
      </c>
      <c r="U497" s="12" t="n">
        <f aca="false">IFERROR(S497/J497-1,0)</f>
        <v>0.307927654542605</v>
      </c>
      <c r="V497" s="2" t="str">
        <f aca="false">IF(S497&lt;J497,"SIM","NÃO")</f>
        <v>NÃO</v>
      </c>
      <c r="W497" s="2" t="n">
        <v>5</v>
      </c>
      <c r="X497" s="2" t="s">
        <v>156</v>
      </c>
    </row>
    <row r="498" customFormat="false" ht="15" hidden="false" customHeight="false" outlineLevel="0" collapsed="false">
      <c r="A498" s="2" t="n">
        <v>370613921</v>
      </c>
      <c r="B498" s="29" t="n">
        <v>46236.7524074074</v>
      </c>
      <c r="C498" s="2" t="s">
        <v>158</v>
      </c>
      <c r="D498" s="2" t="s">
        <v>684</v>
      </c>
      <c r="E498" s="2" t="s">
        <v>78</v>
      </c>
      <c r="F498" s="2" t="s">
        <v>109</v>
      </c>
      <c r="G498" s="30" t="n">
        <v>52.3</v>
      </c>
      <c r="H498" s="11" t="n">
        <v>642.07</v>
      </c>
      <c r="I498" s="11" t="s">
        <v>350</v>
      </c>
      <c r="J498" s="11" t="n">
        <v>113.35</v>
      </c>
      <c r="K498" s="11" t="n">
        <v>112.3</v>
      </c>
      <c r="L498" s="11" t="n">
        <v>0.6421</v>
      </c>
      <c r="M498" s="11" t="n">
        <v>1.2841</v>
      </c>
      <c r="N498" s="11" t="n">
        <v>1</v>
      </c>
      <c r="O498" s="11" t="n">
        <v>4.5</v>
      </c>
      <c r="P498" s="11" t="n">
        <v>3.18</v>
      </c>
      <c r="Q498" s="11" t="n">
        <v>23.85</v>
      </c>
      <c r="R498" s="11" t="n">
        <f aca="false">SUM(K498:Q498)</f>
        <v>146.7562</v>
      </c>
      <c r="S498" s="11" t="n">
        <f aca="false">R498/(1-Resumo!$C$6)</f>
        <v>166.768409090909</v>
      </c>
      <c r="T498" s="11" t="n">
        <f aca="false">S498-J498</f>
        <v>53.4184090909091</v>
      </c>
      <c r="U498" s="12" t="n">
        <f aca="false">IFERROR(S498/J498-1,0)</f>
        <v>0.471269599390464</v>
      </c>
      <c r="V498" s="2" t="str">
        <f aca="false">IF(S498&lt;J498,"SIM","NÃO")</f>
        <v>NÃO</v>
      </c>
      <c r="W498" s="2" t="n">
        <v>5</v>
      </c>
      <c r="X498" s="2" t="s">
        <v>156</v>
      </c>
    </row>
    <row r="499" customFormat="false" ht="15" hidden="false" customHeight="false" outlineLevel="0" collapsed="false">
      <c r="A499" s="2" t="n">
        <v>370644127</v>
      </c>
      <c r="B499" s="29" t="n">
        <v>46236.7899652778</v>
      </c>
      <c r="C499" s="2" t="s">
        <v>153</v>
      </c>
      <c r="D499" s="2" t="s">
        <v>685</v>
      </c>
      <c r="E499" s="2" t="s">
        <v>80</v>
      </c>
      <c r="F499" s="2" t="s">
        <v>106</v>
      </c>
      <c r="G499" s="30" t="n">
        <v>27.5</v>
      </c>
      <c r="H499" s="11" t="n">
        <v>379.99</v>
      </c>
      <c r="I499" s="11" t="s">
        <v>155</v>
      </c>
      <c r="J499" s="11" t="n">
        <v>101.2</v>
      </c>
      <c r="K499" s="11" t="n">
        <v>82.21</v>
      </c>
      <c r="L499" s="11" t="n">
        <v>0.38</v>
      </c>
      <c r="M499" s="11" t="n">
        <v>0.76</v>
      </c>
      <c r="N499" s="11" t="n">
        <v>1</v>
      </c>
      <c r="O499" s="11" t="n">
        <v>4.5</v>
      </c>
      <c r="P499" s="11" t="n">
        <v>1.68</v>
      </c>
      <c r="Q499" s="11" t="n">
        <v>12.6</v>
      </c>
      <c r="R499" s="11" t="n">
        <f aca="false">SUM(K499:Q499)</f>
        <v>103.13</v>
      </c>
      <c r="S499" s="11" t="n">
        <f aca="false">R499/(1-Resumo!$C$6)</f>
        <v>117.193181818182</v>
      </c>
      <c r="T499" s="11" t="n">
        <f aca="false">S499-J499</f>
        <v>15.9931818181818</v>
      </c>
      <c r="U499" s="12" t="n">
        <f aca="false">IFERROR(S499/J499-1,0)</f>
        <v>0.158035393460295</v>
      </c>
      <c r="V499" s="2" t="str">
        <f aca="false">IF(S499&lt;J499,"SIM","NÃO")</f>
        <v>NÃO</v>
      </c>
      <c r="W499" s="2" t="n">
        <v>5</v>
      </c>
      <c r="X499" s="2" t="s">
        <v>156</v>
      </c>
    </row>
    <row r="500" customFormat="false" ht="15" hidden="false" customHeight="false" outlineLevel="0" collapsed="false">
      <c r="A500" s="2" t="n">
        <v>370690657</v>
      </c>
      <c r="B500" s="29" t="n">
        <v>46236.8362384259</v>
      </c>
      <c r="C500" s="2" t="s">
        <v>369</v>
      </c>
      <c r="D500" s="2" t="s">
        <v>686</v>
      </c>
      <c r="E500" s="2" t="s">
        <v>82</v>
      </c>
      <c r="F500" s="2" t="s">
        <v>109</v>
      </c>
      <c r="G500" s="30" t="n">
        <v>52.3</v>
      </c>
      <c r="H500" s="11" t="n">
        <v>566.71</v>
      </c>
      <c r="I500" s="11" t="s">
        <v>155</v>
      </c>
      <c r="J500" s="11" t="n">
        <v>127.99</v>
      </c>
      <c r="K500" s="11" t="n">
        <v>128.14</v>
      </c>
      <c r="L500" s="11" t="n">
        <v>0.5667</v>
      </c>
      <c r="M500" s="11" t="n">
        <v>1.1334</v>
      </c>
      <c r="N500" s="11" t="n">
        <v>1</v>
      </c>
      <c r="O500" s="11" t="n">
        <v>4.5</v>
      </c>
      <c r="P500" s="11" t="n">
        <v>3.18</v>
      </c>
      <c r="Q500" s="11" t="n">
        <v>23.85</v>
      </c>
      <c r="R500" s="11" t="n">
        <f aca="false">SUM(K500:Q500)</f>
        <v>162.3701</v>
      </c>
      <c r="S500" s="11" t="n">
        <f aca="false">R500/(1-Resumo!$C$6)</f>
        <v>184.511477272727</v>
      </c>
      <c r="T500" s="11" t="n">
        <f aca="false">S500-J500</f>
        <v>56.5214772727273</v>
      </c>
      <c r="U500" s="12" t="n">
        <f aca="false">IFERROR(S500/J500-1,0)</f>
        <v>0.441608541860515</v>
      </c>
      <c r="V500" s="2" t="str">
        <f aca="false">IF(S500&lt;J500,"SIM","NÃO")</f>
        <v>NÃO</v>
      </c>
      <c r="W500" s="2" t="n">
        <v>7</v>
      </c>
      <c r="X500" s="2" t="s">
        <v>156</v>
      </c>
    </row>
    <row r="501" customFormat="false" ht="15" hidden="false" customHeight="false" outlineLevel="0" collapsed="false">
      <c r="A501" s="2" t="n">
        <v>370736316</v>
      </c>
      <c r="B501" s="29" t="n">
        <v>46236.903587963</v>
      </c>
      <c r="C501" s="2" t="s">
        <v>153</v>
      </c>
      <c r="D501" s="2" t="s">
        <v>687</v>
      </c>
      <c r="E501" s="2" t="s">
        <v>78</v>
      </c>
      <c r="F501" s="2" t="s">
        <v>106</v>
      </c>
      <c r="G501" s="30" t="n">
        <v>34.4</v>
      </c>
      <c r="H501" s="11" t="n">
        <v>440.88</v>
      </c>
      <c r="I501" s="11" t="s">
        <v>155</v>
      </c>
      <c r="J501" s="11" t="n">
        <v>82.43</v>
      </c>
      <c r="K501" s="11" t="n">
        <v>82.21</v>
      </c>
      <c r="L501" s="11" t="n">
        <v>0.4409</v>
      </c>
      <c r="M501" s="11" t="n">
        <v>0.8818</v>
      </c>
      <c r="N501" s="11" t="n">
        <v>1</v>
      </c>
      <c r="O501" s="11" t="n">
        <v>4.5</v>
      </c>
      <c r="P501" s="11" t="n">
        <v>2.1</v>
      </c>
      <c r="Q501" s="11" t="n">
        <v>15.75</v>
      </c>
      <c r="R501" s="11" t="n">
        <f aca="false">SUM(K501:Q501)</f>
        <v>106.8827</v>
      </c>
      <c r="S501" s="11" t="n">
        <f aca="false">R501/(1-Resumo!$C$6)</f>
        <v>121.457613636364</v>
      </c>
      <c r="T501" s="11" t="n">
        <f aca="false">S501-J501</f>
        <v>39.0276136363636</v>
      </c>
      <c r="U501" s="12" t="n">
        <f aca="false">IFERROR(S501/J501-1,0)</f>
        <v>0.473463710255533</v>
      </c>
      <c r="V501" s="2" t="str">
        <f aca="false">IF(S501&lt;J501,"SIM","NÃO")</f>
        <v>NÃO</v>
      </c>
      <c r="W501" s="2" t="n">
        <v>5</v>
      </c>
      <c r="X501" s="2" t="s">
        <v>156</v>
      </c>
    </row>
    <row r="502" customFormat="false" ht="15" hidden="false" customHeight="false" outlineLevel="0" collapsed="false">
      <c r="A502" s="2" t="n">
        <v>370757217</v>
      </c>
      <c r="B502" s="29" t="n">
        <v>46236.9272453704</v>
      </c>
      <c r="C502" s="2" t="s">
        <v>153</v>
      </c>
      <c r="D502" s="2" t="s">
        <v>688</v>
      </c>
      <c r="E502" s="2" t="s">
        <v>78</v>
      </c>
      <c r="F502" s="2" t="s">
        <v>107</v>
      </c>
      <c r="G502" s="30" t="n">
        <v>37.6</v>
      </c>
      <c r="H502" s="11" t="n">
        <v>391.05</v>
      </c>
      <c r="I502" s="11" t="s">
        <v>155</v>
      </c>
      <c r="J502" s="11" t="n">
        <v>91.73</v>
      </c>
      <c r="K502" s="11" t="n">
        <v>93.97</v>
      </c>
      <c r="L502" s="11" t="n">
        <v>0.391</v>
      </c>
      <c r="M502" s="11" t="n">
        <v>0.7821</v>
      </c>
      <c r="N502" s="11" t="n">
        <v>1</v>
      </c>
      <c r="O502" s="11" t="n">
        <v>4.5</v>
      </c>
      <c r="P502" s="11" t="n">
        <v>2.28</v>
      </c>
      <c r="Q502" s="11" t="n">
        <v>17.1</v>
      </c>
      <c r="R502" s="11" t="n">
        <f aca="false">SUM(K502:Q502)</f>
        <v>120.0231</v>
      </c>
      <c r="S502" s="11" t="n">
        <f aca="false">R502/(1-Resumo!$C$6)</f>
        <v>136.389886363636</v>
      </c>
      <c r="T502" s="11" t="n">
        <f aca="false">S502-J502</f>
        <v>44.6598863636363</v>
      </c>
      <c r="U502" s="12" t="n">
        <f aca="false">IFERROR(S502/J502-1,0)</f>
        <v>0.48686238268436</v>
      </c>
      <c r="V502" s="2" t="str">
        <f aca="false">IF(S502&lt;J502,"SIM","NÃO")</f>
        <v>NÃO</v>
      </c>
      <c r="W502" s="2" t="n">
        <v>5</v>
      </c>
      <c r="X502" s="2" t="s">
        <v>156</v>
      </c>
    </row>
    <row r="503" customFormat="false" ht="15" hidden="false" customHeight="false" outlineLevel="0" collapsed="false">
      <c r="A503" s="2" t="n">
        <v>370791369</v>
      </c>
      <c r="B503" s="29" t="n">
        <v>46236.972962963</v>
      </c>
      <c r="C503" s="2" t="s">
        <v>153</v>
      </c>
      <c r="D503" s="2" t="s">
        <v>689</v>
      </c>
      <c r="E503" s="2" t="s">
        <v>78</v>
      </c>
      <c r="F503" s="2" t="s">
        <v>105</v>
      </c>
      <c r="G503" s="30" t="n">
        <v>19.5</v>
      </c>
      <c r="H503" s="11" t="n">
        <v>359.99</v>
      </c>
      <c r="I503" s="11" t="s">
        <v>350</v>
      </c>
      <c r="J503" s="11" t="n">
        <v>66.52</v>
      </c>
      <c r="K503" s="11" t="n">
        <v>46.98</v>
      </c>
      <c r="L503" s="11" t="n">
        <v>0.36</v>
      </c>
      <c r="M503" s="11" t="n">
        <v>0.72</v>
      </c>
      <c r="N503" s="11" t="n">
        <v>1</v>
      </c>
      <c r="O503" s="11" t="n">
        <v>4.5</v>
      </c>
      <c r="P503" s="11" t="n">
        <v>1.2</v>
      </c>
      <c r="Q503" s="11" t="n">
        <v>9</v>
      </c>
      <c r="R503" s="11" t="n">
        <f aca="false">SUM(K503:Q503)</f>
        <v>63.76</v>
      </c>
      <c r="S503" s="11" t="n">
        <f aca="false">R503/(1-Resumo!$C$6)</f>
        <v>72.4545454545455</v>
      </c>
      <c r="T503" s="11" t="n">
        <f aca="false">S503-J503</f>
        <v>5.93454545454546</v>
      </c>
      <c r="U503" s="12" t="n">
        <f aca="false">IFERROR(S503/J503-1,0)</f>
        <v>0.0892144536161375</v>
      </c>
      <c r="V503" s="2" t="str">
        <f aca="false">IF(S503&lt;J503,"SIM","NÃO")</f>
        <v>NÃO</v>
      </c>
      <c r="W503" s="2" t="n">
        <v>5</v>
      </c>
      <c r="X503" s="2" t="s">
        <v>156</v>
      </c>
    </row>
    <row r="504" customFormat="false" ht="15" hidden="false" customHeight="false" outlineLevel="0" collapsed="false">
      <c r="A504" s="2" t="n">
        <v>370815184</v>
      </c>
      <c r="B504" s="29" t="n">
        <v>46237.008125</v>
      </c>
      <c r="C504" s="2" t="s">
        <v>153</v>
      </c>
      <c r="D504" s="2" t="s">
        <v>690</v>
      </c>
      <c r="E504" s="2" t="s">
        <v>83</v>
      </c>
      <c r="F504" s="2" t="s">
        <v>107</v>
      </c>
      <c r="G504" s="30" t="n">
        <v>40</v>
      </c>
      <c r="H504" s="11" t="n">
        <v>569.99</v>
      </c>
      <c r="I504" s="11" t="s">
        <v>350</v>
      </c>
      <c r="J504" s="11" t="n">
        <v>124.97</v>
      </c>
      <c r="K504" s="11" t="n">
        <v>143.04</v>
      </c>
      <c r="L504" s="11" t="n">
        <v>0.57</v>
      </c>
      <c r="M504" s="11" t="n">
        <v>1.14</v>
      </c>
      <c r="N504" s="11" t="n">
        <v>1</v>
      </c>
      <c r="O504" s="11" t="n">
        <v>4.5</v>
      </c>
      <c r="P504" s="11" t="n">
        <v>2.4</v>
      </c>
      <c r="Q504" s="11" t="n">
        <v>18</v>
      </c>
      <c r="R504" s="11" t="n">
        <f aca="false">SUM(K504:Q504)</f>
        <v>170.65</v>
      </c>
      <c r="S504" s="11" t="n">
        <f aca="false">R504/(1-Resumo!$C$6)</f>
        <v>193.920454545455</v>
      </c>
      <c r="T504" s="11" t="n">
        <f aca="false">S504-J504</f>
        <v>68.9504545454546</v>
      </c>
      <c r="U504" s="12" t="n">
        <f aca="false">IFERROR(S504/J504-1,0)</f>
        <v>0.55173605301636</v>
      </c>
      <c r="V504" s="2" t="str">
        <f aca="false">IF(S504&lt;J504,"SIM","NÃO")</f>
        <v>NÃO</v>
      </c>
      <c r="W504" s="2" t="n">
        <v>11</v>
      </c>
      <c r="X504" s="2" t="s">
        <v>156</v>
      </c>
    </row>
    <row r="505" customFormat="false" ht="15" hidden="false" customHeight="false" outlineLevel="0" collapsed="false">
      <c r="A505" s="2" t="n">
        <v>370946925</v>
      </c>
      <c r="B505" s="29" t="n">
        <v>46237.2941550926</v>
      </c>
      <c r="C505" s="2" t="s">
        <v>153</v>
      </c>
      <c r="D505" s="2" t="s">
        <v>691</v>
      </c>
      <c r="E505" s="2" t="s">
        <v>81</v>
      </c>
      <c r="F505" s="2" t="s">
        <v>107</v>
      </c>
      <c r="G505" s="30" t="n">
        <v>36.8</v>
      </c>
      <c r="H505" s="11" t="n">
        <v>469.99</v>
      </c>
      <c r="I505" s="11" t="s">
        <v>155</v>
      </c>
      <c r="J505" s="11" t="n">
        <v>113.2</v>
      </c>
      <c r="K505" s="11" t="n">
        <v>93.97</v>
      </c>
      <c r="L505" s="11" t="n">
        <v>0.47</v>
      </c>
      <c r="M505" s="11" t="n">
        <v>0.94</v>
      </c>
      <c r="N505" s="11" t="n">
        <v>1</v>
      </c>
      <c r="O505" s="11" t="n">
        <v>4.5</v>
      </c>
      <c r="P505" s="11" t="n">
        <v>2.22</v>
      </c>
      <c r="Q505" s="11" t="n">
        <v>16.65</v>
      </c>
      <c r="R505" s="11" t="n">
        <f aca="false">SUM(K505:Q505)</f>
        <v>119.75</v>
      </c>
      <c r="S505" s="11" t="n">
        <f aca="false">R505/(1-Resumo!$C$6)</f>
        <v>136.079545454545</v>
      </c>
      <c r="T505" s="11" t="n">
        <f aca="false">S505-J505</f>
        <v>22.8795454545455</v>
      </c>
      <c r="U505" s="12" t="n">
        <f aca="false">IFERROR(S505/J505-1,0)</f>
        <v>0.202116125923546</v>
      </c>
      <c r="V505" s="2" t="str">
        <f aca="false">IF(S505&lt;J505,"SIM","NÃO")</f>
        <v>NÃO</v>
      </c>
      <c r="W505" s="2" t="n">
        <v>5</v>
      </c>
      <c r="X505" s="2" t="s">
        <v>156</v>
      </c>
    </row>
    <row r="506" customFormat="false" ht="15" hidden="false" customHeight="false" outlineLevel="0" collapsed="false">
      <c r="A506" s="2" t="n">
        <v>370971902</v>
      </c>
      <c r="B506" s="29" t="n">
        <v>46237.341412037</v>
      </c>
      <c r="C506" s="2" t="s">
        <v>158</v>
      </c>
      <c r="D506" s="2" t="s">
        <v>692</v>
      </c>
      <c r="E506" s="2" t="s">
        <v>78</v>
      </c>
      <c r="F506" s="2" t="s">
        <v>107</v>
      </c>
      <c r="G506" s="30" t="n">
        <v>35.3</v>
      </c>
      <c r="H506" s="11" t="n">
        <v>458.15</v>
      </c>
      <c r="I506" s="11" t="s">
        <v>155</v>
      </c>
      <c r="J506" s="11" t="n">
        <v>92.06</v>
      </c>
      <c r="K506" s="11" t="n">
        <v>93.97</v>
      </c>
      <c r="L506" s="11" t="n">
        <v>0.4582</v>
      </c>
      <c r="M506" s="11" t="n">
        <v>0.9163</v>
      </c>
      <c r="N506" s="11" t="n">
        <v>1</v>
      </c>
      <c r="O506" s="11" t="n">
        <v>4.5</v>
      </c>
      <c r="P506" s="11" t="n">
        <v>2.16</v>
      </c>
      <c r="Q506" s="11" t="n">
        <v>16.2</v>
      </c>
      <c r="R506" s="11" t="n">
        <f aca="false">SUM(K506:Q506)</f>
        <v>119.2045</v>
      </c>
      <c r="S506" s="11" t="n">
        <f aca="false">R506/(1-Resumo!$C$6)</f>
        <v>135.459659090909</v>
      </c>
      <c r="T506" s="11" t="n">
        <f aca="false">S506-J506</f>
        <v>43.3996590909091</v>
      </c>
      <c r="U506" s="12" t="n">
        <f aca="false">IFERROR(S506/J506-1,0)</f>
        <v>0.471427971876049</v>
      </c>
      <c r="V506" s="2" t="str">
        <f aca="false">IF(S506&lt;J506,"SIM","NÃO")</f>
        <v>NÃO</v>
      </c>
      <c r="W506" s="2" t="n">
        <v>5</v>
      </c>
      <c r="X506" s="2" t="s">
        <v>156</v>
      </c>
    </row>
    <row r="507" customFormat="false" ht="15" hidden="false" customHeight="false" outlineLevel="0" collapsed="false">
      <c r="A507" s="2" t="n">
        <v>371000799</v>
      </c>
      <c r="B507" s="29" t="n">
        <v>46237.3859027778</v>
      </c>
      <c r="C507" s="2" t="s">
        <v>153</v>
      </c>
      <c r="D507" s="2" t="s">
        <v>693</v>
      </c>
      <c r="E507" s="2" t="s">
        <v>85</v>
      </c>
      <c r="F507" s="2" t="s">
        <v>107</v>
      </c>
      <c r="G507" s="30" t="n">
        <v>36.9</v>
      </c>
      <c r="H507" s="11" t="n">
        <v>429.99</v>
      </c>
      <c r="I507" s="11" t="s">
        <v>350</v>
      </c>
      <c r="J507" s="11" t="n">
        <v>122.75</v>
      </c>
      <c r="K507" s="11" t="n">
        <v>143.04</v>
      </c>
      <c r="L507" s="11" t="n">
        <v>0.43</v>
      </c>
      <c r="M507" s="11" t="n">
        <v>0.86</v>
      </c>
      <c r="N507" s="11" t="n">
        <v>1</v>
      </c>
      <c r="O507" s="11" t="n">
        <v>4.5</v>
      </c>
      <c r="P507" s="11" t="n">
        <v>2.22</v>
      </c>
      <c r="Q507" s="11" t="n">
        <v>16.65</v>
      </c>
      <c r="R507" s="11" t="n">
        <f aca="false">SUM(K507:Q507)</f>
        <v>168.7</v>
      </c>
      <c r="S507" s="11" t="n">
        <f aca="false">R507/(1-Resumo!$C$6)</f>
        <v>191.704545454545</v>
      </c>
      <c r="T507" s="11" t="n">
        <f aca="false">S507-J507</f>
        <v>68.9545454545454</v>
      </c>
      <c r="U507" s="12" t="n">
        <f aca="false">IFERROR(S507/J507-1,0)</f>
        <v>0.561747824476949</v>
      </c>
      <c r="V507" s="2" t="str">
        <f aca="false">IF(S507&lt;J507,"SIM","NÃO")</f>
        <v>NÃO</v>
      </c>
      <c r="W507" s="2" t="n">
        <v>11</v>
      </c>
      <c r="X507" s="2" t="s">
        <v>156</v>
      </c>
    </row>
    <row r="508" customFormat="false" ht="15" hidden="false" customHeight="false" outlineLevel="0" collapsed="false">
      <c r="A508" s="2" t="n">
        <v>371009134</v>
      </c>
      <c r="B508" s="29" t="n">
        <v>46237.3982638889</v>
      </c>
      <c r="C508" s="2" t="s">
        <v>191</v>
      </c>
      <c r="D508" s="2" t="s">
        <v>694</v>
      </c>
      <c r="E508" s="2" t="s">
        <v>80</v>
      </c>
      <c r="F508" s="2" t="s">
        <v>113</v>
      </c>
      <c r="G508" s="30" t="n">
        <v>109.7</v>
      </c>
      <c r="H508" s="11" t="n">
        <v>1389.99</v>
      </c>
      <c r="I508" s="11" t="s">
        <v>155</v>
      </c>
      <c r="J508" s="11" t="n">
        <v>196.49</v>
      </c>
      <c r="K508" s="11" t="n">
        <v>201.59</v>
      </c>
      <c r="L508" s="11" t="n">
        <v>1.39</v>
      </c>
      <c r="M508" s="11" t="n">
        <v>2.78</v>
      </c>
      <c r="N508" s="11" t="n">
        <v>1</v>
      </c>
      <c r="O508" s="11" t="n">
        <v>9</v>
      </c>
      <c r="P508" s="11" t="n">
        <v>6.6</v>
      </c>
      <c r="Q508" s="11" t="n">
        <v>49.5</v>
      </c>
      <c r="R508" s="11" t="n">
        <f aca="false">SUM(K508:Q508)</f>
        <v>271.86</v>
      </c>
      <c r="S508" s="11" t="n">
        <f aca="false">R508/(1-Resumo!$C$6)</f>
        <v>308.931818181818</v>
      </c>
      <c r="T508" s="11" t="n">
        <f aca="false">S508-J508</f>
        <v>112.441818181818</v>
      </c>
      <c r="U508" s="12" t="n">
        <f aca="false">IFERROR(S508/J508-1,0)</f>
        <v>0.572252115536761</v>
      </c>
      <c r="V508" s="2" t="str">
        <f aca="false">IF(S508&lt;J508,"SIM","NÃO")</f>
        <v>NÃO</v>
      </c>
      <c r="W508" s="2" t="n">
        <v>5</v>
      </c>
      <c r="X508" s="2" t="s">
        <v>156</v>
      </c>
    </row>
    <row r="509" customFormat="false" ht="15" hidden="false" customHeight="false" outlineLevel="0" collapsed="false">
      <c r="A509" s="2" t="n">
        <v>371042773</v>
      </c>
      <c r="B509" s="29" t="n">
        <v>46237.4429282407</v>
      </c>
      <c r="C509" s="2" t="s">
        <v>153</v>
      </c>
      <c r="D509" s="2" t="s">
        <v>695</v>
      </c>
      <c r="E509" s="2" t="s">
        <v>78</v>
      </c>
      <c r="F509" s="2" t="s">
        <v>109</v>
      </c>
      <c r="G509" s="30" t="n">
        <v>52.3</v>
      </c>
      <c r="H509" s="11" t="n">
        <v>643.99</v>
      </c>
      <c r="I509" s="11" t="s">
        <v>350</v>
      </c>
      <c r="J509" s="11" t="n">
        <v>113.35</v>
      </c>
      <c r="K509" s="11" t="n">
        <v>112.3</v>
      </c>
      <c r="L509" s="11" t="n">
        <v>0.644</v>
      </c>
      <c r="M509" s="11" t="n">
        <v>1.288</v>
      </c>
      <c r="N509" s="11" t="n">
        <v>1</v>
      </c>
      <c r="O509" s="11" t="n">
        <v>4.5</v>
      </c>
      <c r="P509" s="11" t="n">
        <v>3.18</v>
      </c>
      <c r="Q509" s="11" t="n">
        <v>23.85</v>
      </c>
      <c r="R509" s="11" t="n">
        <f aca="false">SUM(K509:Q509)</f>
        <v>146.762</v>
      </c>
      <c r="S509" s="11" t="n">
        <f aca="false">R509/(1-Resumo!$C$6)</f>
        <v>166.775</v>
      </c>
      <c r="T509" s="11" t="n">
        <f aca="false">S509-J509</f>
        <v>53.425</v>
      </c>
      <c r="U509" s="12" t="n">
        <f aca="false">IFERROR(S509/J509-1,0)</f>
        <v>0.471327745919718</v>
      </c>
      <c r="V509" s="2" t="str">
        <f aca="false">IF(S509&lt;J509,"SIM","NÃO")</f>
        <v>NÃO</v>
      </c>
      <c r="W509" s="2" t="n">
        <v>5</v>
      </c>
      <c r="X509" s="2" t="s">
        <v>156</v>
      </c>
    </row>
    <row r="510" customFormat="false" ht="15" hidden="false" customHeight="false" outlineLevel="0" collapsed="false">
      <c r="A510" s="2" t="n">
        <v>371084766</v>
      </c>
      <c r="B510" s="29" t="n">
        <v>46237.4879050926</v>
      </c>
      <c r="C510" s="2" t="s">
        <v>153</v>
      </c>
      <c r="D510" s="2" t="s">
        <v>696</v>
      </c>
      <c r="E510" s="2" t="s">
        <v>81</v>
      </c>
      <c r="F510" s="2" t="s">
        <v>110</v>
      </c>
      <c r="G510" s="30" t="n">
        <v>69.75</v>
      </c>
      <c r="H510" s="11" t="n">
        <v>859.99</v>
      </c>
      <c r="I510" s="11" t="s">
        <v>155</v>
      </c>
      <c r="J510" s="11" t="n">
        <v>140.56</v>
      </c>
      <c r="K510" s="11" t="n">
        <v>131.02</v>
      </c>
      <c r="L510" s="11" t="n">
        <v>0.86</v>
      </c>
      <c r="M510" s="11" t="n">
        <v>1.72</v>
      </c>
      <c r="N510" s="11" t="n">
        <v>1</v>
      </c>
      <c r="O510" s="11" t="n">
        <v>4.5</v>
      </c>
      <c r="P510" s="11" t="n">
        <v>4.2</v>
      </c>
      <c r="Q510" s="11" t="n">
        <v>31.5</v>
      </c>
      <c r="R510" s="11" t="n">
        <f aca="false">SUM(K510:Q510)</f>
        <v>174.8</v>
      </c>
      <c r="S510" s="11" t="n">
        <f aca="false">R510/(1-Resumo!$C$6)</f>
        <v>198.636363636364</v>
      </c>
      <c r="T510" s="11" t="n">
        <f aca="false">S510-J510</f>
        <v>58.0763636363637</v>
      </c>
      <c r="U510" s="12" t="n">
        <f aca="false">IFERROR(S510/J510-1,0)</f>
        <v>0.413178455011124</v>
      </c>
      <c r="V510" s="2" t="str">
        <f aca="false">IF(S510&lt;J510,"SIM","NÃO")</f>
        <v>NÃO</v>
      </c>
      <c r="W510" s="2" t="n">
        <v>5</v>
      </c>
      <c r="X510" s="2" t="s">
        <v>156</v>
      </c>
    </row>
    <row r="511" customFormat="false" ht="15" hidden="false" customHeight="false" outlineLevel="0" collapsed="false">
      <c r="A511" s="2" t="n">
        <v>371091137</v>
      </c>
      <c r="B511" s="29" t="n">
        <v>46237.4953125</v>
      </c>
      <c r="C511" s="2" t="s">
        <v>153</v>
      </c>
      <c r="D511" s="2" t="s">
        <v>697</v>
      </c>
      <c r="E511" s="2" t="s">
        <v>78</v>
      </c>
      <c r="F511" s="2" t="s">
        <v>108</v>
      </c>
      <c r="G511" s="30" t="n">
        <v>46.8</v>
      </c>
      <c r="H511" s="11" t="n">
        <v>599.99</v>
      </c>
      <c r="I511" s="11" t="s">
        <v>155</v>
      </c>
      <c r="J511" s="11" t="n">
        <v>103.47</v>
      </c>
      <c r="K511" s="11" t="n">
        <v>93.97</v>
      </c>
      <c r="L511" s="11" t="n">
        <v>0.6</v>
      </c>
      <c r="M511" s="11" t="n">
        <v>1.2</v>
      </c>
      <c r="N511" s="11" t="n">
        <v>1</v>
      </c>
      <c r="O511" s="11" t="n">
        <v>4.5</v>
      </c>
      <c r="P511" s="11" t="n">
        <v>2.82</v>
      </c>
      <c r="Q511" s="11" t="n">
        <v>21.15</v>
      </c>
      <c r="R511" s="11" t="n">
        <f aca="false">SUM(K511:Q511)</f>
        <v>125.24</v>
      </c>
      <c r="S511" s="11" t="n">
        <f aca="false">R511/(1-Resumo!$C$6)</f>
        <v>142.318181818182</v>
      </c>
      <c r="T511" s="11" t="n">
        <f aca="false">S511-J511</f>
        <v>38.8481818181818</v>
      </c>
      <c r="U511" s="12" t="n">
        <f aca="false">IFERROR(S511/J511-1,0)</f>
        <v>0.375453578990836</v>
      </c>
      <c r="V511" s="2" t="str">
        <f aca="false">IF(S511&lt;J511,"SIM","NÃO")</f>
        <v>NÃO</v>
      </c>
      <c r="W511" s="2" t="n">
        <v>5</v>
      </c>
      <c r="X511" s="2" t="s">
        <v>156</v>
      </c>
    </row>
    <row r="512" customFormat="false" ht="15" hidden="false" customHeight="false" outlineLevel="0" collapsed="false">
      <c r="A512" s="2" t="n">
        <v>371093976</v>
      </c>
      <c r="B512" s="29" t="n">
        <v>46237.4985069444</v>
      </c>
      <c r="C512" s="2" t="s">
        <v>153</v>
      </c>
      <c r="D512" s="2" t="s">
        <v>698</v>
      </c>
      <c r="E512" s="2" t="s">
        <v>79</v>
      </c>
      <c r="F512" s="2" t="s">
        <v>109</v>
      </c>
      <c r="G512" s="30" t="n">
        <v>52.3</v>
      </c>
      <c r="H512" s="11" t="n">
        <v>643.99</v>
      </c>
      <c r="I512" s="11" t="s">
        <v>350</v>
      </c>
      <c r="J512" s="11" t="n">
        <v>127.42</v>
      </c>
      <c r="K512" s="11" t="n">
        <v>128.14</v>
      </c>
      <c r="L512" s="11" t="n">
        <v>0.644</v>
      </c>
      <c r="M512" s="11" t="n">
        <v>1.288</v>
      </c>
      <c r="N512" s="11" t="n">
        <v>1</v>
      </c>
      <c r="O512" s="11" t="n">
        <v>4.5</v>
      </c>
      <c r="P512" s="11" t="n">
        <v>3.18</v>
      </c>
      <c r="Q512" s="11" t="n">
        <v>23.85</v>
      </c>
      <c r="R512" s="11" t="n">
        <f aca="false">SUM(K512:Q512)</f>
        <v>162.602</v>
      </c>
      <c r="S512" s="11" t="n">
        <f aca="false">R512/(1-Resumo!$C$6)</f>
        <v>184.775</v>
      </c>
      <c r="T512" s="11" t="n">
        <f aca="false">S512-J512</f>
        <v>57.355</v>
      </c>
      <c r="U512" s="12" t="n">
        <f aca="false">IFERROR(S512/J512-1,0)</f>
        <v>0.450125568984461</v>
      </c>
      <c r="V512" s="2" t="str">
        <f aca="false">IF(S512&lt;J512,"SIM","NÃO")</f>
        <v>NÃO</v>
      </c>
      <c r="W512" s="2" t="n">
        <v>7</v>
      </c>
      <c r="X512" s="2" t="s">
        <v>156</v>
      </c>
    </row>
    <row r="513" customFormat="false" ht="15" hidden="false" customHeight="false" outlineLevel="0" collapsed="false">
      <c r="A513" s="2" t="n">
        <v>371095176</v>
      </c>
      <c r="B513" s="29" t="n">
        <v>46237.4996759259</v>
      </c>
      <c r="C513" s="2" t="s">
        <v>153</v>
      </c>
      <c r="D513" s="2" t="s">
        <v>699</v>
      </c>
      <c r="E513" s="2" t="s">
        <v>84</v>
      </c>
      <c r="F513" s="2" t="s">
        <v>110</v>
      </c>
      <c r="G513" s="30" t="n">
        <v>63</v>
      </c>
      <c r="H513" s="11" t="n">
        <v>789.99</v>
      </c>
      <c r="I513" s="11" t="s">
        <v>350</v>
      </c>
      <c r="J513" s="11" t="n">
        <v>139.57</v>
      </c>
      <c r="K513" s="11" t="n">
        <v>131.02</v>
      </c>
      <c r="L513" s="11" t="n">
        <v>0.79</v>
      </c>
      <c r="M513" s="11" t="n">
        <v>1.58</v>
      </c>
      <c r="N513" s="11" t="n">
        <v>1</v>
      </c>
      <c r="O513" s="11" t="n">
        <v>4.5</v>
      </c>
      <c r="P513" s="11" t="n">
        <v>3.78</v>
      </c>
      <c r="Q513" s="11" t="n">
        <v>28.35</v>
      </c>
      <c r="R513" s="11" t="n">
        <f aca="false">SUM(K513:Q513)</f>
        <v>171.02</v>
      </c>
      <c r="S513" s="11" t="n">
        <f aca="false">R513/(1-Resumo!$C$6)</f>
        <v>194.340909090909</v>
      </c>
      <c r="T513" s="11" t="n">
        <f aca="false">S513-J513</f>
        <v>54.7709090909091</v>
      </c>
      <c r="U513" s="12" t="n">
        <f aca="false">IFERROR(S513/J513-1,0)</f>
        <v>0.392426087919389</v>
      </c>
      <c r="V513" s="2" t="str">
        <f aca="false">IF(S513&lt;J513,"SIM","NÃO")</f>
        <v>NÃO</v>
      </c>
      <c r="W513" s="2" t="n">
        <v>5</v>
      </c>
      <c r="X513" s="2" t="s">
        <v>156</v>
      </c>
    </row>
    <row r="514" customFormat="false" ht="15" hidden="false" customHeight="false" outlineLevel="0" collapsed="false">
      <c r="A514" s="2" t="n">
        <v>371109397</v>
      </c>
      <c r="B514" s="29" t="n">
        <v>46237.5190393519</v>
      </c>
      <c r="C514" s="2" t="s">
        <v>153</v>
      </c>
      <c r="D514" s="2" t="s">
        <v>700</v>
      </c>
      <c r="E514" s="2" t="s">
        <v>160</v>
      </c>
      <c r="F514" s="2" t="s">
        <v>109</v>
      </c>
      <c r="G514" s="30" t="n">
        <v>58.6</v>
      </c>
      <c r="H514" s="11" t="n">
        <v>769.99</v>
      </c>
      <c r="I514" s="11" t="s">
        <v>350</v>
      </c>
      <c r="J514" s="11" t="n">
        <v>131.1</v>
      </c>
      <c r="K514" s="11" t="n">
        <v>112.3</v>
      </c>
      <c r="L514" s="11" t="n">
        <v>0.77</v>
      </c>
      <c r="M514" s="11" t="n">
        <v>1.54</v>
      </c>
      <c r="N514" s="11" t="n">
        <v>1</v>
      </c>
      <c r="O514" s="11" t="n">
        <v>4.5</v>
      </c>
      <c r="P514" s="11" t="n">
        <v>3.54</v>
      </c>
      <c r="Q514" s="11" t="n">
        <v>26.55</v>
      </c>
      <c r="R514" s="11" t="n">
        <f aca="false">SUM(K514:Q514)</f>
        <v>150.2</v>
      </c>
      <c r="S514" s="11" t="n">
        <f aca="false">R514/(1-Resumo!$C$6)</f>
        <v>170.681818181818</v>
      </c>
      <c r="T514" s="11" t="n">
        <f aca="false">S514-J514</f>
        <v>39.5818181818182</v>
      </c>
      <c r="U514" s="12" t="n">
        <f aca="false">IFERROR(S514/J514-1,0)</f>
        <v>0.301920809929963</v>
      </c>
      <c r="V514" s="2" t="str">
        <f aca="false">IF(S514&lt;J514,"SIM","NÃO")</f>
        <v>NÃO</v>
      </c>
      <c r="W514" s="2" t="n">
        <v>5</v>
      </c>
      <c r="X514" s="2" t="s">
        <v>161</v>
      </c>
    </row>
    <row r="515" customFormat="false" ht="15" hidden="false" customHeight="false" outlineLevel="0" collapsed="false">
      <c r="A515" s="2" t="n">
        <v>371120484</v>
      </c>
      <c r="B515" s="29" t="n">
        <v>46237.5364236111</v>
      </c>
      <c r="C515" s="2" t="s">
        <v>158</v>
      </c>
      <c r="D515" s="2" t="s">
        <v>701</v>
      </c>
      <c r="E515" s="2" t="s">
        <v>78</v>
      </c>
      <c r="F515" s="2" t="s">
        <v>114</v>
      </c>
      <c r="G515" s="30" t="n">
        <v>124.2</v>
      </c>
      <c r="H515" s="11" t="n">
        <v>1630.39</v>
      </c>
      <c r="I515" s="11" t="s">
        <v>350</v>
      </c>
      <c r="J515" s="11" t="n">
        <v>226.51</v>
      </c>
      <c r="K515" s="11" t="n">
        <v>239.25</v>
      </c>
      <c r="L515" s="11" t="n">
        <v>1.6304</v>
      </c>
      <c r="M515" s="11" t="n">
        <v>3.2608</v>
      </c>
      <c r="N515" s="11" t="n">
        <v>1</v>
      </c>
      <c r="O515" s="11" t="n">
        <v>9</v>
      </c>
      <c r="P515" s="11" t="n">
        <v>7.5</v>
      </c>
      <c r="Q515" s="11" t="n">
        <v>56.25</v>
      </c>
      <c r="R515" s="11" t="n">
        <f aca="false">SUM(K515:Q515)</f>
        <v>317.8912</v>
      </c>
      <c r="S515" s="11" t="n">
        <f aca="false">R515/(1-Resumo!$C$6)</f>
        <v>361.24</v>
      </c>
      <c r="T515" s="11" t="n">
        <f aca="false">S515-J515</f>
        <v>134.73</v>
      </c>
      <c r="U515" s="12" t="n">
        <f aca="false">IFERROR(S515/J515-1,0)</f>
        <v>0.59480817623946</v>
      </c>
      <c r="V515" s="2" t="str">
        <f aca="false">IF(S515&lt;J515,"SIM","NÃO")</f>
        <v>NÃO</v>
      </c>
      <c r="W515" s="2" t="n">
        <v>5</v>
      </c>
      <c r="X515" s="2" t="s">
        <v>156</v>
      </c>
    </row>
    <row r="516" customFormat="false" ht="15" hidden="false" customHeight="false" outlineLevel="0" collapsed="false">
      <c r="A516" s="2" t="n">
        <v>371121040</v>
      </c>
      <c r="B516" s="29" t="n">
        <v>46237.5377777778</v>
      </c>
      <c r="C516" s="2" t="s">
        <v>153</v>
      </c>
      <c r="D516" s="2" t="s">
        <v>702</v>
      </c>
      <c r="E516" s="2" t="s">
        <v>90</v>
      </c>
      <c r="F516" s="2" t="s">
        <v>108</v>
      </c>
      <c r="G516" s="30" t="n">
        <v>48</v>
      </c>
      <c r="H516" s="11" t="n">
        <v>899.99</v>
      </c>
      <c r="I516" s="11" t="s">
        <v>350</v>
      </c>
      <c r="J516" s="11" t="n">
        <v>133.73</v>
      </c>
      <c r="K516" s="11" t="n">
        <v>114.95</v>
      </c>
      <c r="L516" s="11" t="n">
        <v>0.9</v>
      </c>
      <c r="M516" s="11" t="n">
        <v>1.8</v>
      </c>
      <c r="N516" s="11" t="n">
        <v>1</v>
      </c>
      <c r="O516" s="11" t="n">
        <v>4.5</v>
      </c>
      <c r="P516" s="11" t="n">
        <v>2.88</v>
      </c>
      <c r="Q516" s="11" t="n">
        <v>21.6</v>
      </c>
      <c r="R516" s="11" t="n">
        <f aca="false">SUM(K516:Q516)</f>
        <v>147.63</v>
      </c>
      <c r="S516" s="11" t="n">
        <f aca="false">R516/(1-Resumo!$C$6)</f>
        <v>167.761363636364</v>
      </c>
      <c r="T516" s="11" t="n">
        <f aca="false">S516-J516</f>
        <v>34.0313636363636</v>
      </c>
      <c r="U516" s="12" t="n">
        <f aca="false">IFERROR(S516/J516-1,0)</f>
        <v>0.254478154762309</v>
      </c>
      <c r="V516" s="2" t="str">
        <f aca="false">IF(S516&lt;J516,"SIM","NÃO")</f>
        <v>NÃO</v>
      </c>
      <c r="W516" s="2" t="n">
        <v>7</v>
      </c>
      <c r="X516" s="2" t="s">
        <v>156</v>
      </c>
    </row>
    <row r="517" customFormat="false" ht="15" hidden="false" customHeight="false" outlineLevel="0" collapsed="false">
      <c r="A517" s="2" t="n">
        <v>371125582</v>
      </c>
      <c r="B517" s="29" t="n">
        <v>46237.5475</v>
      </c>
      <c r="C517" s="2" t="s">
        <v>153</v>
      </c>
      <c r="D517" s="2" t="s">
        <v>325</v>
      </c>
      <c r="E517" s="2" t="s">
        <v>78</v>
      </c>
      <c r="F517" s="2" t="s">
        <v>106</v>
      </c>
      <c r="G517" s="30" t="n">
        <v>27.5</v>
      </c>
      <c r="H517" s="11" t="n">
        <v>379.99</v>
      </c>
      <c r="I517" s="11" t="s">
        <v>350</v>
      </c>
      <c r="J517" s="11" t="n">
        <v>80.58</v>
      </c>
      <c r="K517" s="11" t="n">
        <v>82.21</v>
      </c>
      <c r="L517" s="11" t="n">
        <v>0.38</v>
      </c>
      <c r="M517" s="11" t="n">
        <v>0.76</v>
      </c>
      <c r="N517" s="11" t="n">
        <v>1</v>
      </c>
      <c r="O517" s="11" t="n">
        <v>4.5</v>
      </c>
      <c r="P517" s="11" t="n">
        <v>1.68</v>
      </c>
      <c r="Q517" s="11" t="n">
        <v>12.6</v>
      </c>
      <c r="R517" s="11" t="n">
        <f aca="false">SUM(K517:Q517)</f>
        <v>103.13</v>
      </c>
      <c r="S517" s="11" t="n">
        <f aca="false">R517/(1-Resumo!$C$6)</f>
        <v>117.193181818182</v>
      </c>
      <c r="T517" s="11" t="n">
        <f aca="false">S517-J517</f>
        <v>36.6131818181818</v>
      </c>
      <c r="U517" s="12" t="n">
        <f aca="false">IFERROR(S517/J517-1,0)</f>
        <v>0.454370585978925</v>
      </c>
      <c r="V517" s="2" t="str">
        <f aca="false">IF(S517&lt;J517,"SIM","NÃO")</f>
        <v>NÃO</v>
      </c>
      <c r="W517" s="2" t="n">
        <v>5</v>
      </c>
      <c r="X517" s="2" t="s">
        <v>156</v>
      </c>
    </row>
    <row r="518" customFormat="false" ht="15" hidden="false" customHeight="false" outlineLevel="0" collapsed="false">
      <c r="A518" s="2" t="n">
        <v>371141748</v>
      </c>
      <c r="B518" s="29" t="n">
        <v>46237.5855555556</v>
      </c>
      <c r="C518" s="2" t="s">
        <v>191</v>
      </c>
      <c r="D518" s="2" t="s">
        <v>703</v>
      </c>
      <c r="E518" s="2" t="s">
        <v>78</v>
      </c>
      <c r="F518" s="2" t="s">
        <v>106</v>
      </c>
      <c r="G518" s="30" t="n">
        <v>22.4</v>
      </c>
      <c r="H518" s="11" t="n">
        <v>479.99</v>
      </c>
      <c r="I518" s="11" t="s">
        <v>350</v>
      </c>
      <c r="J518" s="11" t="n">
        <v>78.5</v>
      </c>
      <c r="K518" s="11" t="n">
        <v>82.21</v>
      </c>
      <c r="L518" s="11" t="n">
        <v>0.48</v>
      </c>
      <c r="M518" s="11" t="n">
        <v>0.96</v>
      </c>
      <c r="N518" s="11" t="n">
        <v>1</v>
      </c>
      <c r="O518" s="11" t="n">
        <v>4.5</v>
      </c>
      <c r="P518" s="11" t="n">
        <v>1.38</v>
      </c>
      <c r="Q518" s="11" t="n">
        <v>10.35</v>
      </c>
      <c r="R518" s="11" t="n">
        <f aca="false">SUM(K518:Q518)</f>
        <v>100.88</v>
      </c>
      <c r="S518" s="11" t="n">
        <f aca="false">R518/(1-Resumo!$C$6)</f>
        <v>114.636363636364</v>
      </c>
      <c r="T518" s="11" t="n">
        <f aca="false">S518-J518</f>
        <v>36.1363636363636</v>
      </c>
      <c r="U518" s="12" t="n">
        <f aca="false">IFERROR(S518/J518-1,0)</f>
        <v>0.460335842501447</v>
      </c>
      <c r="V518" s="2" t="str">
        <f aca="false">IF(S518&lt;J518,"SIM","NÃO")</f>
        <v>NÃO</v>
      </c>
      <c r="W518" s="2" t="n">
        <v>5</v>
      </c>
      <c r="X518" s="2" t="s">
        <v>156</v>
      </c>
    </row>
    <row r="519" customFormat="false" ht="15" hidden="false" customHeight="false" outlineLevel="0" collapsed="false">
      <c r="A519" s="2" t="n">
        <v>371158401</v>
      </c>
      <c r="B519" s="29" t="n">
        <v>46237.6138657407</v>
      </c>
      <c r="C519" s="2" t="s">
        <v>153</v>
      </c>
      <c r="D519" s="2" t="s">
        <v>704</v>
      </c>
      <c r="E519" s="2" t="s">
        <v>78</v>
      </c>
      <c r="F519" s="2" t="s">
        <v>106</v>
      </c>
      <c r="G519" s="30" t="n">
        <v>27</v>
      </c>
      <c r="H519" s="11" t="n">
        <v>349.99</v>
      </c>
      <c r="I519" s="11" t="s">
        <v>155</v>
      </c>
      <c r="J519" s="11" t="n">
        <v>82</v>
      </c>
      <c r="K519" s="11" t="n">
        <v>82.21</v>
      </c>
      <c r="L519" s="11" t="n">
        <v>0.35</v>
      </c>
      <c r="M519" s="11" t="n">
        <v>0.7</v>
      </c>
      <c r="N519" s="11" t="n">
        <v>1</v>
      </c>
      <c r="O519" s="11" t="n">
        <v>4.5</v>
      </c>
      <c r="P519" s="11" t="n">
        <v>1.62</v>
      </c>
      <c r="Q519" s="11" t="n">
        <v>12.15</v>
      </c>
      <c r="R519" s="11" t="n">
        <f aca="false">SUM(K519:Q519)</f>
        <v>102.53</v>
      </c>
      <c r="S519" s="11" t="n">
        <f aca="false">R519/(1-Resumo!$C$6)</f>
        <v>116.511363636364</v>
      </c>
      <c r="T519" s="11" t="n">
        <f aca="false">S519-J519</f>
        <v>34.5113636363636</v>
      </c>
      <c r="U519" s="12" t="n">
        <f aca="false">IFERROR(S519/J519-1,0)</f>
        <v>0.420870288248337</v>
      </c>
      <c r="V519" s="2" t="str">
        <f aca="false">IF(S519&lt;J519,"SIM","NÃO")</f>
        <v>NÃO</v>
      </c>
      <c r="W519" s="2" t="n">
        <v>5</v>
      </c>
      <c r="X519" s="2" t="s">
        <v>156</v>
      </c>
    </row>
    <row r="520" customFormat="false" ht="15" hidden="false" customHeight="false" outlineLevel="0" collapsed="false">
      <c r="A520" s="2" t="n">
        <v>371175082</v>
      </c>
      <c r="B520" s="29" t="n">
        <v>46237.6431365741</v>
      </c>
      <c r="C520" s="2" t="s">
        <v>158</v>
      </c>
      <c r="D520" s="2" t="s">
        <v>705</v>
      </c>
      <c r="E520" s="2" t="s">
        <v>78</v>
      </c>
      <c r="F520" s="2" t="s">
        <v>110</v>
      </c>
      <c r="G520" s="30" t="n">
        <v>69.15</v>
      </c>
      <c r="H520" s="11" t="n">
        <v>717.6</v>
      </c>
      <c r="I520" s="11" t="s">
        <v>155</v>
      </c>
      <c r="J520" s="11" t="n">
        <v>124.66</v>
      </c>
      <c r="K520" s="11" t="n">
        <v>131.02</v>
      </c>
      <c r="L520" s="11" t="n">
        <v>0.7176</v>
      </c>
      <c r="M520" s="11" t="n">
        <v>1.4352</v>
      </c>
      <c r="N520" s="11" t="n">
        <v>1</v>
      </c>
      <c r="O520" s="11" t="n">
        <v>4.5</v>
      </c>
      <c r="P520" s="11" t="n">
        <v>4.2</v>
      </c>
      <c r="Q520" s="11" t="n">
        <v>31.5</v>
      </c>
      <c r="R520" s="11" t="n">
        <f aca="false">SUM(K520:Q520)</f>
        <v>174.3728</v>
      </c>
      <c r="S520" s="11" t="n">
        <f aca="false">R520/(1-Resumo!$C$6)</f>
        <v>198.150909090909</v>
      </c>
      <c r="T520" s="11" t="n">
        <f aca="false">S520-J520</f>
        <v>73.4909090909091</v>
      </c>
      <c r="U520" s="12" t="n">
        <f aca="false">IFERROR(S520/J520-1,0)</f>
        <v>0.589530796493736</v>
      </c>
      <c r="V520" s="2" t="str">
        <f aca="false">IF(S520&lt;J520,"SIM","NÃO")</f>
        <v>NÃO</v>
      </c>
      <c r="W520" s="2" t="n">
        <v>5</v>
      </c>
      <c r="X520" s="2" t="s">
        <v>156</v>
      </c>
    </row>
    <row r="521" customFormat="false" ht="15" hidden="false" customHeight="false" outlineLevel="0" collapsed="false">
      <c r="A521" s="2" t="n">
        <v>371174202</v>
      </c>
      <c r="B521" s="29" t="n">
        <v>46237.6435069444</v>
      </c>
      <c r="C521" s="2" t="s">
        <v>178</v>
      </c>
      <c r="D521" s="2" t="s">
        <v>706</v>
      </c>
      <c r="E521" s="2" t="s">
        <v>78</v>
      </c>
      <c r="F521" s="2" t="s">
        <v>105</v>
      </c>
      <c r="G521" s="30" t="n">
        <v>19.5</v>
      </c>
      <c r="H521" s="11" t="n">
        <v>399.99</v>
      </c>
      <c r="I521" s="11" t="s">
        <v>155</v>
      </c>
      <c r="J521" s="11" t="n">
        <v>65.14</v>
      </c>
      <c r="K521" s="11" t="n">
        <v>46.98</v>
      </c>
      <c r="L521" s="11" t="n">
        <v>0.4</v>
      </c>
      <c r="M521" s="11" t="n">
        <v>0.8</v>
      </c>
      <c r="N521" s="11" t="n">
        <v>1</v>
      </c>
      <c r="O521" s="11" t="n">
        <v>4.5</v>
      </c>
      <c r="P521" s="11" t="n">
        <v>1.2</v>
      </c>
      <c r="Q521" s="11" t="n">
        <v>9</v>
      </c>
      <c r="R521" s="11" t="n">
        <f aca="false">SUM(K521:Q521)</f>
        <v>63.88</v>
      </c>
      <c r="S521" s="11" t="n">
        <f aca="false">R521/(1-Resumo!$C$6)</f>
        <v>72.5909090909091</v>
      </c>
      <c r="T521" s="11" t="n">
        <f aca="false">S521-J521</f>
        <v>7.45090909090908</v>
      </c>
      <c r="U521" s="12" t="n">
        <f aca="false">IFERROR(S521/J521-1,0)</f>
        <v>0.114383007229184</v>
      </c>
      <c r="V521" s="2" t="str">
        <f aca="false">IF(S521&lt;J521,"SIM","NÃO")</f>
        <v>NÃO</v>
      </c>
      <c r="W521" s="2" t="n">
        <v>5</v>
      </c>
      <c r="X521" s="2" t="s">
        <v>156</v>
      </c>
    </row>
    <row r="522" customFormat="false" ht="15" hidden="false" customHeight="false" outlineLevel="0" collapsed="false">
      <c r="A522" s="2" t="n">
        <v>371194892</v>
      </c>
      <c r="B522" s="29" t="n">
        <v>46237.6713425926</v>
      </c>
      <c r="C522" s="2" t="s">
        <v>153</v>
      </c>
      <c r="D522" s="2" t="s">
        <v>707</v>
      </c>
      <c r="E522" s="2" t="s">
        <v>78</v>
      </c>
      <c r="F522" s="2" t="s">
        <v>108</v>
      </c>
      <c r="G522" s="30" t="n">
        <v>48.3</v>
      </c>
      <c r="H522" s="11" t="n">
        <v>459.99</v>
      </c>
      <c r="I522" s="11" t="s">
        <v>155</v>
      </c>
      <c r="J522" s="11" t="n">
        <v>102.8</v>
      </c>
      <c r="K522" s="11" t="n">
        <v>93.97</v>
      </c>
      <c r="L522" s="11" t="n">
        <v>0.46</v>
      </c>
      <c r="M522" s="11" t="n">
        <v>0.92</v>
      </c>
      <c r="N522" s="11" t="n">
        <v>1</v>
      </c>
      <c r="O522" s="11" t="n">
        <v>4.5</v>
      </c>
      <c r="P522" s="11" t="n">
        <v>2.94</v>
      </c>
      <c r="Q522" s="11" t="n">
        <v>22.05</v>
      </c>
      <c r="R522" s="11" t="n">
        <f aca="false">SUM(K522:Q522)</f>
        <v>125.84</v>
      </c>
      <c r="S522" s="11" t="n">
        <f aca="false">R522/(1-Resumo!$C$6)</f>
        <v>143</v>
      </c>
      <c r="T522" s="11" t="n">
        <f aca="false">S522-J522</f>
        <v>40.2</v>
      </c>
      <c r="U522" s="12" t="n">
        <f aca="false">IFERROR(S522/J522-1,0)</f>
        <v>0.391050583657588</v>
      </c>
      <c r="V522" s="2" t="str">
        <f aca="false">IF(S522&lt;J522,"SIM","NÃO")</f>
        <v>NÃO</v>
      </c>
      <c r="W522" s="2" t="n">
        <v>5</v>
      </c>
      <c r="X522" s="2" t="s">
        <v>156</v>
      </c>
    </row>
    <row r="523" customFormat="false" ht="15" hidden="false" customHeight="false" outlineLevel="0" collapsed="false">
      <c r="A523" s="2" t="n">
        <v>371206309</v>
      </c>
      <c r="B523" s="29" t="n">
        <v>46237.6923958333</v>
      </c>
      <c r="C523" s="2" t="s">
        <v>153</v>
      </c>
      <c r="D523" s="2" t="s">
        <v>199</v>
      </c>
      <c r="E523" s="2" t="s">
        <v>78</v>
      </c>
      <c r="F523" s="2" t="s">
        <v>109</v>
      </c>
      <c r="G523" s="30" t="n">
        <v>52.3</v>
      </c>
      <c r="H523" s="11" t="n">
        <v>643.99</v>
      </c>
      <c r="I523" s="11" t="s">
        <v>350</v>
      </c>
      <c r="J523" s="11" t="n">
        <v>113.35</v>
      </c>
      <c r="K523" s="11" t="n">
        <v>112.3</v>
      </c>
      <c r="L523" s="11" t="n">
        <v>0.644</v>
      </c>
      <c r="M523" s="11" t="n">
        <v>1.288</v>
      </c>
      <c r="N523" s="11" t="n">
        <v>1</v>
      </c>
      <c r="O523" s="11" t="n">
        <v>4.5</v>
      </c>
      <c r="P523" s="11" t="n">
        <v>3.18</v>
      </c>
      <c r="Q523" s="11" t="n">
        <v>23.85</v>
      </c>
      <c r="R523" s="11" t="n">
        <f aca="false">SUM(K523:Q523)</f>
        <v>146.762</v>
      </c>
      <c r="S523" s="11" t="n">
        <f aca="false">R523/(1-Resumo!$C$6)</f>
        <v>166.775</v>
      </c>
      <c r="T523" s="11" t="n">
        <f aca="false">S523-J523</f>
        <v>53.425</v>
      </c>
      <c r="U523" s="12" t="n">
        <f aca="false">IFERROR(S523/J523-1,0)</f>
        <v>0.471327745919718</v>
      </c>
      <c r="V523" s="2" t="str">
        <f aca="false">IF(S523&lt;J523,"SIM","NÃO")</f>
        <v>NÃO</v>
      </c>
      <c r="W523" s="2" t="n">
        <v>5</v>
      </c>
      <c r="X523" s="2" t="s">
        <v>156</v>
      </c>
    </row>
    <row r="524" customFormat="false" ht="15" hidden="false" customHeight="false" outlineLevel="0" collapsed="false">
      <c r="A524" s="2" t="n">
        <v>371220929</v>
      </c>
      <c r="B524" s="29" t="n">
        <v>46237.7338541667</v>
      </c>
      <c r="C524" s="2" t="s">
        <v>178</v>
      </c>
      <c r="D524" s="2" t="s">
        <v>708</v>
      </c>
      <c r="E524" s="2" t="s">
        <v>78</v>
      </c>
      <c r="F524" s="2" t="s">
        <v>106</v>
      </c>
      <c r="G524" s="30" t="n">
        <v>22.4</v>
      </c>
      <c r="H524" s="11" t="n">
        <v>424.99</v>
      </c>
      <c r="I524" s="11" t="s">
        <v>155</v>
      </c>
      <c r="J524" s="11" t="n">
        <v>82.36</v>
      </c>
      <c r="K524" s="11" t="n">
        <v>82.21</v>
      </c>
      <c r="L524" s="11" t="n">
        <v>0.425</v>
      </c>
      <c r="M524" s="11" t="n">
        <v>0.85</v>
      </c>
      <c r="N524" s="11" t="n">
        <v>1</v>
      </c>
      <c r="O524" s="11" t="n">
        <v>4.5</v>
      </c>
      <c r="P524" s="11" t="n">
        <v>1.38</v>
      </c>
      <c r="Q524" s="11" t="n">
        <v>10.35</v>
      </c>
      <c r="R524" s="11" t="n">
        <f aca="false">SUM(K524:Q524)</f>
        <v>100.715</v>
      </c>
      <c r="S524" s="11" t="n">
        <f aca="false">R524/(1-Resumo!$C$6)</f>
        <v>114.448863636364</v>
      </c>
      <c r="T524" s="11" t="n">
        <f aca="false">S524-J524</f>
        <v>32.0888636363636</v>
      </c>
      <c r="U524" s="12" t="n">
        <f aca="false">IFERROR(S524/J524-1,0)</f>
        <v>0.389617091262307</v>
      </c>
      <c r="V524" s="2" t="str">
        <f aca="false">IF(S524&lt;J524,"SIM","NÃO")</f>
        <v>NÃO</v>
      </c>
      <c r="W524" s="2" t="n">
        <v>5</v>
      </c>
      <c r="X524" s="2" t="s">
        <v>156</v>
      </c>
    </row>
    <row r="525" customFormat="false" ht="15" hidden="false" customHeight="false" outlineLevel="0" collapsed="false">
      <c r="A525" s="2" t="n">
        <v>371256422</v>
      </c>
      <c r="B525" s="29" t="n">
        <v>46237.7817476852</v>
      </c>
      <c r="C525" s="2" t="s">
        <v>153</v>
      </c>
      <c r="D525" s="2" t="s">
        <v>709</v>
      </c>
      <c r="E525" s="2" t="s">
        <v>78</v>
      </c>
      <c r="F525" s="2" t="s">
        <v>106</v>
      </c>
      <c r="G525" s="30" t="n">
        <v>27</v>
      </c>
      <c r="H525" s="11" t="n">
        <v>319.99</v>
      </c>
      <c r="I525" s="11" t="s">
        <v>155</v>
      </c>
      <c r="J525" s="11" t="n">
        <v>81.86</v>
      </c>
      <c r="K525" s="11" t="n">
        <v>82.21</v>
      </c>
      <c r="L525" s="11" t="n">
        <v>0.32</v>
      </c>
      <c r="M525" s="11" t="n">
        <v>0.64</v>
      </c>
      <c r="N525" s="11" t="n">
        <v>1</v>
      </c>
      <c r="O525" s="11" t="n">
        <v>4.5</v>
      </c>
      <c r="P525" s="11" t="n">
        <v>1.62</v>
      </c>
      <c r="Q525" s="11" t="n">
        <v>12.15</v>
      </c>
      <c r="R525" s="11" t="n">
        <f aca="false">SUM(K525:Q525)</f>
        <v>102.44</v>
      </c>
      <c r="S525" s="11" t="n">
        <f aca="false">R525/(1-Resumo!$C$6)</f>
        <v>116.409090909091</v>
      </c>
      <c r="T525" s="11" t="n">
        <f aca="false">S525-J525</f>
        <v>34.5490909090909</v>
      </c>
      <c r="U525" s="12" t="n">
        <f aca="false">IFERROR(S525/J525-1,0)</f>
        <v>0.42205095173578</v>
      </c>
      <c r="V525" s="2" t="str">
        <f aca="false">IF(S525&lt;J525,"SIM","NÃO")</f>
        <v>NÃO</v>
      </c>
      <c r="W525" s="2" t="n">
        <v>5</v>
      </c>
      <c r="X525" s="2" t="s">
        <v>156</v>
      </c>
    </row>
    <row r="526" customFormat="false" ht="15" hidden="false" customHeight="false" outlineLevel="0" collapsed="false">
      <c r="A526" s="2" t="n">
        <v>371249186</v>
      </c>
      <c r="B526" s="29" t="n">
        <v>46237.782650463</v>
      </c>
      <c r="C526" s="2" t="s">
        <v>178</v>
      </c>
      <c r="D526" s="2" t="s">
        <v>710</v>
      </c>
      <c r="E526" s="2" t="s">
        <v>78</v>
      </c>
      <c r="F526" s="2" t="s">
        <v>106</v>
      </c>
      <c r="G526" s="30" t="n">
        <v>22.4</v>
      </c>
      <c r="H526" s="11" t="n">
        <v>499.99</v>
      </c>
      <c r="I526" s="11" t="s">
        <v>155</v>
      </c>
      <c r="J526" s="11" t="n">
        <v>82.73</v>
      </c>
      <c r="K526" s="11" t="n">
        <v>82.21</v>
      </c>
      <c r="L526" s="11" t="n">
        <v>0.5</v>
      </c>
      <c r="M526" s="11" t="n">
        <v>1</v>
      </c>
      <c r="N526" s="11" t="n">
        <v>1</v>
      </c>
      <c r="O526" s="11" t="n">
        <v>4.5</v>
      </c>
      <c r="P526" s="11" t="n">
        <v>1.38</v>
      </c>
      <c r="Q526" s="11" t="n">
        <v>10.35</v>
      </c>
      <c r="R526" s="11" t="n">
        <f aca="false">SUM(K526:Q526)</f>
        <v>100.94</v>
      </c>
      <c r="S526" s="11" t="n">
        <f aca="false">R526/(1-Resumo!$C$6)</f>
        <v>114.704545454545</v>
      </c>
      <c r="T526" s="11" t="n">
        <f aca="false">S526-J526</f>
        <v>31.9745454545454</v>
      </c>
      <c r="U526" s="12" t="n">
        <f aca="false">IFERROR(S526/J526-1,0)</f>
        <v>0.386492752986165</v>
      </c>
      <c r="V526" s="2" t="str">
        <f aca="false">IF(S526&lt;J526,"SIM","NÃO")</f>
        <v>NÃO</v>
      </c>
      <c r="W526" s="2" t="n">
        <v>5</v>
      </c>
      <c r="X526" s="2" t="s">
        <v>156</v>
      </c>
    </row>
    <row r="527" customFormat="false" ht="15" hidden="false" customHeight="false" outlineLevel="0" collapsed="false">
      <c r="A527" s="2" t="n">
        <v>371258792</v>
      </c>
      <c r="B527" s="29" t="n">
        <v>46237.7850694444</v>
      </c>
      <c r="C527" s="2" t="s">
        <v>153</v>
      </c>
      <c r="D527" s="2" t="s">
        <v>711</v>
      </c>
      <c r="E527" s="2" t="s">
        <v>78</v>
      </c>
      <c r="F527" s="2" t="s">
        <v>109</v>
      </c>
      <c r="G527" s="30" t="n">
        <v>52.3</v>
      </c>
      <c r="H527" s="11" t="n">
        <v>699.99</v>
      </c>
      <c r="I527" s="11" t="s">
        <v>350</v>
      </c>
      <c r="J527" s="11" t="n">
        <v>113.63</v>
      </c>
      <c r="K527" s="11" t="n">
        <v>112.3</v>
      </c>
      <c r="L527" s="11" t="n">
        <v>0.7</v>
      </c>
      <c r="M527" s="11" t="n">
        <v>1.4</v>
      </c>
      <c r="N527" s="11" t="n">
        <v>1</v>
      </c>
      <c r="O527" s="11" t="n">
        <v>4.5</v>
      </c>
      <c r="P527" s="11" t="n">
        <v>3.18</v>
      </c>
      <c r="Q527" s="11" t="n">
        <v>23.85</v>
      </c>
      <c r="R527" s="11" t="n">
        <f aca="false">SUM(K527:Q527)</f>
        <v>146.93</v>
      </c>
      <c r="S527" s="11" t="n">
        <f aca="false">R527/(1-Resumo!$C$6)</f>
        <v>166.965909090909</v>
      </c>
      <c r="T527" s="11" t="n">
        <f aca="false">S527-J527</f>
        <v>53.3359090909091</v>
      </c>
      <c r="U527" s="12" t="n">
        <f aca="false">IFERROR(S527/J527-1,0)</f>
        <v>0.469382285407983</v>
      </c>
      <c r="V527" s="2" t="str">
        <f aca="false">IF(S527&lt;J527,"SIM","NÃO")</f>
        <v>NÃO</v>
      </c>
      <c r="W527" s="2" t="n">
        <v>5</v>
      </c>
      <c r="X527" s="2" t="s">
        <v>156</v>
      </c>
    </row>
    <row r="528" customFormat="false" ht="15" hidden="false" customHeight="false" outlineLevel="0" collapsed="false">
      <c r="A528" s="2" t="n">
        <v>371265344</v>
      </c>
      <c r="B528" s="29" t="n">
        <v>46237.7951967593</v>
      </c>
      <c r="C528" s="2" t="s">
        <v>158</v>
      </c>
      <c r="D528" s="2" t="s">
        <v>712</v>
      </c>
      <c r="E528" s="2" t="s">
        <v>78</v>
      </c>
      <c r="F528" s="2" t="s">
        <v>107</v>
      </c>
      <c r="G528" s="30" t="n">
        <v>36.8</v>
      </c>
      <c r="H528" s="11" t="n">
        <v>431.09</v>
      </c>
      <c r="I528" s="11" t="s">
        <v>155</v>
      </c>
      <c r="J528" s="11" t="n">
        <v>91.92</v>
      </c>
      <c r="K528" s="11" t="n">
        <v>93.97</v>
      </c>
      <c r="L528" s="11" t="n">
        <v>0.4311</v>
      </c>
      <c r="M528" s="11" t="n">
        <v>0.8622</v>
      </c>
      <c r="N528" s="11" t="n">
        <v>1</v>
      </c>
      <c r="O528" s="11" t="n">
        <v>4.5</v>
      </c>
      <c r="P528" s="11" t="n">
        <v>2.22</v>
      </c>
      <c r="Q528" s="11" t="n">
        <v>16.65</v>
      </c>
      <c r="R528" s="11" t="n">
        <f aca="false">SUM(K528:Q528)</f>
        <v>119.6333</v>
      </c>
      <c r="S528" s="11" t="n">
        <f aca="false">R528/(1-Resumo!$C$6)</f>
        <v>135.946931818182</v>
      </c>
      <c r="T528" s="11" t="n">
        <f aca="false">S528-J528</f>
        <v>44.0269318181818</v>
      </c>
      <c r="U528" s="12" t="n">
        <f aca="false">IFERROR(S528/J528-1,0)</f>
        <v>0.478970102460638</v>
      </c>
      <c r="V528" s="2" t="str">
        <f aca="false">IF(S528&lt;J528,"SIM","NÃO")</f>
        <v>NÃO</v>
      </c>
      <c r="W528" s="2" t="n">
        <v>5</v>
      </c>
      <c r="X528" s="2" t="s">
        <v>156</v>
      </c>
    </row>
    <row r="529" customFormat="false" ht="15" hidden="false" customHeight="false" outlineLevel="0" collapsed="false">
      <c r="A529" s="2" t="n">
        <v>371276117</v>
      </c>
      <c r="B529" s="29" t="n">
        <v>46237.81375</v>
      </c>
      <c r="C529" s="2" t="s">
        <v>153</v>
      </c>
      <c r="D529" s="2" t="s">
        <v>713</v>
      </c>
      <c r="E529" s="2" t="s">
        <v>78</v>
      </c>
      <c r="F529" s="2" t="s">
        <v>105</v>
      </c>
      <c r="G529" s="30" t="n">
        <v>11</v>
      </c>
      <c r="H529" s="11" t="n">
        <v>449.99</v>
      </c>
      <c r="I529" s="11" t="s">
        <v>155</v>
      </c>
      <c r="J529" s="11" t="n">
        <v>65.37</v>
      </c>
      <c r="K529" s="11" t="n">
        <v>46.98</v>
      </c>
      <c r="L529" s="11" t="n">
        <v>0.45</v>
      </c>
      <c r="M529" s="11" t="n">
        <v>0.9</v>
      </c>
      <c r="N529" s="11" t="n">
        <v>1</v>
      </c>
      <c r="O529" s="11" t="n">
        <v>4.5</v>
      </c>
      <c r="P529" s="11" t="n">
        <v>0.66</v>
      </c>
      <c r="Q529" s="11" t="n">
        <v>4.95</v>
      </c>
      <c r="R529" s="11" t="n">
        <f aca="false">SUM(K529:Q529)</f>
        <v>59.44</v>
      </c>
      <c r="S529" s="11" t="n">
        <f aca="false">R529/(1-Resumo!$C$6)</f>
        <v>67.5454545454546</v>
      </c>
      <c r="T529" s="11" t="n">
        <f aca="false">S529-J529</f>
        <v>2.17545454545454</v>
      </c>
      <c r="U529" s="12" t="n">
        <f aca="false">IFERROR(S529/J529-1,0)</f>
        <v>0.0332790966109002</v>
      </c>
      <c r="V529" s="2" t="str">
        <f aca="false">IF(S529&lt;J529,"SIM","NÃO")</f>
        <v>NÃO</v>
      </c>
      <c r="W529" s="2" t="n">
        <v>5</v>
      </c>
      <c r="X529" s="2" t="s">
        <v>156</v>
      </c>
    </row>
    <row r="530" customFormat="false" ht="15" hidden="false" customHeight="false" outlineLevel="0" collapsed="false">
      <c r="A530" s="2" t="n">
        <v>371298446</v>
      </c>
      <c r="B530" s="29" t="n">
        <v>46237.8548148148</v>
      </c>
      <c r="C530" s="2" t="s">
        <v>158</v>
      </c>
      <c r="D530" s="2" t="s">
        <v>714</v>
      </c>
      <c r="E530" s="2" t="s">
        <v>82</v>
      </c>
      <c r="F530" s="2" t="s">
        <v>110</v>
      </c>
      <c r="G530" s="30" t="n">
        <v>62.8</v>
      </c>
      <c r="H530" s="11" t="n">
        <v>719.08</v>
      </c>
      <c r="I530" s="11" t="s">
        <v>155</v>
      </c>
      <c r="J530" s="11" t="n">
        <v>139.89</v>
      </c>
      <c r="K530" s="11" t="n">
        <v>149.5</v>
      </c>
      <c r="L530" s="11" t="n">
        <v>0.7191</v>
      </c>
      <c r="M530" s="11" t="n">
        <v>1.4382</v>
      </c>
      <c r="N530" s="11" t="n">
        <v>1</v>
      </c>
      <c r="O530" s="11" t="n">
        <v>4.5</v>
      </c>
      <c r="P530" s="11" t="n">
        <v>3.78</v>
      </c>
      <c r="Q530" s="11" t="n">
        <v>28.35</v>
      </c>
      <c r="R530" s="11" t="n">
        <f aca="false">SUM(K530:Q530)</f>
        <v>189.2873</v>
      </c>
      <c r="S530" s="11" t="n">
        <f aca="false">R530/(1-Resumo!$C$6)</f>
        <v>215.099204545455</v>
      </c>
      <c r="T530" s="11" t="n">
        <f aca="false">S530-J530</f>
        <v>75.2092045454546</v>
      </c>
      <c r="U530" s="12" t="n">
        <f aca="false">IFERROR(S530/J530-1,0)</f>
        <v>0.537631028275463</v>
      </c>
      <c r="V530" s="2" t="str">
        <f aca="false">IF(S530&lt;J530,"SIM","NÃO")</f>
        <v>NÃO</v>
      </c>
      <c r="W530" s="2" t="n">
        <v>7</v>
      </c>
      <c r="X530" s="2" t="s">
        <v>156</v>
      </c>
    </row>
    <row r="531" customFormat="false" ht="15" hidden="false" customHeight="false" outlineLevel="0" collapsed="false">
      <c r="A531" s="2" t="n">
        <v>371300471</v>
      </c>
      <c r="B531" s="29" t="n">
        <v>46237.8583564815</v>
      </c>
      <c r="C531" s="2" t="s">
        <v>153</v>
      </c>
      <c r="D531" s="2" t="s">
        <v>715</v>
      </c>
      <c r="E531" s="2" t="s">
        <v>93</v>
      </c>
      <c r="F531" s="2" t="s">
        <v>109</v>
      </c>
      <c r="G531" s="30" t="n">
        <v>51.06</v>
      </c>
      <c r="H531" s="11" t="n">
        <v>749.99</v>
      </c>
      <c r="I531" s="11" t="s">
        <v>350</v>
      </c>
      <c r="J531" s="11" t="n">
        <v>141.73</v>
      </c>
      <c r="K531" s="11" t="n">
        <v>128.14</v>
      </c>
      <c r="L531" s="11" t="n">
        <v>0.75</v>
      </c>
      <c r="M531" s="11" t="n">
        <v>1.5</v>
      </c>
      <c r="N531" s="11" t="n">
        <v>1</v>
      </c>
      <c r="O531" s="11" t="n">
        <v>4.5</v>
      </c>
      <c r="P531" s="11" t="n">
        <v>3.12</v>
      </c>
      <c r="Q531" s="11" t="n">
        <v>23.4</v>
      </c>
      <c r="R531" s="11" t="n">
        <f aca="false">SUM(K531:Q531)</f>
        <v>162.41</v>
      </c>
      <c r="S531" s="11" t="n">
        <f aca="false">R531/(1-Resumo!$C$6)</f>
        <v>184.556818181818</v>
      </c>
      <c r="T531" s="11" t="n">
        <f aca="false">S531-J531</f>
        <v>42.8268181818182</v>
      </c>
      <c r="U531" s="12" t="n">
        <f aca="false">IFERROR(S531/J531-1,0)</f>
        <v>0.302171863273959</v>
      </c>
      <c r="V531" s="2" t="str">
        <f aca="false">IF(S531&lt;J531,"SIM","NÃO")</f>
        <v>NÃO</v>
      </c>
      <c r="W531" s="2" t="n">
        <v>7</v>
      </c>
      <c r="X531" s="2" t="s">
        <v>156</v>
      </c>
    </row>
    <row r="532" customFormat="false" ht="15" hidden="false" customHeight="false" outlineLevel="0" collapsed="false">
      <c r="A532" s="2" t="n">
        <v>371301922</v>
      </c>
      <c r="B532" s="29" t="n">
        <v>46237.8604976852</v>
      </c>
      <c r="C532" s="2" t="s">
        <v>153</v>
      </c>
      <c r="D532" s="2" t="s">
        <v>317</v>
      </c>
      <c r="E532" s="2" t="s">
        <v>78</v>
      </c>
      <c r="F532" s="2" t="s">
        <v>110</v>
      </c>
      <c r="G532" s="30" t="n">
        <v>67.2</v>
      </c>
      <c r="H532" s="11" t="n">
        <v>1469.97</v>
      </c>
      <c r="I532" s="11" t="s">
        <v>155</v>
      </c>
      <c r="J532" s="11" t="n">
        <v>128.25</v>
      </c>
      <c r="K532" s="11" t="n">
        <v>131.02</v>
      </c>
      <c r="L532" s="11" t="n">
        <v>1.47</v>
      </c>
      <c r="M532" s="11" t="n">
        <v>2.9399</v>
      </c>
      <c r="N532" s="11" t="n">
        <v>1</v>
      </c>
      <c r="O532" s="11" t="n">
        <v>4.5</v>
      </c>
      <c r="P532" s="11" t="n">
        <v>4.08</v>
      </c>
      <c r="Q532" s="11" t="n">
        <v>30.6</v>
      </c>
      <c r="R532" s="11" t="n">
        <f aca="false">SUM(K532:Q532)</f>
        <v>175.6099</v>
      </c>
      <c r="S532" s="11" t="n">
        <f aca="false">R532/(1-Resumo!$C$6)</f>
        <v>199.556704545455</v>
      </c>
      <c r="T532" s="11" t="n">
        <f aca="false">S532-J532</f>
        <v>71.3067045454546</v>
      </c>
      <c r="U532" s="12" t="n">
        <f aca="false">IFERROR(S532/J532-1,0)</f>
        <v>0.555997696260854</v>
      </c>
      <c r="V532" s="2" t="str">
        <f aca="false">IF(S532&lt;J532,"SIM","NÃO")</f>
        <v>NÃO</v>
      </c>
      <c r="W532" s="2" t="n">
        <v>5</v>
      </c>
      <c r="X532" s="2" t="s">
        <v>156</v>
      </c>
    </row>
    <row r="533" customFormat="false" ht="15" hidden="false" customHeight="false" outlineLevel="0" collapsed="false">
      <c r="A533" s="2" t="n">
        <v>371302709</v>
      </c>
      <c r="B533" s="29" t="n">
        <v>46237.8618287037</v>
      </c>
      <c r="C533" s="2" t="s">
        <v>158</v>
      </c>
      <c r="D533" s="2" t="s">
        <v>716</v>
      </c>
      <c r="E533" s="2" t="s">
        <v>212</v>
      </c>
      <c r="F533" s="2" t="s">
        <v>109</v>
      </c>
      <c r="G533" s="30" t="n">
        <v>52.3</v>
      </c>
      <c r="H533" s="11" t="n">
        <v>642.07</v>
      </c>
      <c r="I533" s="11" t="s">
        <v>350</v>
      </c>
      <c r="J533" s="11" t="n">
        <v>141.74</v>
      </c>
      <c r="K533" s="11" t="n">
        <v>122.3</v>
      </c>
      <c r="L533" s="11" t="n">
        <v>0.6421</v>
      </c>
      <c r="M533" s="11" t="n">
        <v>1.2841</v>
      </c>
      <c r="N533" s="11" t="n">
        <v>1</v>
      </c>
      <c r="O533" s="11" t="n">
        <v>4.5</v>
      </c>
      <c r="P533" s="11" t="n">
        <v>3.18</v>
      </c>
      <c r="Q533" s="11" t="n">
        <v>23.85</v>
      </c>
      <c r="R533" s="11" t="n">
        <f aca="false">SUM(K533:Q533)</f>
        <v>156.7562</v>
      </c>
      <c r="S533" s="11" t="n">
        <f aca="false">R533/(1-Resumo!$C$6)</f>
        <v>178.132045454545</v>
      </c>
      <c r="T533" s="11" t="n">
        <f aca="false">S533-J533</f>
        <v>36.3920454545454</v>
      </c>
      <c r="U533" s="12" t="n">
        <f aca="false">IFERROR(S533/J533-1,0)</f>
        <v>0.256752119758328</v>
      </c>
      <c r="V533" s="2" t="str">
        <f aca="false">IF(S533&lt;J533,"SIM","NÃO")</f>
        <v>NÃO</v>
      </c>
      <c r="W533" s="2" t="n">
        <v>5</v>
      </c>
      <c r="X533" s="2" t="s">
        <v>161</v>
      </c>
    </row>
    <row r="534" customFormat="false" ht="15" hidden="false" customHeight="false" outlineLevel="0" collapsed="false">
      <c r="A534" s="2" t="n">
        <v>371324721</v>
      </c>
      <c r="B534" s="29" t="n">
        <v>46237.9004282407</v>
      </c>
      <c r="C534" s="2" t="s">
        <v>158</v>
      </c>
      <c r="D534" s="2" t="s">
        <v>717</v>
      </c>
      <c r="E534" s="2" t="s">
        <v>78</v>
      </c>
      <c r="F534" s="2" t="s">
        <v>106</v>
      </c>
      <c r="G534" s="30" t="n">
        <v>33</v>
      </c>
      <c r="H534" s="11" t="n">
        <v>468.7</v>
      </c>
      <c r="I534" s="11" t="s">
        <v>155</v>
      </c>
      <c r="J534" s="11" t="n">
        <v>82.58</v>
      </c>
      <c r="K534" s="11" t="n">
        <v>82.21</v>
      </c>
      <c r="L534" s="11" t="n">
        <v>0.4687</v>
      </c>
      <c r="M534" s="11" t="n">
        <v>0.9374</v>
      </c>
      <c r="N534" s="11" t="n">
        <v>1</v>
      </c>
      <c r="O534" s="11" t="n">
        <v>4.5</v>
      </c>
      <c r="P534" s="11" t="n">
        <v>1.98</v>
      </c>
      <c r="Q534" s="11" t="n">
        <v>14.85</v>
      </c>
      <c r="R534" s="11" t="n">
        <f aca="false">SUM(K534:Q534)</f>
        <v>105.9461</v>
      </c>
      <c r="S534" s="11" t="n">
        <f aca="false">R534/(1-Resumo!$C$6)</f>
        <v>120.393295454545</v>
      </c>
      <c r="T534" s="11" t="n">
        <f aca="false">S534-J534</f>
        <v>37.8132954545454</v>
      </c>
      <c r="U534" s="12" t="n">
        <f aca="false">IFERROR(S534/J534-1,0)</f>
        <v>0.457898951980449</v>
      </c>
      <c r="V534" s="2" t="str">
        <f aca="false">IF(S534&lt;J534,"SIM","NÃO")</f>
        <v>NÃO</v>
      </c>
      <c r="W534" s="2" t="n">
        <v>5</v>
      </c>
      <c r="X534" s="2" t="s">
        <v>156</v>
      </c>
    </row>
    <row r="535" customFormat="false" ht="15" hidden="false" customHeight="false" outlineLevel="0" collapsed="false">
      <c r="A535" s="2" t="n">
        <v>371329014</v>
      </c>
      <c r="B535" s="29" t="n">
        <v>46237.9092708333</v>
      </c>
      <c r="C535" s="2" t="s">
        <v>153</v>
      </c>
      <c r="D535" s="2" t="s">
        <v>718</v>
      </c>
      <c r="E535" s="2" t="s">
        <v>78</v>
      </c>
      <c r="F535" s="2" t="s">
        <v>109</v>
      </c>
      <c r="G535" s="30" t="n">
        <v>52.3</v>
      </c>
      <c r="H535" s="11" t="n">
        <v>699.99</v>
      </c>
      <c r="I535" s="11" t="s">
        <v>350</v>
      </c>
      <c r="J535" s="11" t="n">
        <v>113.63</v>
      </c>
      <c r="K535" s="11" t="n">
        <v>112.3</v>
      </c>
      <c r="L535" s="11" t="n">
        <v>0.7</v>
      </c>
      <c r="M535" s="11" t="n">
        <v>1.4</v>
      </c>
      <c r="N535" s="11" t="n">
        <v>1</v>
      </c>
      <c r="O535" s="11" t="n">
        <v>4.5</v>
      </c>
      <c r="P535" s="11" t="n">
        <v>3.18</v>
      </c>
      <c r="Q535" s="11" t="n">
        <v>23.85</v>
      </c>
      <c r="R535" s="11" t="n">
        <f aca="false">SUM(K535:Q535)</f>
        <v>146.93</v>
      </c>
      <c r="S535" s="11" t="n">
        <f aca="false">R535/(1-Resumo!$C$6)</f>
        <v>166.965909090909</v>
      </c>
      <c r="T535" s="11" t="n">
        <f aca="false">S535-J535</f>
        <v>53.3359090909091</v>
      </c>
      <c r="U535" s="12" t="n">
        <f aca="false">IFERROR(S535/J535-1,0)</f>
        <v>0.469382285407983</v>
      </c>
      <c r="V535" s="2" t="str">
        <f aca="false">IF(S535&lt;J535,"SIM","NÃO")</f>
        <v>NÃO</v>
      </c>
      <c r="W535" s="2" t="n">
        <v>5</v>
      </c>
      <c r="X535" s="2" t="s">
        <v>156</v>
      </c>
    </row>
    <row r="536" customFormat="false" ht="15" hidden="false" customHeight="false" outlineLevel="0" collapsed="false">
      <c r="A536" s="2" t="n">
        <v>371361784</v>
      </c>
      <c r="B536" s="29" t="n">
        <v>46237.9751388889</v>
      </c>
      <c r="C536" s="2" t="s">
        <v>153</v>
      </c>
      <c r="D536" s="2" t="s">
        <v>719</v>
      </c>
      <c r="E536" s="2" t="s">
        <v>79</v>
      </c>
      <c r="F536" s="2" t="s">
        <v>109</v>
      </c>
      <c r="G536" s="30" t="n">
        <v>52.3</v>
      </c>
      <c r="H536" s="11" t="n">
        <v>643.99</v>
      </c>
      <c r="I536" s="11" t="s">
        <v>350</v>
      </c>
      <c r="J536" s="11" t="n">
        <v>127.42</v>
      </c>
      <c r="K536" s="11" t="n">
        <v>128.14</v>
      </c>
      <c r="L536" s="11" t="n">
        <v>0.644</v>
      </c>
      <c r="M536" s="11" t="n">
        <v>1.288</v>
      </c>
      <c r="N536" s="11" t="n">
        <v>1</v>
      </c>
      <c r="O536" s="11" t="n">
        <v>4.5</v>
      </c>
      <c r="P536" s="11" t="n">
        <v>3.18</v>
      </c>
      <c r="Q536" s="11" t="n">
        <v>23.85</v>
      </c>
      <c r="R536" s="11" t="n">
        <f aca="false">SUM(K536:Q536)</f>
        <v>162.602</v>
      </c>
      <c r="S536" s="11" t="n">
        <f aca="false">R536/(1-Resumo!$C$6)</f>
        <v>184.775</v>
      </c>
      <c r="T536" s="11" t="n">
        <f aca="false">S536-J536</f>
        <v>57.355</v>
      </c>
      <c r="U536" s="12" t="n">
        <f aca="false">IFERROR(S536/J536-1,0)</f>
        <v>0.450125568984461</v>
      </c>
      <c r="V536" s="2" t="str">
        <f aca="false">IF(S536&lt;J536,"SIM","NÃO")</f>
        <v>NÃO</v>
      </c>
      <c r="W536" s="2" t="n">
        <v>7</v>
      </c>
      <c r="X536" s="2" t="s">
        <v>156</v>
      </c>
    </row>
    <row r="537" customFormat="false" ht="15" hidden="false" customHeight="false" outlineLevel="0" collapsed="false">
      <c r="A537" s="2" t="n">
        <v>371474981</v>
      </c>
      <c r="B537" s="29" t="n">
        <v>46238.2448032407</v>
      </c>
      <c r="C537" s="2" t="s">
        <v>191</v>
      </c>
      <c r="D537" s="2" t="s">
        <v>720</v>
      </c>
      <c r="E537" s="2" t="s">
        <v>80</v>
      </c>
      <c r="F537" s="2" t="s">
        <v>109</v>
      </c>
      <c r="G537" s="30" t="n">
        <v>60</v>
      </c>
      <c r="H537" s="11" t="n">
        <v>735.99</v>
      </c>
      <c r="I537" s="11" t="s">
        <v>155</v>
      </c>
      <c r="J537" s="11" t="n">
        <v>128.81</v>
      </c>
      <c r="K537" s="11" t="n">
        <v>112.3</v>
      </c>
      <c r="L537" s="11" t="n">
        <v>0.736</v>
      </c>
      <c r="M537" s="11" t="n">
        <v>1.472</v>
      </c>
      <c r="N537" s="11" t="n">
        <v>1</v>
      </c>
      <c r="O537" s="11" t="n">
        <v>4.5</v>
      </c>
      <c r="P537" s="11" t="n">
        <v>3.6</v>
      </c>
      <c r="Q537" s="11" t="n">
        <v>27</v>
      </c>
      <c r="R537" s="11" t="n">
        <f aca="false">SUM(K537:Q537)</f>
        <v>150.608</v>
      </c>
      <c r="S537" s="11" t="n">
        <f aca="false">R537/(1-Resumo!$C$6)</f>
        <v>171.145454545455</v>
      </c>
      <c r="T537" s="11" t="n">
        <f aca="false">S537-J537</f>
        <v>42.3354545454546</v>
      </c>
      <c r="U537" s="12" t="n">
        <f aca="false">IFERROR(S537/J537-1,0)</f>
        <v>0.328665899739574</v>
      </c>
      <c r="V537" s="2" t="str">
        <f aca="false">IF(S537&lt;J537,"SIM","NÃO")</f>
        <v>NÃO</v>
      </c>
      <c r="W537" s="2" t="n">
        <v>5</v>
      </c>
      <c r="X537" s="2" t="s">
        <v>156</v>
      </c>
    </row>
    <row r="538" customFormat="false" ht="15" hidden="false" customHeight="false" outlineLevel="0" collapsed="false">
      <c r="A538" s="2" t="n">
        <v>371483802</v>
      </c>
      <c r="B538" s="29" t="n">
        <v>46238.2739814815</v>
      </c>
      <c r="C538" s="2" t="s">
        <v>158</v>
      </c>
      <c r="D538" s="2" t="s">
        <v>721</v>
      </c>
      <c r="E538" s="2" t="s">
        <v>78</v>
      </c>
      <c r="F538" s="2" t="s">
        <v>109</v>
      </c>
      <c r="G538" s="30" t="n">
        <v>52.3</v>
      </c>
      <c r="H538" s="11" t="n">
        <v>642.07</v>
      </c>
      <c r="I538" s="11" t="s">
        <v>350</v>
      </c>
      <c r="J538" s="11" t="n">
        <v>113.35</v>
      </c>
      <c r="K538" s="11" t="n">
        <v>112.3</v>
      </c>
      <c r="L538" s="11" t="n">
        <v>0.6421</v>
      </c>
      <c r="M538" s="11" t="n">
        <v>1.2841</v>
      </c>
      <c r="N538" s="11" t="n">
        <v>1</v>
      </c>
      <c r="O538" s="11" t="n">
        <v>4.5</v>
      </c>
      <c r="P538" s="11" t="n">
        <v>3.18</v>
      </c>
      <c r="Q538" s="11" t="n">
        <v>23.85</v>
      </c>
      <c r="R538" s="11" t="n">
        <f aca="false">SUM(K538:Q538)</f>
        <v>146.7562</v>
      </c>
      <c r="S538" s="11" t="n">
        <f aca="false">R538/(1-Resumo!$C$6)</f>
        <v>166.768409090909</v>
      </c>
      <c r="T538" s="11" t="n">
        <f aca="false">S538-J538</f>
        <v>53.4184090909091</v>
      </c>
      <c r="U538" s="12" t="n">
        <f aca="false">IFERROR(S538/J538-1,0)</f>
        <v>0.471269599390464</v>
      </c>
      <c r="V538" s="2" t="str">
        <f aca="false">IF(S538&lt;J538,"SIM","NÃO")</f>
        <v>NÃO</v>
      </c>
      <c r="W538" s="2" t="n">
        <v>5</v>
      </c>
      <c r="X538" s="2" t="s">
        <v>156</v>
      </c>
    </row>
    <row r="539" customFormat="false" ht="15" hidden="false" customHeight="false" outlineLevel="0" collapsed="false">
      <c r="A539" s="2" t="n">
        <v>371498352</v>
      </c>
      <c r="B539" s="29" t="n">
        <v>46238.3229398148</v>
      </c>
      <c r="C539" s="2" t="s">
        <v>153</v>
      </c>
      <c r="D539" s="2" t="s">
        <v>722</v>
      </c>
      <c r="E539" s="2" t="s">
        <v>86</v>
      </c>
      <c r="F539" s="2" t="s">
        <v>106</v>
      </c>
      <c r="G539" s="30" t="n">
        <v>20.9</v>
      </c>
      <c r="H539" s="11" t="n">
        <v>449.99</v>
      </c>
      <c r="I539" s="11" t="s">
        <v>205</v>
      </c>
      <c r="J539" s="11" t="n">
        <v>86.32</v>
      </c>
      <c r="K539" s="11" t="n">
        <v>82.21</v>
      </c>
      <c r="L539" s="11" t="n">
        <v>0.45</v>
      </c>
      <c r="M539" s="11" t="n">
        <v>0.9</v>
      </c>
      <c r="N539" s="11" t="n">
        <v>1</v>
      </c>
      <c r="O539" s="11" t="n">
        <v>4.5</v>
      </c>
      <c r="P539" s="11" t="n">
        <v>1.26</v>
      </c>
      <c r="Q539" s="11" t="n">
        <v>9.45</v>
      </c>
      <c r="R539" s="11" t="n">
        <f aca="false">SUM(K539:Q539)</f>
        <v>99.77</v>
      </c>
      <c r="S539" s="11" t="n">
        <f aca="false">R539/(1-Resumo!$C$6)</f>
        <v>113.375</v>
      </c>
      <c r="T539" s="11" t="n">
        <f aca="false">S539-J539</f>
        <v>27.055</v>
      </c>
      <c r="U539" s="12" t="n">
        <f aca="false">IFERROR(S539/J539-1,0)</f>
        <v>0.313426784059314</v>
      </c>
      <c r="V539" s="2" t="str">
        <f aca="false">IF(S539&lt;J539,"SIM","NÃO")</f>
        <v>NÃO</v>
      </c>
      <c r="W539" s="2" t="n">
        <v>5</v>
      </c>
      <c r="X539" s="2" t="s">
        <v>156</v>
      </c>
    </row>
    <row r="540" customFormat="false" ht="15" hidden="false" customHeight="false" outlineLevel="0" collapsed="false">
      <c r="A540" s="2" t="n">
        <v>371506688</v>
      </c>
      <c r="B540" s="29" t="n">
        <v>46238.3471064815</v>
      </c>
      <c r="C540" s="2" t="s">
        <v>153</v>
      </c>
      <c r="D540" s="2" t="s">
        <v>723</v>
      </c>
      <c r="E540" s="2" t="s">
        <v>86</v>
      </c>
      <c r="F540" s="2" t="s">
        <v>106</v>
      </c>
      <c r="G540" s="30" t="n">
        <v>20.9</v>
      </c>
      <c r="H540" s="11" t="n">
        <v>487.59</v>
      </c>
      <c r="I540" s="11" t="s">
        <v>205</v>
      </c>
      <c r="J540" s="11" t="n">
        <v>87.51</v>
      </c>
      <c r="K540" s="11" t="n">
        <v>82.21</v>
      </c>
      <c r="L540" s="11" t="n">
        <v>0.4876</v>
      </c>
      <c r="M540" s="11" t="n">
        <v>0.9752</v>
      </c>
      <c r="N540" s="11" t="n">
        <v>1</v>
      </c>
      <c r="O540" s="11" t="n">
        <v>4.5</v>
      </c>
      <c r="P540" s="11" t="n">
        <v>1.26</v>
      </c>
      <c r="Q540" s="11" t="n">
        <v>9.45</v>
      </c>
      <c r="R540" s="11" t="n">
        <f aca="false">SUM(K540:Q540)</f>
        <v>99.8828</v>
      </c>
      <c r="S540" s="11" t="n">
        <f aca="false">R540/(1-Resumo!$C$6)</f>
        <v>113.503181818182</v>
      </c>
      <c r="T540" s="11" t="n">
        <f aca="false">S540-J540</f>
        <v>25.9931818181818</v>
      </c>
      <c r="U540" s="12" t="n">
        <f aca="false">IFERROR(S540/J540-1,0)</f>
        <v>0.29703098866623</v>
      </c>
      <c r="V540" s="2" t="str">
        <f aca="false">IF(S540&lt;J540,"SIM","NÃO")</f>
        <v>NÃO</v>
      </c>
      <c r="W540" s="2" t="n">
        <v>5</v>
      </c>
      <c r="X540" s="2" t="s">
        <v>156</v>
      </c>
    </row>
    <row r="541" customFormat="false" ht="15" hidden="false" customHeight="false" outlineLevel="0" collapsed="false">
      <c r="A541" s="2" t="n">
        <v>371531873</v>
      </c>
      <c r="B541" s="29" t="n">
        <v>46238.4060300926</v>
      </c>
      <c r="C541" s="2" t="s">
        <v>153</v>
      </c>
      <c r="D541" s="2" t="s">
        <v>724</v>
      </c>
      <c r="E541" s="2" t="s">
        <v>412</v>
      </c>
      <c r="F541" s="2" t="s">
        <v>107</v>
      </c>
      <c r="G541" s="30" t="n">
        <v>36.9</v>
      </c>
      <c r="H541" s="11" t="n">
        <v>419.99</v>
      </c>
      <c r="I541" s="11" t="s">
        <v>350</v>
      </c>
      <c r="J541" s="11" t="n">
        <v>122.7</v>
      </c>
      <c r="K541" s="11" t="n">
        <v>124.38</v>
      </c>
      <c r="L541" s="11" t="n">
        <v>0.42</v>
      </c>
      <c r="M541" s="11" t="n">
        <v>0.84</v>
      </c>
      <c r="N541" s="11" t="n">
        <v>1</v>
      </c>
      <c r="O541" s="11" t="n">
        <v>4.5</v>
      </c>
      <c r="P541" s="11" t="n">
        <v>2.22</v>
      </c>
      <c r="Q541" s="11" t="n">
        <v>16.65</v>
      </c>
      <c r="R541" s="11" t="n">
        <f aca="false">SUM(K541:Q541)</f>
        <v>150.01</v>
      </c>
      <c r="S541" s="11" t="n">
        <f aca="false">R541/(1-Resumo!$C$6)</f>
        <v>170.465909090909</v>
      </c>
      <c r="T541" s="11" t="n">
        <f aca="false">S541-J541</f>
        <v>47.7659090909091</v>
      </c>
      <c r="U541" s="12" t="n">
        <f aca="false">IFERROR(S541/J541-1,0)</f>
        <v>0.389290212639846</v>
      </c>
      <c r="V541" s="2" t="str">
        <f aca="false">IF(S541&lt;J541,"SIM","NÃO")</f>
        <v>NÃO</v>
      </c>
      <c r="W541" s="2" t="n">
        <v>10</v>
      </c>
      <c r="X541" s="2" t="s">
        <v>161</v>
      </c>
    </row>
    <row r="542" customFormat="false" ht="15" hidden="false" customHeight="false" outlineLevel="0" collapsed="false">
      <c r="A542" s="2" t="n">
        <v>371531925</v>
      </c>
      <c r="B542" s="29" t="n">
        <v>46238.4079398148</v>
      </c>
      <c r="C542" s="2" t="s">
        <v>191</v>
      </c>
      <c r="D542" s="2" t="s">
        <v>725</v>
      </c>
      <c r="E542" s="2" t="s">
        <v>86</v>
      </c>
      <c r="F542" s="2" t="s">
        <v>113</v>
      </c>
      <c r="G542" s="30" t="n">
        <v>117</v>
      </c>
      <c r="H542" s="11" t="n">
        <v>1147.49</v>
      </c>
      <c r="I542" s="11" t="s">
        <v>350</v>
      </c>
      <c r="J542" s="11" t="n">
        <v>198.16</v>
      </c>
      <c r="K542" s="11" t="n">
        <v>201.59</v>
      </c>
      <c r="L542" s="11" t="n">
        <v>1.1475</v>
      </c>
      <c r="M542" s="11" t="n">
        <v>2.295</v>
      </c>
      <c r="N542" s="11" t="n">
        <v>1</v>
      </c>
      <c r="O542" s="11" t="n">
        <v>9</v>
      </c>
      <c r="P542" s="11" t="n">
        <v>7.02</v>
      </c>
      <c r="Q542" s="11" t="n">
        <v>52.65</v>
      </c>
      <c r="R542" s="11" t="n">
        <f aca="false">SUM(K542:Q542)</f>
        <v>274.7025</v>
      </c>
      <c r="S542" s="11" t="n">
        <f aca="false">R542/(1-Resumo!$C$6)</f>
        <v>312.161931818182</v>
      </c>
      <c r="T542" s="11" t="n">
        <f aca="false">S542-J542</f>
        <v>114.001931818182</v>
      </c>
      <c r="U542" s="12" t="n">
        <f aca="false">IFERROR(S542/J542-1,0)</f>
        <v>0.575302441553198</v>
      </c>
      <c r="V542" s="2" t="str">
        <f aca="false">IF(S542&lt;J542,"SIM","NÃO")</f>
        <v>NÃO</v>
      </c>
      <c r="W542" s="2" t="n">
        <v>5</v>
      </c>
      <c r="X542" s="2" t="s">
        <v>156</v>
      </c>
    </row>
    <row r="543" customFormat="false" ht="15" hidden="false" customHeight="false" outlineLevel="0" collapsed="false">
      <c r="A543" s="2" t="n">
        <v>371535419</v>
      </c>
      <c r="B543" s="29" t="n">
        <v>46238.4137384259</v>
      </c>
      <c r="C543" s="2" t="s">
        <v>158</v>
      </c>
      <c r="D543" s="2" t="s">
        <v>726</v>
      </c>
      <c r="E543" s="2" t="s">
        <v>91</v>
      </c>
      <c r="F543" s="2" t="s">
        <v>109</v>
      </c>
      <c r="G543" s="30" t="n">
        <v>57</v>
      </c>
      <c r="H543" s="11" t="n">
        <v>1551.59</v>
      </c>
      <c r="I543" s="11" t="s">
        <v>350</v>
      </c>
      <c r="J543" s="11" t="n">
        <v>148.13</v>
      </c>
      <c r="K543" s="11" t="n">
        <v>142.32</v>
      </c>
      <c r="L543" s="11" t="n">
        <v>1.5516</v>
      </c>
      <c r="M543" s="11" t="n">
        <v>3.1032</v>
      </c>
      <c r="N543" s="11" t="n">
        <v>1</v>
      </c>
      <c r="O543" s="11" t="n">
        <v>4.5</v>
      </c>
      <c r="P543" s="11" t="n">
        <v>3.42</v>
      </c>
      <c r="Q543" s="11" t="n">
        <v>25.65</v>
      </c>
      <c r="R543" s="11" t="n">
        <f aca="false">SUM(K543:Q543)</f>
        <v>181.5448</v>
      </c>
      <c r="S543" s="11" t="n">
        <f aca="false">R543/(1-Resumo!$C$6)</f>
        <v>206.300909090909</v>
      </c>
      <c r="T543" s="11" t="n">
        <f aca="false">S543-J543</f>
        <v>58.1709090909091</v>
      </c>
      <c r="U543" s="12" t="n">
        <f aca="false">IFERROR(S543/J543-1,0)</f>
        <v>0.392701742327072</v>
      </c>
      <c r="V543" s="2" t="str">
        <f aca="false">IF(S543&lt;J543,"SIM","NÃO")</f>
        <v>NÃO</v>
      </c>
      <c r="W543" s="2" t="n">
        <v>10</v>
      </c>
      <c r="X543" s="2" t="s">
        <v>156</v>
      </c>
    </row>
    <row r="544" customFormat="false" ht="15" hidden="false" customHeight="false" outlineLevel="0" collapsed="false">
      <c r="A544" s="2" t="n">
        <v>371557433</v>
      </c>
      <c r="B544" s="29" t="n">
        <v>46238.4571527778</v>
      </c>
      <c r="C544" s="2" t="s">
        <v>153</v>
      </c>
      <c r="D544" s="2" t="s">
        <v>727</v>
      </c>
      <c r="E544" s="2" t="s">
        <v>84</v>
      </c>
      <c r="F544" s="2" t="s">
        <v>109</v>
      </c>
      <c r="G544" s="30" t="n">
        <v>51.3</v>
      </c>
      <c r="H544" s="11" t="n">
        <v>629.99</v>
      </c>
      <c r="I544" s="11" t="s">
        <v>350</v>
      </c>
      <c r="J544" s="11" t="n">
        <v>126.84</v>
      </c>
      <c r="K544" s="11" t="n">
        <v>112.3</v>
      </c>
      <c r="L544" s="11" t="n">
        <v>0.63</v>
      </c>
      <c r="M544" s="11" t="n">
        <v>1.26</v>
      </c>
      <c r="N544" s="11" t="n">
        <v>1</v>
      </c>
      <c r="O544" s="11" t="n">
        <v>4.5</v>
      </c>
      <c r="P544" s="11" t="n">
        <v>3.12</v>
      </c>
      <c r="Q544" s="11" t="n">
        <v>23.4</v>
      </c>
      <c r="R544" s="11" t="n">
        <f aca="false">SUM(K544:Q544)</f>
        <v>146.21</v>
      </c>
      <c r="S544" s="11" t="n">
        <f aca="false">R544/(1-Resumo!$C$6)</f>
        <v>166.147727272727</v>
      </c>
      <c r="T544" s="11" t="n">
        <f aca="false">S544-J544</f>
        <v>39.3077272727273</v>
      </c>
      <c r="U544" s="12" t="n">
        <f aca="false">IFERROR(S544/J544-1,0)</f>
        <v>0.309900088873599</v>
      </c>
      <c r="V544" s="2" t="str">
        <f aca="false">IF(S544&lt;J544,"SIM","NÃO")</f>
        <v>NÃO</v>
      </c>
      <c r="W544" s="2" t="n">
        <v>5</v>
      </c>
      <c r="X544" s="2" t="s">
        <v>156</v>
      </c>
    </row>
    <row r="545" customFormat="false" ht="15" hidden="false" customHeight="false" outlineLevel="0" collapsed="false">
      <c r="A545" s="2" t="n">
        <v>371568970</v>
      </c>
      <c r="B545" s="29" t="n">
        <v>46238.4801736111</v>
      </c>
      <c r="C545" s="2" t="s">
        <v>153</v>
      </c>
      <c r="D545" s="2" t="s">
        <v>728</v>
      </c>
      <c r="E545" s="2" t="s">
        <v>78</v>
      </c>
      <c r="F545" s="2" t="s">
        <v>105</v>
      </c>
      <c r="G545" s="30" t="n">
        <v>17</v>
      </c>
      <c r="H545" s="11" t="n">
        <v>225.99</v>
      </c>
      <c r="I545" s="11" t="s">
        <v>155</v>
      </c>
      <c r="J545" s="11" t="n">
        <v>64.3</v>
      </c>
      <c r="K545" s="11" t="n">
        <v>46.98</v>
      </c>
      <c r="L545" s="11" t="n">
        <v>0.226</v>
      </c>
      <c r="M545" s="11" t="n">
        <v>0.452</v>
      </c>
      <c r="N545" s="11" t="n">
        <v>1</v>
      </c>
      <c r="O545" s="11" t="n">
        <v>4.5</v>
      </c>
      <c r="P545" s="11" t="n">
        <v>1.02</v>
      </c>
      <c r="Q545" s="11" t="n">
        <v>7.65</v>
      </c>
      <c r="R545" s="11" t="n">
        <f aca="false">SUM(K545:Q545)</f>
        <v>61.828</v>
      </c>
      <c r="S545" s="11" t="n">
        <f aca="false">R545/(1-Resumo!$C$6)</f>
        <v>70.2590909090909</v>
      </c>
      <c r="T545" s="11" t="n">
        <f aca="false">S545-J545</f>
        <v>5.9590909090909</v>
      </c>
      <c r="U545" s="12" t="n">
        <f aca="false">IFERROR(S545/J545-1,0)</f>
        <v>0.0926763749469814</v>
      </c>
      <c r="V545" s="2" t="str">
        <f aca="false">IF(S545&lt;J545,"SIM","NÃO")</f>
        <v>NÃO</v>
      </c>
      <c r="W545" s="2" t="n">
        <v>5</v>
      </c>
      <c r="X545" s="2" t="s">
        <v>156</v>
      </c>
    </row>
    <row r="546" customFormat="false" ht="15" hidden="false" customHeight="false" outlineLevel="0" collapsed="false">
      <c r="A546" s="2" t="n">
        <v>371576838</v>
      </c>
      <c r="B546" s="29" t="n">
        <v>46238.4969675926</v>
      </c>
      <c r="C546" s="2" t="s">
        <v>153</v>
      </c>
      <c r="D546" s="2" t="s">
        <v>729</v>
      </c>
      <c r="E546" s="2" t="s">
        <v>89</v>
      </c>
      <c r="F546" s="2" t="s">
        <v>109</v>
      </c>
      <c r="G546" s="30" t="n">
        <v>52.3</v>
      </c>
      <c r="H546" s="11" t="n">
        <v>669.99</v>
      </c>
      <c r="I546" s="11" t="s">
        <v>350</v>
      </c>
      <c r="J546" s="11" t="n">
        <v>141.88</v>
      </c>
      <c r="K546" s="11" t="n">
        <v>142.32</v>
      </c>
      <c r="L546" s="11" t="n">
        <v>0.67</v>
      </c>
      <c r="M546" s="11" t="n">
        <v>1.34</v>
      </c>
      <c r="N546" s="11" t="n">
        <v>1</v>
      </c>
      <c r="O546" s="11" t="n">
        <v>4.5</v>
      </c>
      <c r="P546" s="11" t="n">
        <v>3.18</v>
      </c>
      <c r="Q546" s="11" t="n">
        <v>23.85</v>
      </c>
      <c r="R546" s="11" t="n">
        <f aca="false">SUM(K546:Q546)</f>
        <v>176.86</v>
      </c>
      <c r="S546" s="11" t="n">
        <f aca="false">R546/(1-Resumo!$C$6)</f>
        <v>200.977272727273</v>
      </c>
      <c r="T546" s="11" t="n">
        <f aca="false">S546-J546</f>
        <v>59.0972727272727</v>
      </c>
      <c r="U546" s="12" t="n">
        <f aca="false">IFERROR(S546/J546-1,0)</f>
        <v>0.416529974113848</v>
      </c>
      <c r="V546" s="2" t="str">
        <f aca="false">IF(S546&lt;J546,"SIM","NÃO")</f>
        <v>NÃO</v>
      </c>
      <c r="W546" s="2" t="n">
        <v>8</v>
      </c>
      <c r="X546" s="2" t="s">
        <v>156</v>
      </c>
    </row>
    <row r="547" customFormat="false" ht="15" hidden="false" customHeight="false" outlineLevel="0" collapsed="false">
      <c r="A547" s="2" t="n">
        <v>371585940</v>
      </c>
      <c r="B547" s="29" t="n">
        <v>46238.5165625</v>
      </c>
      <c r="C547" s="2" t="s">
        <v>158</v>
      </c>
      <c r="D547" s="2" t="s">
        <v>730</v>
      </c>
      <c r="E547" s="2" t="s">
        <v>78</v>
      </c>
      <c r="F547" s="2" t="s">
        <v>108</v>
      </c>
      <c r="G547" s="30" t="n">
        <v>48.6</v>
      </c>
      <c r="H547" s="11" t="n">
        <v>629.99</v>
      </c>
      <c r="I547" s="11" t="s">
        <v>155</v>
      </c>
      <c r="J547" s="11" t="n">
        <v>103.6</v>
      </c>
      <c r="K547" s="11" t="n">
        <v>93.97</v>
      </c>
      <c r="L547" s="11" t="n">
        <v>0.63</v>
      </c>
      <c r="M547" s="11" t="n">
        <v>1.26</v>
      </c>
      <c r="N547" s="11" t="n">
        <v>1</v>
      </c>
      <c r="O547" s="11" t="n">
        <v>4.5</v>
      </c>
      <c r="P547" s="11" t="n">
        <v>2.94</v>
      </c>
      <c r="Q547" s="11" t="n">
        <v>22.05</v>
      </c>
      <c r="R547" s="11" t="n">
        <f aca="false">SUM(K547:Q547)</f>
        <v>126.35</v>
      </c>
      <c r="S547" s="11" t="n">
        <f aca="false">R547/(1-Resumo!$C$6)</f>
        <v>143.579545454545</v>
      </c>
      <c r="T547" s="11" t="n">
        <f aca="false">S547-J547</f>
        <v>39.9795454545454</v>
      </c>
      <c r="U547" s="12" t="n">
        <f aca="false">IFERROR(S547/J547-1,0)</f>
        <v>0.385902948402948</v>
      </c>
      <c r="V547" s="2" t="str">
        <f aca="false">IF(S547&lt;J547,"SIM","NÃO")</f>
        <v>NÃO</v>
      </c>
      <c r="W547" s="2" t="n">
        <v>5</v>
      </c>
      <c r="X547" s="2" t="s">
        <v>156</v>
      </c>
    </row>
    <row r="548" customFormat="false" ht="15" hidden="false" customHeight="false" outlineLevel="0" collapsed="false">
      <c r="A548" s="2" t="n">
        <v>371587193</v>
      </c>
      <c r="B548" s="29" t="n">
        <v>46238.5190393519</v>
      </c>
      <c r="C548" s="2" t="s">
        <v>153</v>
      </c>
      <c r="D548" s="2" t="s">
        <v>731</v>
      </c>
      <c r="E548" s="2" t="s">
        <v>80</v>
      </c>
      <c r="F548" s="2" t="s">
        <v>110</v>
      </c>
      <c r="G548" s="30" t="n">
        <v>63.9</v>
      </c>
      <c r="H548" s="11" t="n">
        <v>735.99</v>
      </c>
      <c r="I548" s="11" t="s">
        <v>155</v>
      </c>
      <c r="J548" s="11" t="n">
        <v>139.95</v>
      </c>
      <c r="K548" s="11" t="n">
        <v>131.02</v>
      </c>
      <c r="L548" s="11" t="n">
        <v>0.736</v>
      </c>
      <c r="M548" s="11" t="n">
        <v>1.472</v>
      </c>
      <c r="N548" s="11" t="n">
        <v>1</v>
      </c>
      <c r="O548" s="11" t="n">
        <v>4.5</v>
      </c>
      <c r="P548" s="11" t="n">
        <v>3.84</v>
      </c>
      <c r="Q548" s="11" t="n">
        <v>28.8</v>
      </c>
      <c r="R548" s="11" t="n">
        <f aca="false">SUM(K548:Q548)</f>
        <v>171.368</v>
      </c>
      <c r="S548" s="11" t="n">
        <f aca="false">R548/(1-Resumo!$C$6)</f>
        <v>194.736363636364</v>
      </c>
      <c r="T548" s="11" t="n">
        <f aca="false">S548-J548</f>
        <v>54.7863636363637</v>
      </c>
      <c r="U548" s="12" t="n">
        <f aca="false">IFERROR(S548/J548-1,0)</f>
        <v>0.391470979895417</v>
      </c>
      <c r="V548" s="2" t="str">
        <f aca="false">IF(S548&lt;J548,"SIM","NÃO")</f>
        <v>NÃO</v>
      </c>
      <c r="W548" s="2" t="n">
        <v>5</v>
      </c>
      <c r="X548" s="2" t="s">
        <v>156</v>
      </c>
    </row>
    <row r="549" customFormat="false" ht="15" hidden="false" customHeight="false" outlineLevel="0" collapsed="false">
      <c r="A549" s="2" t="n">
        <v>371588500</v>
      </c>
      <c r="B549" s="29" t="n">
        <v>46238.5222453704</v>
      </c>
      <c r="C549" s="2" t="s">
        <v>153</v>
      </c>
      <c r="D549" s="2" t="s">
        <v>732</v>
      </c>
      <c r="E549" s="2" t="s">
        <v>212</v>
      </c>
      <c r="F549" s="2" t="s">
        <v>109</v>
      </c>
      <c r="G549" s="30" t="n">
        <v>58.05</v>
      </c>
      <c r="H549" s="11" t="n">
        <v>799.99</v>
      </c>
      <c r="I549" s="11" t="s">
        <v>350</v>
      </c>
      <c r="J549" s="11" t="n">
        <v>145.56</v>
      </c>
      <c r="K549" s="11" t="n">
        <v>122.3</v>
      </c>
      <c r="L549" s="11" t="n">
        <v>0.8</v>
      </c>
      <c r="M549" s="11" t="n">
        <v>1.6</v>
      </c>
      <c r="N549" s="11" t="n">
        <v>1</v>
      </c>
      <c r="O549" s="11" t="n">
        <v>4.5</v>
      </c>
      <c r="P549" s="11" t="n">
        <v>3.54</v>
      </c>
      <c r="Q549" s="11" t="n">
        <v>26.55</v>
      </c>
      <c r="R549" s="11" t="n">
        <f aca="false">SUM(K549:Q549)</f>
        <v>160.29</v>
      </c>
      <c r="S549" s="11" t="n">
        <f aca="false">R549/(1-Resumo!$C$6)</f>
        <v>182.147727272727</v>
      </c>
      <c r="T549" s="11" t="n">
        <f aca="false">S549-J549</f>
        <v>36.5877272727273</v>
      </c>
      <c r="U549" s="12" t="n">
        <f aca="false">IFERROR(S549/J549-1,0)</f>
        <v>0.251358390167129</v>
      </c>
      <c r="V549" s="2" t="str">
        <f aca="false">IF(S549&lt;J549,"SIM","NÃO")</f>
        <v>NÃO</v>
      </c>
      <c r="W549" s="2" t="n">
        <v>5</v>
      </c>
      <c r="X549" s="2" t="s">
        <v>161</v>
      </c>
    </row>
    <row r="550" customFormat="false" ht="15" hidden="false" customHeight="false" outlineLevel="0" collapsed="false">
      <c r="A550" s="2" t="n">
        <v>371589090</v>
      </c>
      <c r="B550" s="29" t="n">
        <v>46238.5233796296</v>
      </c>
      <c r="C550" s="2" t="s">
        <v>153</v>
      </c>
      <c r="D550" s="2" t="s">
        <v>396</v>
      </c>
      <c r="E550" s="2" t="s">
        <v>260</v>
      </c>
      <c r="F550" s="2" t="s">
        <v>106</v>
      </c>
      <c r="G550" s="30" t="n">
        <v>20.9</v>
      </c>
      <c r="H550" s="11" t="n">
        <v>487.59</v>
      </c>
      <c r="I550" s="11" t="s">
        <v>350</v>
      </c>
      <c r="J550" s="11" t="n">
        <v>104.23</v>
      </c>
      <c r="K550" s="11" t="n">
        <v>120.78</v>
      </c>
      <c r="L550" s="11" t="n">
        <v>0.4876</v>
      </c>
      <c r="M550" s="11" t="n">
        <v>0.9752</v>
      </c>
      <c r="N550" s="11" t="n">
        <v>1</v>
      </c>
      <c r="O550" s="11" t="n">
        <v>4.5</v>
      </c>
      <c r="P550" s="11" t="n">
        <v>1.26</v>
      </c>
      <c r="Q550" s="11" t="n">
        <v>9.45</v>
      </c>
      <c r="R550" s="11" t="n">
        <f aca="false">SUM(K550:Q550)</f>
        <v>138.4528</v>
      </c>
      <c r="S550" s="11" t="n">
        <f aca="false">R550/(1-Resumo!$C$6)</f>
        <v>157.332727272727</v>
      </c>
      <c r="T550" s="11" t="n">
        <f aca="false">S550-J550</f>
        <v>53.1027272727273</v>
      </c>
      <c r="U550" s="12" t="n">
        <f aca="false">IFERROR(S550/J550-1,0)</f>
        <v>0.509476420154728</v>
      </c>
      <c r="V550" s="2" t="str">
        <f aca="false">IF(S550&lt;J550,"SIM","NÃO")</f>
        <v>NÃO</v>
      </c>
      <c r="W550" s="2" t="n">
        <v>10</v>
      </c>
      <c r="X550" s="2" t="s">
        <v>161</v>
      </c>
    </row>
    <row r="551" customFormat="false" ht="15" hidden="false" customHeight="false" outlineLevel="0" collapsed="false">
      <c r="A551" s="2" t="n">
        <v>371599243</v>
      </c>
      <c r="B551" s="29" t="n">
        <v>46238.5464351852</v>
      </c>
      <c r="C551" s="2" t="s">
        <v>191</v>
      </c>
      <c r="D551" s="2" t="s">
        <v>733</v>
      </c>
      <c r="E551" s="2" t="s">
        <v>79</v>
      </c>
      <c r="F551" s="2" t="s">
        <v>111</v>
      </c>
      <c r="G551" s="30" t="n">
        <v>79.55</v>
      </c>
      <c r="H551" s="11" t="n">
        <v>1069.99</v>
      </c>
      <c r="I551" s="11" t="s">
        <v>350</v>
      </c>
      <c r="J551" s="11" t="n">
        <v>156.34</v>
      </c>
      <c r="K551" s="11" t="n">
        <v>142.74</v>
      </c>
      <c r="L551" s="11" t="n">
        <v>1.07</v>
      </c>
      <c r="M551" s="11" t="n">
        <v>2.14</v>
      </c>
      <c r="N551" s="11" t="n">
        <v>1</v>
      </c>
      <c r="O551" s="11" t="n">
        <v>4.5</v>
      </c>
      <c r="P551" s="11" t="n">
        <v>4.8</v>
      </c>
      <c r="Q551" s="11" t="n">
        <v>36</v>
      </c>
      <c r="R551" s="11" t="n">
        <f aca="false">SUM(K551:Q551)</f>
        <v>192.25</v>
      </c>
      <c r="S551" s="11" t="n">
        <f aca="false">R551/(1-Resumo!$C$6)</f>
        <v>218.465909090909</v>
      </c>
      <c r="T551" s="11" t="n">
        <f aca="false">S551-J551</f>
        <v>62.1259090909091</v>
      </c>
      <c r="U551" s="12" t="n">
        <f aca="false">IFERROR(S551/J551-1,0)</f>
        <v>0.397376929070673</v>
      </c>
      <c r="V551" s="2" t="str">
        <f aca="false">IF(S551&lt;J551,"SIM","NÃO")</f>
        <v>NÃO</v>
      </c>
      <c r="W551" s="2" t="n">
        <v>7</v>
      </c>
      <c r="X551" s="2" t="s">
        <v>156</v>
      </c>
    </row>
    <row r="552" customFormat="false" ht="15" hidden="false" customHeight="false" outlineLevel="0" collapsed="false">
      <c r="A552" s="2" t="n">
        <v>371602758</v>
      </c>
      <c r="B552" s="29" t="n">
        <v>46238.5513773148</v>
      </c>
      <c r="C552" s="2" t="s">
        <v>153</v>
      </c>
      <c r="D552" s="2" t="s">
        <v>734</v>
      </c>
      <c r="E552" s="2" t="s">
        <v>80</v>
      </c>
      <c r="F552" s="2" t="s">
        <v>107</v>
      </c>
      <c r="G552" s="30" t="n">
        <v>39</v>
      </c>
      <c r="H552" s="11" t="n">
        <v>496.79</v>
      </c>
      <c r="I552" s="11" t="s">
        <v>155</v>
      </c>
      <c r="J552" s="11" t="n">
        <v>113.33</v>
      </c>
      <c r="K552" s="11" t="n">
        <v>93.97</v>
      </c>
      <c r="L552" s="11" t="n">
        <v>0.4968</v>
      </c>
      <c r="M552" s="11" t="n">
        <v>0.9936</v>
      </c>
      <c r="N552" s="11" t="n">
        <v>1</v>
      </c>
      <c r="O552" s="11" t="n">
        <v>4.5</v>
      </c>
      <c r="P552" s="11" t="n">
        <v>2.34</v>
      </c>
      <c r="Q552" s="11" t="n">
        <v>17.55</v>
      </c>
      <c r="R552" s="11" t="n">
        <f aca="false">SUM(K552:Q552)</f>
        <v>120.8504</v>
      </c>
      <c r="S552" s="11" t="n">
        <f aca="false">R552/(1-Resumo!$C$6)</f>
        <v>137.33</v>
      </c>
      <c r="T552" s="11" t="n">
        <f aca="false">S552-J552</f>
        <v>24</v>
      </c>
      <c r="U552" s="12" t="n">
        <f aca="false">IFERROR(S552/J552-1,0)</f>
        <v>0.211770934439248</v>
      </c>
      <c r="V552" s="2" t="str">
        <f aca="false">IF(S552&lt;J552,"SIM","NÃO")</f>
        <v>NÃO</v>
      </c>
      <c r="W552" s="2" t="n">
        <v>5</v>
      </c>
      <c r="X552" s="2" t="s">
        <v>156</v>
      </c>
    </row>
    <row r="553" customFormat="false" ht="15" hidden="false" customHeight="false" outlineLevel="0" collapsed="false">
      <c r="A553" s="2" t="n">
        <v>371607194</v>
      </c>
      <c r="B553" s="29" t="n">
        <v>46238.5598032407</v>
      </c>
      <c r="C553" s="2" t="s">
        <v>153</v>
      </c>
      <c r="D553" s="2" t="s">
        <v>735</v>
      </c>
      <c r="E553" s="2" t="s">
        <v>78</v>
      </c>
      <c r="F553" s="2" t="s">
        <v>106</v>
      </c>
      <c r="G553" s="30" t="n">
        <v>20.9</v>
      </c>
      <c r="H553" s="11" t="n">
        <v>449.99</v>
      </c>
      <c r="I553" s="11" t="s">
        <v>155</v>
      </c>
      <c r="J553" s="11" t="n">
        <v>82.48</v>
      </c>
      <c r="K553" s="11" t="n">
        <v>82.21</v>
      </c>
      <c r="L553" s="11" t="n">
        <v>0.45</v>
      </c>
      <c r="M553" s="11" t="n">
        <v>0.9</v>
      </c>
      <c r="N553" s="11" t="n">
        <v>1</v>
      </c>
      <c r="O553" s="11" t="n">
        <v>4.5</v>
      </c>
      <c r="P553" s="11" t="n">
        <v>1.26</v>
      </c>
      <c r="Q553" s="11" t="n">
        <v>9.45</v>
      </c>
      <c r="R553" s="11" t="n">
        <f aca="false">SUM(K553:Q553)</f>
        <v>99.77</v>
      </c>
      <c r="S553" s="11" t="n">
        <f aca="false">R553/(1-Resumo!$C$6)</f>
        <v>113.375</v>
      </c>
      <c r="T553" s="11" t="n">
        <f aca="false">S553-J553</f>
        <v>30.895</v>
      </c>
      <c r="U553" s="12" t="n">
        <f aca="false">IFERROR(S553/J553-1,0)</f>
        <v>0.374575654704171</v>
      </c>
      <c r="V553" s="2" t="str">
        <f aca="false">IF(S553&lt;J553,"SIM","NÃO")</f>
        <v>NÃO</v>
      </c>
      <c r="W553" s="2" t="n">
        <v>5</v>
      </c>
      <c r="X553" s="2" t="s">
        <v>156</v>
      </c>
    </row>
    <row r="554" customFormat="false" ht="15" hidden="false" customHeight="false" outlineLevel="0" collapsed="false">
      <c r="A554" s="2" t="n">
        <v>371609222</v>
      </c>
      <c r="B554" s="29" t="n">
        <v>46238.5635532407</v>
      </c>
      <c r="C554" s="2" t="s">
        <v>153</v>
      </c>
      <c r="D554" s="2" t="s">
        <v>736</v>
      </c>
      <c r="E554" s="2" t="s">
        <v>78</v>
      </c>
      <c r="F554" s="2" t="s">
        <v>109</v>
      </c>
      <c r="G554" s="30" t="n">
        <v>52.3</v>
      </c>
      <c r="H554" s="11" t="n">
        <v>669.99</v>
      </c>
      <c r="I554" s="11" t="s">
        <v>350</v>
      </c>
      <c r="J554" s="11" t="n">
        <v>113.49</v>
      </c>
      <c r="K554" s="11" t="n">
        <v>112.3</v>
      </c>
      <c r="L554" s="11" t="n">
        <v>0.67</v>
      </c>
      <c r="M554" s="11" t="n">
        <v>1.34</v>
      </c>
      <c r="N554" s="11" t="n">
        <v>1</v>
      </c>
      <c r="O554" s="11" t="n">
        <v>4.5</v>
      </c>
      <c r="P554" s="11" t="n">
        <v>3.18</v>
      </c>
      <c r="Q554" s="11" t="n">
        <v>23.85</v>
      </c>
      <c r="R554" s="11" t="n">
        <f aca="false">SUM(K554:Q554)</f>
        <v>146.84</v>
      </c>
      <c r="S554" s="11" t="n">
        <f aca="false">R554/(1-Resumo!$C$6)</f>
        <v>166.863636363636</v>
      </c>
      <c r="T554" s="11" t="n">
        <f aca="false">S554-J554</f>
        <v>53.3736363636364</v>
      </c>
      <c r="U554" s="12" t="n">
        <f aca="false">IFERROR(S554/J554-1,0)</f>
        <v>0.470293738334976</v>
      </c>
      <c r="V554" s="2" t="str">
        <f aca="false">IF(S554&lt;J554,"SIM","NÃO")</f>
        <v>NÃO</v>
      </c>
      <c r="W554" s="2" t="n">
        <v>5</v>
      </c>
      <c r="X554" s="2" t="s">
        <v>156</v>
      </c>
    </row>
    <row r="555" customFormat="false" ht="15" hidden="false" customHeight="false" outlineLevel="0" collapsed="false">
      <c r="A555" s="2" t="n">
        <v>371613006</v>
      </c>
      <c r="B555" s="29" t="n">
        <v>46238.5708101852</v>
      </c>
      <c r="C555" s="2" t="s">
        <v>153</v>
      </c>
      <c r="D555" s="2" t="s">
        <v>737</v>
      </c>
      <c r="E555" s="2" t="s">
        <v>95</v>
      </c>
      <c r="F555" s="2" t="s">
        <v>109</v>
      </c>
      <c r="G555" s="30" t="n">
        <v>52.3</v>
      </c>
      <c r="H555" s="11" t="n">
        <v>669.99</v>
      </c>
      <c r="I555" s="11" t="s">
        <v>350</v>
      </c>
      <c r="J555" s="11" t="n">
        <v>141.88</v>
      </c>
      <c r="K555" s="11" t="n">
        <v>127.03</v>
      </c>
      <c r="L555" s="11" t="n">
        <v>0.67</v>
      </c>
      <c r="M555" s="11" t="n">
        <v>1.34</v>
      </c>
      <c r="N555" s="11" t="n">
        <v>1</v>
      </c>
      <c r="O555" s="11" t="n">
        <v>4.5</v>
      </c>
      <c r="P555" s="11" t="n">
        <v>3.18</v>
      </c>
      <c r="Q555" s="11" t="n">
        <v>23.85</v>
      </c>
      <c r="R555" s="11" t="n">
        <f aca="false">SUM(K555:Q555)</f>
        <v>161.57</v>
      </c>
      <c r="S555" s="11" t="n">
        <f aca="false">R555/(1-Resumo!$C$6)</f>
        <v>183.602272727273</v>
      </c>
      <c r="T555" s="11" t="n">
        <f aca="false">S555-J555</f>
        <v>41.7222727272727</v>
      </c>
      <c r="U555" s="12" t="n">
        <f aca="false">IFERROR(S555/J555-1,0)</f>
        <v>0.294067329625548</v>
      </c>
      <c r="V555" s="2" t="str">
        <f aca="false">IF(S555&lt;J555,"SIM","NÃO")</f>
        <v>NÃO</v>
      </c>
      <c r="W555" s="2" t="n">
        <v>6</v>
      </c>
      <c r="X555" s="2" t="s">
        <v>156</v>
      </c>
    </row>
    <row r="556" customFormat="false" ht="15" hidden="false" customHeight="false" outlineLevel="0" collapsed="false">
      <c r="A556" s="2" t="n">
        <v>371613326</v>
      </c>
      <c r="B556" s="29" t="n">
        <v>46238.5716550926</v>
      </c>
      <c r="C556" s="2" t="s">
        <v>153</v>
      </c>
      <c r="D556" s="2" t="s">
        <v>738</v>
      </c>
      <c r="E556" s="2" t="s">
        <v>739</v>
      </c>
      <c r="F556" s="2" t="s">
        <v>110</v>
      </c>
      <c r="G556" s="30" t="n">
        <v>63.9</v>
      </c>
      <c r="H556" s="11" t="n">
        <v>735.99</v>
      </c>
      <c r="I556" s="11" t="s">
        <v>350</v>
      </c>
      <c r="J556" s="11" t="n">
        <v>155.34</v>
      </c>
      <c r="K556" s="11" t="n">
        <v>171.54</v>
      </c>
      <c r="L556" s="11" t="n">
        <v>0.736</v>
      </c>
      <c r="M556" s="11" t="n">
        <v>1.472</v>
      </c>
      <c r="N556" s="11" t="n">
        <v>1</v>
      </c>
      <c r="O556" s="11" t="n">
        <v>4.5</v>
      </c>
      <c r="P556" s="11" t="n">
        <v>3.84</v>
      </c>
      <c r="Q556" s="11" t="n">
        <v>28.8</v>
      </c>
      <c r="R556" s="11" t="n">
        <f aca="false">SUM(K556:Q556)</f>
        <v>211.888</v>
      </c>
      <c r="S556" s="11" t="n">
        <f aca="false">R556/(1-Resumo!$C$6)</f>
        <v>240.781818181818</v>
      </c>
      <c r="T556" s="11" t="n">
        <f aca="false">S556-J556</f>
        <v>85.4418181818182</v>
      </c>
      <c r="U556" s="12" t="n">
        <f aca="false">IFERROR(S556/J556-1,0)</f>
        <v>0.550031017006683</v>
      </c>
      <c r="V556" s="2" t="str">
        <f aca="false">IF(S556&lt;J556,"SIM","NÃO")</f>
        <v>NÃO</v>
      </c>
      <c r="W556" s="2" t="n">
        <v>11</v>
      </c>
      <c r="X556" s="2" t="s">
        <v>161</v>
      </c>
    </row>
    <row r="557" customFormat="false" ht="15" hidden="false" customHeight="false" outlineLevel="0" collapsed="false">
      <c r="A557" s="2" t="n">
        <v>371622000</v>
      </c>
      <c r="B557" s="29" t="n">
        <v>46238.5886805556</v>
      </c>
      <c r="C557" s="2" t="s">
        <v>153</v>
      </c>
      <c r="D557" s="2" t="s">
        <v>740</v>
      </c>
      <c r="E557" s="2" t="s">
        <v>88</v>
      </c>
      <c r="F557" s="2" t="s">
        <v>109</v>
      </c>
      <c r="G557" s="30" t="n">
        <v>52.3</v>
      </c>
      <c r="H557" s="11" t="n">
        <v>669.99</v>
      </c>
      <c r="I557" s="11" t="s">
        <v>350</v>
      </c>
      <c r="J557" s="11" t="n">
        <v>141.88</v>
      </c>
      <c r="K557" s="11" t="n">
        <v>142.32</v>
      </c>
      <c r="L557" s="11" t="n">
        <v>0.67</v>
      </c>
      <c r="M557" s="11" t="n">
        <v>1.34</v>
      </c>
      <c r="N557" s="11" t="n">
        <v>1</v>
      </c>
      <c r="O557" s="11" t="n">
        <v>4.5</v>
      </c>
      <c r="P557" s="11" t="n">
        <v>3.18</v>
      </c>
      <c r="Q557" s="11" t="n">
        <v>23.85</v>
      </c>
      <c r="R557" s="11" t="n">
        <f aca="false">SUM(K557:Q557)</f>
        <v>176.86</v>
      </c>
      <c r="S557" s="11" t="n">
        <f aca="false">R557/(1-Resumo!$C$6)</f>
        <v>200.977272727273</v>
      </c>
      <c r="T557" s="11" t="n">
        <f aca="false">S557-J557</f>
        <v>59.0972727272727</v>
      </c>
      <c r="U557" s="12" t="n">
        <f aca="false">IFERROR(S557/J557-1,0)</f>
        <v>0.416529974113848</v>
      </c>
      <c r="V557" s="2" t="str">
        <f aca="false">IF(S557&lt;J557,"SIM","NÃO")</f>
        <v>NÃO</v>
      </c>
      <c r="W557" s="2" t="n">
        <v>10</v>
      </c>
      <c r="X557" s="2" t="s">
        <v>156</v>
      </c>
    </row>
    <row r="558" customFormat="false" ht="15" hidden="false" customHeight="false" outlineLevel="0" collapsed="false">
      <c r="A558" s="2" t="n">
        <v>371647370</v>
      </c>
      <c r="B558" s="29" t="n">
        <v>46238.6212847222</v>
      </c>
      <c r="C558" s="2" t="s">
        <v>153</v>
      </c>
      <c r="D558" s="2" t="s">
        <v>741</v>
      </c>
      <c r="E558" s="2" t="s">
        <v>82</v>
      </c>
      <c r="F558" s="2" t="s">
        <v>107</v>
      </c>
      <c r="G558" s="30" t="n">
        <v>39</v>
      </c>
      <c r="H558" s="11" t="n">
        <v>496.79</v>
      </c>
      <c r="I558" s="11" t="s">
        <v>155</v>
      </c>
      <c r="J558" s="11" t="n">
        <v>113.33</v>
      </c>
      <c r="K558" s="11" t="n">
        <v>114.95</v>
      </c>
      <c r="L558" s="11" t="n">
        <v>0.4968</v>
      </c>
      <c r="M558" s="11" t="n">
        <v>0.9936</v>
      </c>
      <c r="N558" s="11" t="n">
        <v>1</v>
      </c>
      <c r="O558" s="11" t="n">
        <v>4.5</v>
      </c>
      <c r="P558" s="11" t="n">
        <v>2.34</v>
      </c>
      <c r="Q558" s="11" t="n">
        <v>17.55</v>
      </c>
      <c r="R558" s="11" t="n">
        <f aca="false">SUM(K558:Q558)</f>
        <v>141.8304</v>
      </c>
      <c r="S558" s="11" t="n">
        <f aca="false">R558/(1-Resumo!$C$6)</f>
        <v>161.170909090909</v>
      </c>
      <c r="T558" s="11" t="n">
        <f aca="false">S558-J558</f>
        <v>47.8409090909091</v>
      </c>
      <c r="U558" s="12" t="n">
        <f aca="false">IFERROR(S558/J558-1,0)</f>
        <v>0.422138084275206</v>
      </c>
      <c r="V558" s="2" t="str">
        <f aca="false">IF(S558&lt;J558,"SIM","NÃO")</f>
        <v>NÃO</v>
      </c>
      <c r="W558" s="2" t="n">
        <v>7</v>
      </c>
      <c r="X558" s="2" t="s">
        <v>156</v>
      </c>
    </row>
    <row r="559" customFormat="false" ht="15" hidden="false" customHeight="false" outlineLevel="0" collapsed="false">
      <c r="A559" s="2" t="n">
        <v>371652870</v>
      </c>
      <c r="B559" s="29" t="n">
        <v>46238.6306365741</v>
      </c>
      <c r="C559" s="2" t="s">
        <v>153</v>
      </c>
      <c r="D559" s="2" t="s">
        <v>742</v>
      </c>
      <c r="E559" s="2" t="s">
        <v>84</v>
      </c>
      <c r="F559" s="2" t="s">
        <v>106</v>
      </c>
      <c r="G559" s="30" t="n">
        <v>22.4</v>
      </c>
      <c r="H559" s="11" t="n">
        <v>440.99</v>
      </c>
      <c r="I559" s="11" t="s">
        <v>205</v>
      </c>
      <c r="J559" s="11" t="n">
        <v>86.03</v>
      </c>
      <c r="K559" s="11" t="n">
        <v>82.21</v>
      </c>
      <c r="L559" s="11" t="n">
        <v>0.441</v>
      </c>
      <c r="M559" s="11" t="n">
        <v>0.882</v>
      </c>
      <c r="N559" s="11" t="n">
        <v>1</v>
      </c>
      <c r="O559" s="11" t="n">
        <v>4.5</v>
      </c>
      <c r="P559" s="11" t="n">
        <v>1.38</v>
      </c>
      <c r="Q559" s="11" t="n">
        <v>10.35</v>
      </c>
      <c r="R559" s="11" t="n">
        <f aca="false">SUM(K559:Q559)</f>
        <v>100.763</v>
      </c>
      <c r="S559" s="11" t="n">
        <f aca="false">R559/(1-Resumo!$C$6)</f>
        <v>114.503409090909</v>
      </c>
      <c r="T559" s="11" t="n">
        <f aca="false">S559-J559</f>
        <v>28.4734090909091</v>
      </c>
      <c r="U559" s="12" t="n">
        <f aca="false">IFERROR(S559/J559-1,0)</f>
        <v>0.330970697325457</v>
      </c>
      <c r="V559" s="2" t="str">
        <f aca="false">IF(S559&lt;J559,"SIM","NÃO")</f>
        <v>NÃO</v>
      </c>
      <c r="W559" s="2" t="n">
        <v>5</v>
      </c>
      <c r="X559" s="2" t="s">
        <v>156</v>
      </c>
    </row>
    <row r="560" customFormat="false" ht="15" hidden="false" customHeight="false" outlineLevel="0" collapsed="false">
      <c r="A560" s="2" t="n">
        <v>371659358</v>
      </c>
      <c r="B560" s="29" t="n">
        <v>46238.6421412037</v>
      </c>
      <c r="C560" s="2" t="s">
        <v>158</v>
      </c>
      <c r="D560" s="2" t="s">
        <v>743</v>
      </c>
      <c r="E560" s="2" t="s">
        <v>78</v>
      </c>
      <c r="F560" s="2" t="s">
        <v>111</v>
      </c>
      <c r="G560" s="30" t="n">
        <v>79.55</v>
      </c>
      <c r="H560" s="11" t="n">
        <v>936.56</v>
      </c>
      <c r="I560" s="11" t="s">
        <v>350</v>
      </c>
      <c r="J560" s="11" t="n">
        <v>140.25</v>
      </c>
      <c r="K560" s="11" t="n">
        <v>134.39</v>
      </c>
      <c r="L560" s="11" t="n">
        <v>0.9366</v>
      </c>
      <c r="M560" s="11" t="n">
        <v>1.8731</v>
      </c>
      <c r="N560" s="11" t="n">
        <v>1</v>
      </c>
      <c r="O560" s="11" t="n">
        <v>4.5</v>
      </c>
      <c r="P560" s="11" t="n">
        <v>4.8</v>
      </c>
      <c r="Q560" s="11" t="n">
        <v>36</v>
      </c>
      <c r="R560" s="11" t="n">
        <f aca="false">SUM(K560:Q560)</f>
        <v>183.4997</v>
      </c>
      <c r="S560" s="11" t="n">
        <f aca="false">R560/(1-Resumo!$C$6)</f>
        <v>208.522386363636</v>
      </c>
      <c r="T560" s="11" t="n">
        <f aca="false">S560-J560</f>
        <v>68.2723863636363</v>
      </c>
      <c r="U560" s="12" t="n">
        <f aca="false">IFERROR(S560/J560-1,0)</f>
        <v>0.486790633608815</v>
      </c>
      <c r="V560" s="2" t="str">
        <f aca="false">IF(S560&lt;J560,"SIM","NÃO")</f>
        <v>NÃO</v>
      </c>
      <c r="W560" s="2" t="n">
        <v>5</v>
      </c>
      <c r="X560" s="2" t="s">
        <v>156</v>
      </c>
    </row>
    <row r="561" customFormat="false" ht="15" hidden="false" customHeight="false" outlineLevel="0" collapsed="false">
      <c r="A561" s="2" t="n">
        <v>371660466</v>
      </c>
      <c r="B561" s="29" t="n">
        <v>46238.6444212963</v>
      </c>
      <c r="C561" s="2" t="s">
        <v>153</v>
      </c>
      <c r="D561" s="2" t="s">
        <v>744</v>
      </c>
      <c r="E561" s="2" t="s">
        <v>745</v>
      </c>
      <c r="F561" s="2" t="s">
        <v>106</v>
      </c>
      <c r="G561" s="30" t="n">
        <v>33</v>
      </c>
      <c r="H561" s="11" t="n">
        <v>378.99</v>
      </c>
      <c r="I561" s="11" t="s">
        <v>350</v>
      </c>
      <c r="J561" s="11" t="n">
        <v>109.86</v>
      </c>
      <c r="K561" s="11" t="n">
        <v>108.83</v>
      </c>
      <c r="L561" s="11" t="n">
        <v>0.379</v>
      </c>
      <c r="M561" s="11" t="n">
        <v>0.758</v>
      </c>
      <c r="N561" s="11" t="n">
        <v>1</v>
      </c>
      <c r="O561" s="11" t="n">
        <v>4.5</v>
      </c>
      <c r="P561" s="11" t="n">
        <v>1.98</v>
      </c>
      <c r="Q561" s="11" t="n">
        <v>14.85</v>
      </c>
      <c r="R561" s="11" t="n">
        <f aca="false">SUM(K561:Q561)</f>
        <v>132.297</v>
      </c>
      <c r="S561" s="11" t="n">
        <f aca="false">R561/(1-Resumo!$C$6)</f>
        <v>150.3375</v>
      </c>
      <c r="T561" s="11" t="n">
        <f aca="false">S561-J561</f>
        <v>40.4775</v>
      </c>
      <c r="U561" s="12" t="n">
        <f aca="false">IFERROR(S561/J561-1,0)</f>
        <v>0.368446204259967</v>
      </c>
      <c r="V561" s="2" t="str">
        <f aca="false">IF(S561&lt;J561,"SIM","NÃO")</f>
        <v>NÃO</v>
      </c>
      <c r="W561" s="2" t="n">
        <v>10</v>
      </c>
      <c r="X561" s="2" t="s">
        <v>161</v>
      </c>
    </row>
    <row r="562" customFormat="false" ht="15" hidden="false" customHeight="false" outlineLevel="0" collapsed="false">
      <c r="A562" s="2" t="n">
        <v>371664573</v>
      </c>
      <c r="B562" s="29" t="n">
        <v>46238.6514467593</v>
      </c>
      <c r="C562" s="2" t="s">
        <v>153</v>
      </c>
      <c r="D562" s="2" t="s">
        <v>746</v>
      </c>
      <c r="E562" s="2" t="s">
        <v>81</v>
      </c>
      <c r="F562" s="2" t="s">
        <v>109</v>
      </c>
      <c r="G562" s="30" t="n">
        <v>52.3</v>
      </c>
      <c r="H562" s="11" t="n">
        <v>669.99</v>
      </c>
      <c r="I562" s="11" t="s">
        <v>350</v>
      </c>
      <c r="J562" s="11" t="n">
        <v>127.56</v>
      </c>
      <c r="K562" s="11" t="n">
        <v>112.3</v>
      </c>
      <c r="L562" s="11" t="n">
        <v>0.67</v>
      </c>
      <c r="M562" s="11" t="n">
        <v>1.34</v>
      </c>
      <c r="N562" s="11" t="n">
        <v>1</v>
      </c>
      <c r="O562" s="11" t="n">
        <v>4.5</v>
      </c>
      <c r="P562" s="11" t="n">
        <v>3.18</v>
      </c>
      <c r="Q562" s="11" t="n">
        <v>23.85</v>
      </c>
      <c r="R562" s="11" t="n">
        <f aca="false">SUM(K562:Q562)</f>
        <v>146.84</v>
      </c>
      <c r="S562" s="11" t="n">
        <f aca="false">R562/(1-Resumo!$C$6)</f>
        <v>166.863636363636</v>
      </c>
      <c r="T562" s="11" t="n">
        <f aca="false">S562-J562</f>
        <v>39.3036363636364</v>
      </c>
      <c r="U562" s="12" t="n">
        <f aca="false">IFERROR(S562/J562-1,0)</f>
        <v>0.308118817526155</v>
      </c>
      <c r="V562" s="2" t="str">
        <f aca="false">IF(S562&lt;J562,"SIM","NÃO")</f>
        <v>NÃO</v>
      </c>
      <c r="W562" s="2" t="n">
        <v>5</v>
      </c>
      <c r="X562" s="2" t="s">
        <v>156</v>
      </c>
    </row>
    <row r="563" customFormat="false" ht="15" hidden="false" customHeight="false" outlineLevel="0" collapsed="false">
      <c r="A563" s="2" t="n">
        <v>371667551</v>
      </c>
      <c r="B563" s="29" t="n">
        <v>46238.6570601852</v>
      </c>
      <c r="C563" s="2" t="s">
        <v>153</v>
      </c>
      <c r="D563" s="2" t="s">
        <v>747</v>
      </c>
      <c r="E563" s="2" t="s">
        <v>81</v>
      </c>
      <c r="F563" s="2" t="s">
        <v>109</v>
      </c>
      <c r="G563" s="30" t="n">
        <v>52.3</v>
      </c>
      <c r="H563" s="11" t="n">
        <v>669.99</v>
      </c>
      <c r="I563" s="11" t="s">
        <v>350</v>
      </c>
      <c r="J563" s="11" t="n">
        <v>127.56</v>
      </c>
      <c r="K563" s="11" t="n">
        <v>112.3</v>
      </c>
      <c r="L563" s="11" t="n">
        <v>0.67</v>
      </c>
      <c r="M563" s="11" t="n">
        <v>1.34</v>
      </c>
      <c r="N563" s="11" t="n">
        <v>1</v>
      </c>
      <c r="O563" s="11" t="n">
        <v>4.5</v>
      </c>
      <c r="P563" s="11" t="n">
        <v>3.18</v>
      </c>
      <c r="Q563" s="11" t="n">
        <v>23.85</v>
      </c>
      <c r="R563" s="11" t="n">
        <f aca="false">SUM(K563:Q563)</f>
        <v>146.84</v>
      </c>
      <c r="S563" s="11" t="n">
        <f aca="false">R563/(1-Resumo!$C$6)</f>
        <v>166.863636363636</v>
      </c>
      <c r="T563" s="11" t="n">
        <f aca="false">S563-J563</f>
        <v>39.3036363636364</v>
      </c>
      <c r="U563" s="12" t="n">
        <f aca="false">IFERROR(S563/J563-1,0)</f>
        <v>0.308118817526155</v>
      </c>
      <c r="V563" s="2" t="str">
        <f aca="false">IF(S563&lt;J563,"SIM","NÃO")</f>
        <v>NÃO</v>
      </c>
      <c r="W563" s="2" t="n">
        <v>5</v>
      </c>
      <c r="X563" s="2" t="s">
        <v>156</v>
      </c>
    </row>
    <row r="564" customFormat="false" ht="15" hidden="false" customHeight="false" outlineLevel="0" collapsed="false">
      <c r="A564" s="2" t="n">
        <v>371668342</v>
      </c>
      <c r="B564" s="29" t="n">
        <v>46238.6578819445</v>
      </c>
      <c r="C564" s="2" t="s">
        <v>153</v>
      </c>
      <c r="D564" s="2" t="s">
        <v>744</v>
      </c>
      <c r="E564" s="2" t="s">
        <v>745</v>
      </c>
      <c r="F564" s="2" t="s">
        <v>105</v>
      </c>
      <c r="G564" s="30" t="n">
        <v>19.5</v>
      </c>
      <c r="H564" s="11" t="n">
        <v>359.99</v>
      </c>
      <c r="I564" s="11" t="s">
        <v>350</v>
      </c>
      <c r="J564" s="11" t="n">
        <v>81.9</v>
      </c>
      <c r="K564" s="11" t="n">
        <v>77.35</v>
      </c>
      <c r="L564" s="11" t="n">
        <v>0.36</v>
      </c>
      <c r="M564" s="11" t="n">
        <v>0.72</v>
      </c>
      <c r="N564" s="11" t="n">
        <v>1</v>
      </c>
      <c r="O564" s="11" t="n">
        <v>4.5</v>
      </c>
      <c r="P564" s="11" t="n">
        <v>1.2</v>
      </c>
      <c r="Q564" s="11" t="n">
        <v>9</v>
      </c>
      <c r="R564" s="11" t="n">
        <f aca="false">SUM(K564:Q564)</f>
        <v>94.13</v>
      </c>
      <c r="S564" s="11" t="n">
        <f aca="false">R564/(1-Resumo!$C$6)</f>
        <v>106.965909090909</v>
      </c>
      <c r="T564" s="11" t="n">
        <f aca="false">S564-J564</f>
        <v>25.0659090909091</v>
      </c>
      <c r="U564" s="12" t="n">
        <f aca="false">IFERROR(S564/J564-1,0)</f>
        <v>0.306055056055056</v>
      </c>
      <c r="V564" s="2" t="str">
        <f aca="false">IF(S564&lt;J564,"SIM","NÃO")</f>
        <v>NÃO</v>
      </c>
      <c r="W564" s="2" t="n">
        <v>10</v>
      </c>
      <c r="X564" s="2" t="s">
        <v>161</v>
      </c>
    </row>
    <row r="565" customFormat="false" ht="15" hidden="false" customHeight="false" outlineLevel="0" collapsed="false">
      <c r="A565" s="2" t="n">
        <v>371675190</v>
      </c>
      <c r="B565" s="29" t="n">
        <v>46238.6725462963</v>
      </c>
      <c r="C565" s="2" t="s">
        <v>153</v>
      </c>
      <c r="D565" s="2" t="s">
        <v>748</v>
      </c>
      <c r="E565" s="2" t="s">
        <v>78</v>
      </c>
      <c r="F565" s="2" t="s">
        <v>108</v>
      </c>
      <c r="G565" s="30" t="n">
        <v>41</v>
      </c>
      <c r="H565" s="11" t="n">
        <v>498.19</v>
      </c>
      <c r="I565" s="11" t="s">
        <v>350</v>
      </c>
      <c r="J565" s="11" t="n">
        <v>100.8</v>
      </c>
      <c r="K565" s="11" t="n">
        <v>93.97</v>
      </c>
      <c r="L565" s="11" t="n">
        <v>0.4982</v>
      </c>
      <c r="M565" s="11" t="n">
        <v>0.9964</v>
      </c>
      <c r="N565" s="11" t="n">
        <v>1</v>
      </c>
      <c r="O565" s="11" t="n">
        <v>4.5</v>
      </c>
      <c r="P565" s="11" t="n">
        <v>2.46</v>
      </c>
      <c r="Q565" s="11" t="n">
        <v>18.45</v>
      </c>
      <c r="R565" s="11" t="n">
        <f aca="false">SUM(K565:Q565)</f>
        <v>121.8746</v>
      </c>
      <c r="S565" s="11" t="n">
        <f aca="false">R565/(1-Resumo!$C$6)</f>
        <v>138.493863636364</v>
      </c>
      <c r="T565" s="11" t="n">
        <f aca="false">S565-J565</f>
        <v>37.6938636363636</v>
      </c>
      <c r="U565" s="12" t="n">
        <f aca="false">IFERROR(S565/J565-1,0)</f>
        <v>0.37394705988456</v>
      </c>
      <c r="V565" s="2" t="str">
        <f aca="false">IF(S565&lt;J565,"SIM","NÃO")</f>
        <v>NÃO</v>
      </c>
      <c r="W565" s="2" t="n">
        <v>5</v>
      </c>
      <c r="X565" s="2" t="s">
        <v>156</v>
      </c>
    </row>
    <row r="566" customFormat="false" ht="15" hidden="false" customHeight="false" outlineLevel="0" collapsed="false">
      <c r="A566" s="2" t="n">
        <v>371676262</v>
      </c>
      <c r="B566" s="29" t="n">
        <v>46238.6750925926</v>
      </c>
      <c r="C566" s="2" t="s">
        <v>153</v>
      </c>
      <c r="D566" s="2" t="s">
        <v>749</v>
      </c>
      <c r="E566" s="2" t="s">
        <v>78</v>
      </c>
      <c r="F566" s="2" t="s">
        <v>110</v>
      </c>
      <c r="G566" s="30" t="n">
        <v>61.4</v>
      </c>
      <c r="H566" s="11" t="n">
        <v>919.99</v>
      </c>
      <c r="I566" s="11" t="s">
        <v>155</v>
      </c>
      <c r="J566" s="11" t="n">
        <v>125.61</v>
      </c>
      <c r="K566" s="11" t="n">
        <v>131.02</v>
      </c>
      <c r="L566" s="11" t="n">
        <v>0.92</v>
      </c>
      <c r="M566" s="11" t="n">
        <v>1.84</v>
      </c>
      <c r="N566" s="11" t="n">
        <v>1</v>
      </c>
      <c r="O566" s="11" t="n">
        <v>4.5</v>
      </c>
      <c r="P566" s="11" t="n">
        <v>3.72</v>
      </c>
      <c r="Q566" s="11" t="n">
        <v>27.9</v>
      </c>
      <c r="R566" s="11" t="n">
        <f aca="false">SUM(K566:Q566)</f>
        <v>170.9</v>
      </c>
      <c r="S566" s="11" t="n">
        <f aca="false">R566/(1-Resumo!$C$6)</f>
        <v>194.204545454545</v>
      </c>
      <c r="T566" s="11" t="n">
        <f aca="false">S566-J566</f>
        <v>68.5945454545455</v>
      </c>
      <c r="U566" s="12" t="n">
        <f aca="false">IFERROR(S566/J566-1,0)</f>
        <v>0.546091437421746</v>
      </c>
      <c r="V566" s="2" t="str">
        <f aca="false">IF(S566&lt;J566,"SIM","NÃO")</f>
        <v>NÃO</v>
      </c>
      <c r="W566" s="2" t="n">
        <v>5</v>
      </c>
      <c r="X566" s="2" t="s">
        <v>156</v>
      </c>
    </row>
    <row r="567" customFormat="false" ht="15" hidden="false" customHeight="false" outlineLevel="0" collapsed="false">
      <c r="A567" s="2" t="n">
        <v>371678849</v>
      </c>
      <c r="B567" s="29" t="n">
        <v>46238.6809375</v>
      </c>
      <c r="C567" s="2" t="s">
        <v>153</v>
      </c>
      <c r="D567" s="2" t="s">
        <v>750</v>
      </c>
      <c r="E567" s="2" t="s">
        <v>342</v>
      </c>
      <c r="F567" s="2" t="s">
        <v>107</v>
      </c>
      <c r="G567" s="30" t="n">
        <v>40</v>
      </c>
      <c r="H567" s="11" t="n">
        <v>569.99</v>
      </c>
      <c r="I567" s="11" t="s">
        <v>350</v>
      </c>
      <c r="J567" s="11" t="n">
        <v>124.97</v>
      </c>
      <c r="K567" s="11" t="n">
        <v>124.38</v>
      </c>
      <c r="L567" s="11" t="n">
        <v>0.57</v>
      </c>
      <c r="M567" s="11" t="n">
        <v>1.14</v>
      </c>
      <c r="N567" s="11" t="n">
        <v>1</v>
      </c>
      <c r="O567" s="11" t="n">
        <v>4.5</v>
      </c>
      <c r="P567" s="11" t="n">
        <v>2.4</v>
      </c>
      <c r="Q567" s="11" t="n">
        <v>18</v>
      </c>
      <c r="R567" s="11" t="n">
        <f aca="false">SUM(K567:Q567)</f>
        <v>151.99</v>
      </c>
      <c r="S567" s="11" t="n">
        <f aca="false">R567/(1-Resumo!$C$6)</f>
        <v>172.715909090909</v>
      </c>
      <c r="T567" s="11" t="n">
        <f aca="false">S567-J567</f>
        <v>47.7459090909091</v>
      </c>
      <c r="U567" s="12" t="n">
        <f aca="false">IFERROR(S567/J567-1,0)</f>
        <v>0.382058966879324</v>
      </c>
      <c r="V567" s="2" t="str">
        <f aca="false">IF(S567&lt;J567,"SIM","NÃO")</f>
        <v>NÃO</v>
      </c>
      <c r="W567" s="2" t="n">
        <v>10</v>
      </c>
      <c r="X567" s="2" t="s">
        <v>161</v>
      </c>
    </row>
    <row r="568" customFormat="false" ht="15" hidden="false" customHeight="false" outlineLevel="0" collapsed="false">
      <c r="A568" s="2" t="n">
        <v>371686838</v>
      </c>
      <c r="B568" s="29" t="n">
        <v>46238.7012962963</v>
      </c>
      <c r="C568" s="2" t="s">
        <v>198</v>
      </c>
      <c r="D568" s="2" t="s">
        <v>751</v>
      </c>
      <c r="E568" s="2" t="s">
        <v>412</v>
      </c>
      <c r="F568" s="2" t="s">
        <v>112</v>
      </c>
      <c r="G568" s="30" t="n">
        <v>93.8</v>
      </c>
      <c r="H568" s="11" t="n">
        <v>899.99</v>
      </c>
      <c r="I568" s="11" t="s">
        <v>350</v>
      </c>
      <c r="J568" s="11" t="n">
        <v>193.53</v>
      </c>
      <c r="K568" s="11" t="n">
        <v>197.35</v>
      </c>
      <c r="L568" s="11" t="n">
        <v>0.9</v>
      </c>
      <c r="M568" s="11" t="n">
        <v>1.8</v>
      </c>
      <c r="N568" s="11" t="n">
        <v>1</v>
      </c>
      <c r="O568" s="11" t="n">
        <v>4.5</v>
      </c>
      <c r="P568" s="11" t="n">
        <v>5.64</v>
      </c>
      <c r="Q568" s="11" t="n">
        <v>42.3</v>
      </c>
      <c r="R568" s="11" t="n">
        <f aca="false">SUM(K568:Q568)</f>
        <v>253.49</v>
      </c>
      <c r="S568" s="11" t="n">
        <f aca="false">R568/(1-Resumo!$C$6)</f>
        <v>288.056818181818</v>
      </c>
      <c r="T568" s="11" t="n">
        <f aca="false">S568-J568</f>
        <v>94.5268181818182</v>
      </c>
      <c r="U568" s="12" t="n">
        <f aca="false">IFERROR(S568/J568-1,0)</f>
        <v>0.488434961927444</v>
      </c>
      <c r="V568" s="2" t="str">
        <f aca="false">IF(S568&lt;J568,"SIM","NÃO")</f>
        <v>NÃO</v>
      </c>
      <c r="W568" s="2" t="n">
        <v>10</v>
      </c>
      <c r="X568" s="2" t="s">
        <v>161</v>
      </c>
    </row>
    <row r="569" customFormat="false" ht="15" hidden="false" customHeight="false" outlineLevel="0" collapsed="false">
      <c r="A569" s="2" t="n">
        <v>371702134</v>
      </c>
      <c r="B569" s="29" t="n">
        <v>46238.7328819444</v>
      </c>
      <c r="C569" s="2" t="s">
        <v>158</v>
      </c>
      <c r="D569" s="2" t="s">
        <v>752</v>
      </c>
      <c r="E569" s="2" t="s">
        <v>260</v>
      </c>
      <c r="F569" s="2" t="s">
        <v>108</v>
      </c>
      <c r="G569" s="30" t="n">
        <v>48</v>
      </c>
      <c r="H569" s="11" t="n">
        <v>815.51</v>
      </c>
      <c r="I569" s="11" t="s">
        <v>350</v>
      </c>
      <c r="J569" s="11" t="n">
        <v>133.32</v>
      </c>
      <c r="K569" s="11" t="n">
        <v>135.03</v>
      </c>
      <c r="L569" s="11" t="n">
        <v>0.8155</v>
      </c>
      <c r="M569" s="11" t="n">
        <v>1.631</v>
      </c>
      <c r="N569" s="11" t="n">
        <v>1</v>
      </c>
      <c r="O569" s="11" t="n">
        <v>4.5</v>
      </c>
      <c r="P569" s="11" t="n">
        <v>2.88</v>
      </c>
      <c r="Q569" s="11" t="n">
        <v>21.6</v>
      </c>
      <c r="R569" s="11" t="n">
        <f aca="false">SUM(K569:Q569)</f>
        <v>167.4565</v>
      </c>
      <c r="S569" s="11" t="n">
        <f aca="false">R569/(1-Resumo!$C$6)</f>
        <v>190.291477272727</v>
      </c>
      <c r="T569" s="11" t="n">
        <f aca="false">S569-J569</f>
        <v>56.9714772727273</v>
      </c>
      <c r="U569" s="12" t="n">
        <f aca="false">IFERROR(S569/J569-1,0)</f>
        <v>0.427328812426697</v>
      </c>
      <c r="V569" s="2" t="str">
        <f aca="false">IF(S569&lt;J569,"SIM","NÃO")</f>
        <v>NÃO</v>
      </c>
      <c r="W569" s="2" t="n">
        <v>10</v>
      </c>
      <c r="X569" s="2" t="s">
        <v>161</v>
      </c>
    </row>
    <row r="570" customFormat="false" ht="15" hidden="false" customHeight="false" outlineLevel="0" collapsed="false">
      <c r="A570" s="2" t="n">
        <v>371702774</v>
      </c>
      <c r="B570" s="29" t="n">
        <v>46238.7338888889</v>
      </c>
      <c r="C570" s="2" t="s">
        <v>153</v>
      </c>
      <c r="D570" s="2" t="s">
        <v>753</v>
      </c>
      <c r="E570" s="2" t="s">
        <v>91</v>
      </c>
      <c r="F570" s="2" t="s">
        <v>107</v>
      </c>
      <c r="G570" s="30" t="n">
        <v>37.2</v>
      </c>
      <c r="H570" s="11" t="n">
        <v>399.99</v>
      </c>
      <c r="I570" s="11" t="s">
        <v>350</v>
      </c>
      <c r="J570" s="11" t="n">
        <v>123.13</v>
      </c>
      <c r="K570" s="11" t="n">
        <v>124.38</v>
      </c>
      <c r="L570" s="11" t="n">
        <v>0.4</v>
      </c>
      <c r="M570" s="11" t="n">
        <v>0.8</v>
      </c>
      <c r="N570" s="11" t="n">
        <v>1</v>
      </c>
      <c r="O570" s="11" t="n">
        <v>4.5</v>
      </c>
      <c r="P570" s="11" t="n">
        <v>2.28</v>
      </c>
      <c r="Q570" s="11" t="n">
        <v>17.1</v>
      </c>
      <c r="R570" s="11" t="n">
        <f aca="false">SUM(K570:Q570)</f>
        <v>150.46</v>
      </c>
      <c r="S570" s="11" t="n">
        <f aca="false">R570/(1-Resumo!$C$6)</f>
        <v>170.977272727273</v>
      </c>
      <c r="T570" s="11" t="n">
        <f aca="false">S570-J570</f>
        <v>47.8472727272727</v>
      </c>
      <c r="U570" s="12" t="n">
        <f aca="false">IFERROR(S570/J570-1,0)</f>
        <v>0.38859151082005</v>
      </c>
      <c r="V570" s="2" t="str">
        <f aca="false">IF(S570&lt;J570,"SIM","NÃO")</f>
        <v>NÃO</v>
      </c>
      <c r="W570" s="2" t="n">
        <v>10</v>
      </c>
      <c r="X570" s="2" t="s">
        <v>156</v>
      </c>
    </row>
    <row r="571" customFormat="false" ht="15" hidden="false" customHeight="false" outlineLevel="0" collapsed="false">
      <c r="A571" s="2" t="n">
        <v>371714166</v>
      </c>
      <c r="B571" s="29" t="n">
        <v>46238.7575</v>
      </c>
      <c r="C571" s="2" t="s">
        <v>191</v>
      </c>
      <c r="D571" s="2" t="s">
        <v>754</v>
      </c>
      <c r="E571" s="2" t="s">
        <v>755</v>
      </c>
      <c r="F571" s="2" t="s">
        <v>107</v>
      </c>
      <c r="G571" s="30" t="n">
        <v>40</v>
      </c>
      <c r="H571" s="11" t="n">
        <v>479.99</v>
      </c>
      <c r="I571" s="11" t="s">
        <v>350</v>
      </c>
      <c r="J571" s="11" t="n">
        <v>124.53</v>
      </c>
      <c r="K571" s="11" t="n">
        <v>124.38</v>
      </c>
      <c r="L571" s="11" t="n">
        <v>0.48</v>
      </c>
      <c r="M571" s="11" t="n">
        <v>0.96</v>
      </c>
      <c r="N571" s="11" t="n">
        <v>1</v>
      </c>
      <c r="O571" s="11" t="n">
        <v>4.5</v>
      </c>
      <c r="P571" s="11" t="n">
        <v>2.4</v>
      </c>
      <c r="Q571" s="11" t="n">
        <v>18</v>
      </c>
      <c r="R571" s="11" t="n">
        <f aca="false">SUM(K571:Q571)</f>
        <v>151.72</v>
      </c>
      <c r="S571" s="11" t="n">
        <f aca="false">R571/(1-Resumo!$C$6)</f>
        <v>172.409090909091</v>
      </c>
      <c r="T571" s="11" t="n">
        <f aca="false">S571-J571</f>
        <v>47.8790909090909</v>
      </c>
      <c r="U571" s="12" t="n">
        <f aca="false">IFERROR(S571/J571-1,0)</f>
        <v>0.384478365928619</v>
      </c>
      <c r="V571" s="2" t="str">
        <f aca="false">IF(S571&lt;J571,"SIM","NÃO")</f>
        <v>NÃO</v>
      </c>
      <c r="W571" s="2" t="n">
        <v>10</v>
      </c>
      <c r="X571" s="2" t="s">
        <v>161</v>
      </c>
    </row>
    <row r="572" customFormat="false" ht="15" hidden="false" customHeight="false" outlineLevel="0" collapsed="false">
      <c r="A572" s="2" t="n">
        <v>371716806</v>
      </c>
      <c r="B572" s="29" t="n">
        <v>46238.7674421296</v>
      </c>
      <c r="C572" s="2" t="s">
        <v>191</v>
      </c>
      <c r="D572" s="2" t="s">
        <v>756</v>
      </c>
      <c r="E572" s="2" t="s">
        <v>81</v>
      </c>
      <c r="F572" s="2" t="s">
        <v>108</v>
      </c>
      <c r="G572" s="30" t="n">
        <v>46.8</v>
      </c>
      <c r="H572" s="11" t="n">
        <v>549.99</v>
      </c>
      <c r="I572" s="11" t="s">
        <v>155</v>
      </c>
      <c r="J572" s="11" t="n">
        <v>116.7</v>
      </c>
      <c r="K572" s="11" t="n">
        <v>93.97</v>
      </c>
      <c r="L572" s="11" t="n">
        <v>0.55</v>
      </c>
      <c r="M572" s="11" t="n">
        <v>1.1</v>
      </c>
      <c r="N572" s="11" t="n">
        <v>1</v>
      </c>
      <c r="O572" s="11" t="n">
        <v>4.5</v>
      </c>
      <c r="P572" s="11" t="n">
        <v>2.82</v>
      </c>
      <c r="Q572" s="11" t="n">
        <v>21.15</v>
      </c>
      <c r="R572" s="11" t="n">
        <f aca="false">SUM(K572:Q572)</f>
        <v>125.09</v>
      </c>
      <c r="S572" s="11" t="n">
        <f aca="false">R572/(1-Resumo!$C$6)</f>
        <v>142.147727272727</v>
      </c>
      <c r="T572" s="11" t="n">
        <f aca="false">S572-J572</f>
        <v>25.4477272727273</v>
      </c>
      <c r="U572" s="12" t="n">
        <f aca="false">IFERROR(S572/J572-1,0)</f>
        <v>0.218061073459531</v>
      </c>
      <c r="V572" s="2" t="str">
        <f aca="false">IF(S572&lt;J572,"SIM","NÃO")</f>
        <v>NÃO</v>
      </c>
      <c r="W572" s="2" t="n">
        <v>5</v>
      </c>
      <c r="X572" s="2" t="s">
        <v>156</v>
      </c>
    </row>
    <row r="573" customFormat="false" ht="15" hidden="false" customHeight="false" outlineLevel="0" collapsed="false">
      <c r="A573" s="2" t="n">
        <v>371728852</v>
      </c>
      <c r="B573" s="29" t="n">
        <v>46238.7794791667</v>
      </c>
      <c r="C573" s="2" t="s">
        <v>153</v>
      </c>
      <c r="D573" s="2" t="s">
        <v>757</v>
      </c>
      <c r="E573" s="2" t="s">
        <v>78</v>
      </c>
      <c r="F573" s="2" t="s">
        <v>110</v>
      </c>
      <c r="G573" s="30" t="n">
        <v>63.9</v>
      </c>
      <c r="H573" s="11" t="n">
        <v>735.99</v>
      </c>
      <c r="I573" s="11" t="s">
        <v>350</v>
      </c>
      <c r="J573" s="11" t="n">
        <v>124.67</v>
      </c>
      <c r="K573" s="11" t="n">
        <v>131.02</v>
      </c>
      <c r="L573" s="11" t="n">
        <v>0.736</v>
      </c>
      <c r="M573" s="11" t="n">
        <v>1.472</v>
      </c>
      <c r="N573" s="11" t="n">
        <v>1</v>
      </c>
      <c r="O573" s="11" t="n">
        <v>4.5</v>
      </c>
      <c r="P573" s="11" t="n">
        <v>3.84</v>
      </c>
      <c r="Q573" s="11" t="n">
        <v>28.8</v>
      </c>
      <c r="R573" s="11" t="n">
        <f aca="false">SUM(K573:Q573)</f>
        <v>171.368</v>
      </c>
      <c r="S573" s="11" t="n">
        <f aca="false">R573/(1-Resumo!$C$6)</f>
        <v>194.736363636364</v>
      </c>
      <c r="T573" s="11" t="n">
        <f aca="false">S573-J573</f>
        <v>70.0663636363637</v>
      </c>
      <c r="U573" s="12" t="n">
        <f aca="false">IFERROR(S573/J573-1,0)</f>
        <v>0.562014627708058</v>
      </c>
      <c r="V573" s="2" t="str">
        <f aca="false">IF(S573&lt;J573,"SIM","NÃO")</f>
        <v>NÃO</v>
      </c>
      <c r="W573" s="2" t="n">
        <v>5</v>
      </c>
      <c r="X573" s="2" t="s">
        <v>156</v>
      </c>
    </row>
    <row r="574" customFormat="false" ht="15" hidden="false" customHeight="false" outlineLevel="0" collapsed="false">
      <c r="A574" s="2" t="n">
        <v>371743448</v>
      </c>
      <c r="B574" s="29" t="n">
        <v>46238.8002430556</v>
      </c>
      <c r="C574" s="2" t="s">
        <v>153</v>
      </c>
      <c r="D574" s="2" t="s">
        <v>758</v>
      </c>
      <c r="E574" s="2" t="s">
        <v>78</v>
      </c>
      <c r="F574" s="2" t="s">
        <v>106</v>
      </c>
      <c r="G574" s="30" t="n">
        <v>31.9</v>
      </c>
      <c r="H574" s="11" t="n">
        <v>551.99</v>
      </c>
      <c r="I574" s="11" t="s">
        <v>155</v>
      </c>
      <c r="J574" s="11" t="n">
        <v>82.97</v>
      </c>
      <c r="K574" s="11" t="n">
        <v>82.21</v>
      </c>
      <c r="L574" s="11" t="n">
        <v>0.552</v>
      </c>
      <c r="M574" s="11" t="n">
        <v>1.104</v>
      </c>
      <c r="N574" s="11" t="n">
        <v>1</v>
      </c>
      <c r="O574" s="11" t="n">
        <v>4.5</v>
      </c>
      <c r="P574" s="11" t="n">
        <v>1.92</v>
      </c>
      <c r="Q574" s="11" t="n">
        <v>14.4</v>
      </c>
      <c r="R574" s="11" t="n">
        <f aca="false">SUM(K574:Q574)</f>
        <v>105.686</v>
      </c>
      <c r="S574" s="11" t="n">
        <f aca="false">R574/(1-Resumo!$C$6)</f>
        <v>120.097727272727</v>
      </c>
      <c r="T574" s="11" t="n">
        <f aca="false">S574-J574</f>
        <v>37.1277272727273</v>
      </c>
      <c r="U574" s="12" t="n">
        <f aca="false">IFERROR(S574/J574-1,0)</f>
        <v>0.447483756450853</v>
      </c>
      <c r="V574" s="2" t="str">
        <f aca="false">IF(S574&lt;J574,"SIM","NÃO")</f>
        <v>NÃO</v>
      </c>
      <c r="W574" s="2" t="n">
        <v>5</v>
      </c>
      <c r="X574" s="2" t="s">
        <v>156</v>
      </c>
    </row>
    <row r="575" customFormat="false" ht="15" hidden="false" customHeight="false" outlineLevel="0" collapsed="false">
      <c r="A575" s="2" t="n">
        <v>371743872</v>
      </c>
      <c r="B575" s="29" t="n">
        <v>46238.8008564815</v>
      </c>
      <c r="C575" s="2" t="s">
        <v>153</v>
      </c>
      <c r="D575" s="2" t="s">
        <v>759</v>
      </c>
      <c r="E575" s="2" t="s">
        <v>89</v>
      </c>
      <c r="F575" s="2" t="s">
        <v>113</v>
      </c>
      <c r="G575" s="30" t="n">
        <v>106.5</v>
      </c>
      <c r="H575" s="11" t="n">
        <v>1163.99</v>
      </c>
      <c r="I575" s="11" t="s">
        <v>350</v>
      </c>
      <c r="J575" s="11" t="n">
        <v>213.84</v>
      </c>
      <c r="K575" s="11" t="n">
        <v>236.82</v>
      </c>
      <c r="L575" s="11" t="n">
        <v>1.164</v>
      </c>
      <c r="M575" s="11" t="n">
        <v>2.328</v>
      </c>
      <c r="N575" s="11" t="n">
        <v>1</v>
      </c>
      <c r="O575" s="11" t="n">
        <v>9</v>
      </c>
      <c r="P575" s="11" t="n">
        <v>6.42</v>
      </c>
      <c r="Q575" s="11" t="n">
        <v>48.15</v>
      </c>
      <c r="R575" s="11" t="n">
        <f aca="false">SUM(K575:Q575)</f>
        <v>304.882</v>
      </c>
      <c r="S575" s="11" t="n">
        <f aca="false">R575/(1-Resumo!$C$6)</f>
        <v>346.456818181818</v>
      </c>
      <c r="T575" s="11" t="n">
        <f aca="false">S575-J575</f>
        <v>132.616818181818</v>
      </c>
      <c r="U575" s="12" t="n">
        <f aca="false">IFERROR(S575/J575-1,0)</f>
        <v>0.620168435193687</v>
      </c>
      <c r="V575" s="2" t="str">
        <f aca="false">IF(S575&lt;J575,"SIM","NÃO")</f>
        <v>NÃO</v>
      </c>
      <c r="W575" s="2" t="n">
        <v>8</v>
      </c>
      <c r="X575" s="2" t="s">
        <v>156</v>
      </c>
    </row>
    <row r="576" customFormat="false" ht="15" hidden="false" customHeight="false" outlineLevel="0" collapsed="false">
      <c r="A576" s="2" t="n">
        <v>371750895</v>
      </c>
      <c r="B576" s="29" t="n">
        <v>46238.8121296296</v>
      </c>
      <c r="C576" s="2" t="s">
        <v>191</v>
      </c>
      <c r="D576" s="2" t="s">
        <v>760</v>
      </c>
      <c r="E576" s="2" t="s">
        <v>78</v>
      </c>
      <c r="F576" s="2" t="s">
        <v>109</v>
      </c>
      <c r="G576" s="30" t="n">
        <v>56.6</v>
      </c>
      <c r="H576" s="11" t="n">
        <v>959.99</v>
      </c>
      <c r="I576" s="11" t="s">
        <v>155</v>
      </c>
      <c r="J576" s="11" t="n">
        <v>115.75</v>
      </c>
      <c r="K576" s="11" t="n">
        <v>112.3</v>
      </c>
      <c r="L576" s="11" t="n">
        <v>0.96</v>
      </c>
      <c r="M576" s="11" t="n">
        <v>1.92</v>
      </c>
      <c r="N576" s="11" t="n">
        <v>1</v>
      </c>
      <c r="O576" s="11" t="n">
        <v>4.5</v>
      </c>
      <c r="P576" s="11" t="n">
        <v>3.42</v>
      </c>
      <c r="Q576" s="11" t="n">
        <v>25.65</v>
      </c>
      <c r="R576" s="11" t="n">
        <f aca="false">SUM(K576:Q576)</f>
        <v>149.75</v>
      </c>
      <c r="S576" s="11" t="n">
        <f aca="false">R576/(1-Resumo!$C$6)</f>
        <v>170.170454545455</v>
      </c>
      <c r="T576" s="11" t="n">
        <f aca="false">S576-J576</f>
        <v>54.4204545454545</v>
      </c>
      <c r="U576" s="12" t="n">
        <f aca="false">IFERROR(S576/J576-1,0)</f>
        <v>0.470155114863538</v>
      </c>
      <c r="V576" s="2" t="str">
        <f aca="false">IF(S576&lt;J576,"SIM","NÃO")</f>
        <v>NÃO</v>
      </c>
      <c r="W576" s="2" t="n">
        <v>5</v>
      </c>
      <c r="X576" s="2" t="s">
        <v>156</v>
      </c>
    </row>
    <row r="577" customFormat="false" ht="15" hidden="false" customHeight="false" outlineLevel="0" collapsed="false">
      <c r="A577" s="2" t="n">
        <v>371756253</v>
      </c>
      <c r="B577" s="29" t="n">
        <v>46238.8204050926</v>
      </c>
      <c r="C577" s="2" t="s">
        <v>153</v>
      </c>
      <c r="D577" s="2" t="s">
        <v>761</v>
      </c>
      <c r="E577" s="2" t="s">
        <v>81</v>
      </c>
      <c r="F577" s="2" t="s">
        <v>110</v>
      </c>
      <c r="G577" s="30" t="n">
        <v>69.45</v>
      </c>
      <c r="H577" s="11" t="n">
        <v>859.99</v>
      </c>
      <c r="I577" s="11" t="s">
        <v>155</v>
      </c>
      <c r="J577" s="11" t="n">
        <v>140.56</v>
      </c>
      <c r="K577" s="11" t="n">
        <v>131.02</v>
      </c>
      <c r="L577" s="11" t="n">
        <v>0.86</v>
      </c>
      <c r="M577" s="11" t="n">
        <v>1.72</v>
      </c>
      <c r="N577" s="11" t="n">
        <v>1</v>
      </c>
      <c r="O577" s="11" t="n">
        <v>4.5</v>
      </c>
      <c r="P577" s="11" t="n">
        <v>4.2</v>
      </c>
      <c r="Q577" s="11" t="n">
        <v>31.5</v>
      </c>
      <c r="R577" s="11" t="n">
        <f aca="false">SUM(K577:Q577)</f>
        <v>174.8</v>
      </c>
      <c r="S577" s="11" t="n">
        <f aca="false">R577/(1-Resumo!$C$6)</f>
        <v>198.636363636364</v>
      </c>
      <c r="T577" s="11" t="n">
        <f aca="false">S577-J577</f>
        <v>58.0763636363637</v>
      </c>
      <c r="U577" s="12" t="n">
        <f aca="false">IFERROR(S577/J577-1,0)</f>
        <v>0.413178455011124</v>
      </c>
      <c r="V577" s="2" t="str">
        <f aca="false">IF(S577&lt;J577,"SIM","NÃO")</f>
        <v>NÃO</v>
      </c>
      <c r="W577" s="2" t="n">
        <v>5</v>
      </c>
      <c r="X577" s="2" t="s">
        <v>156</v>
      </c>
    </row>
    <row r="578" customFormat="false" ht="15" hidden="false" customHeight="false" outlineLevel="0" collapsed="false">
      <c r="A578" s="2" t="n">
        <v>371764039</v>
      </c>
      <c r="B578" s="29" t="n">
        <v>46238.8345717593</v>
      </c>
      <c r="C578" s="2" t="s">
        <v>158</v>
      </c>
      <c r="D578" s="2" t="s">
        <v>762</v>
      </c>
      <c r="E578" s="2" t="s">
        <v>91</v>
      </c>
      <c r="F578" s="2" t="s">
        <v>110</v>
      </c>
      <c r="G578" s="30" t="n">
        <v>63.9</v>
      </c>
      <c r="H578" s="11" t="n">
        <v>735.99</v>
      </c>
      <c r="I578" s="11" t="s">
        <v>350</v>
      </c>
      <c r="J578" s="11" t="n">
        <v>155.34</v>
      </c>
      <c r="K578" s="11" t="n">
        <v>166.05</v>
      </c>
      <c r="L578" s="11" t="n">
        <v>0.736</v>
      </c>
      <c r="M578" s="11" t="n">
        <v>1.472</v>
      </c>
      <c r="N578" s="11" t="n">
        <v>1</v>
      </c>
      <c r="O578" s="11" t="n">
        <v>4.5</v>
      </c>
      <c r="P578" s="11" t="n">
        <v>3.84</v>
      </c>
      <c r="Q578" s="11" t="n">
        <v>28.8</v>
      </c>
      <c r="R578" s="11" t="n">
        <f aca="false">SUM(K578:Q578)</f>
        <v>206.398</v>
      </c>
      <c r="S578" s="11" t="n">
        <f aca="false">R578/(1-Resumo!$C$6)</f>
        <v>234.543181818182</v>
      </c>
      <c r="T578" s="11" t="n">
        <f aca="false">S578-J578</f>
        <v>79.2031818181818</v>
      </c>
      <c r="U578" s="12" t="n">
        <f aca="false">IFERROR(S578/J578-1,0)</f>
        <v>0.509869845617239</v>
      </c>
      <c r="V578" s="2" t="str">
        <f aca="false">IF(S578&lt;J578,"SIM","NÃO")</f>
        <v>NÃO</v>
      </c>
      <c r="W578" s="2" t="n">
        <v>10</v>
      </c>
      <c r="X578" s="2" t="s">
        <v>156</v>
      </c>
    </row>
    <row r="579" customFormat="false" ht="15" hidden="false" customHeight="false" outlineLevel="0" collapsed="false">
      <c r="A579" s="2" t="n">
        <v>371780366</v>
      </c>
      <c r="B579" s="29" t="n">
        <v>46238.8631712963</v>
      </c>
      <c r="C579" s="2" t="s">
        <v>153</v>
      </c>
      <c r="D579" s="2" t="s">
        <v>763</v>
      </c>
      <c r="E579" s="2" t="s">
        <v>169</v>
      </c>
      <c r="F579" s="2" t="s">
        <v>110</v>
      </c>
      <c r="G579" s="30" t="n">
        <v>63.9</v>
      </c>
      <c r="H579" s="11" t="n">
        <v>735.99</v>
      </c>
      <c r="I579" s="11" t="s">
        <v>350</v>
      </c>
      <c r="J579" s="11" t="n">
        <v>155.34</v>
      </c>
      <c r="K579" s="11" t="n">
        <v>136.53</v>
      </c>
      <c r="L579" s="11" t="n">
        <v>0.736</v>
      </c>
      <c r="M579" s="11" t="n">
        <v>1.472</v>
      </c>
      <c r="N579" s="11" t="n">
        <v>1</v>
      </c>
      <c r="O579" s="11" t="n">
        <v>4.5</v>
      </c>
      <c r="P579" s="11" t="n">
        <v>3.84</v>
      </c>
      <c r="Q579" s="11" t="n">
        <v>28.8</v>
      </c>
      <c r="R579" s="11" t="n">
        <f aca="false">SUM(K579:Q579)</f>
        <v>176.878</v>
      </c>
      <c r="S579" s="11" t="n">
        <f aca="false">R579/(1-Resumo!$C$6)</f>
        <v>200.997727272727</v>
      </c>
      <c r="T579" s="11" t="n">
        <f aca="false">S579-J579</f>
        <v>45.6577272727273</v>
      </c>
      <c r="U579" s="12" t="n">
        <f aca="false">IFERROR(S579/J579-1,0)</f>
        <v>0.293921251916617</v>
      </c>
      <c r="V579" s="2" t="str">
        <f aca="false">IF(S579&lt;J579,"SIM","NÃO")</f>
        <v>NÃO</v>
      </c>
      <c r="W579" s="2" t="n">
        <v>6</v>
      </c>
      <c r="X579" s="2" t="s">
        <v>161</v>
      </c>
    </row>
    <row r="580" customFormat="false" ht="15" hidden="false" customHeight="false" outlineLevel="0" collapsed="false">
      <c r="A580" s="2" t="n">
        <v>371777579</v>
      </c>
      <c r="B580" s="29" t="n">
        <v>46238.8660648148</v>
      </c>
      <c r="C580" s="2" t="s">
        <v>326</v>
      </c>
      <c r="D580" s="2" t="s">
        <v>764</v>
      </c>
      <c r="E580" s="2" t="s">
        <v>94</v>
      </c>
      <c r="F580" s="2" t="s">
        <v>107</v>
      </c>
      <c r="G580" s="30" t="n">
        <v>40</v>
      </c>
      <c r="H580" s="11" t="n">
        <v>599.99</v>
      </c>
      <c r="I580" s="11" t="s">
        <v>350</v>
      </c>
      <c r="J580" s="11" t="n">
        <v>115.85</v>
      </c>
      <c r="K580" s="11" t="n">
        <v>93.97</v>
      </c>
      <c r="L580" s="11" t="n">
        <v>0.6</v>
      </c>
      <c r="M580" s="11" t="n">
        <v>1.2</v>
      </c>
      <c r="N580" s="11" t="n">
        <v>1</v>
      </c>
      <c r="O580" s="11" t="n">
        <v>4.5</v>
      </c>
      <c r="P580" s="11" t="n">
        <v>2.4</v>
      </c>
      <c r="Q580" s="11" t="n">
        <v>18</v>
      </c>
      <c r="R580" s="11" t="n">
        <f aca="false">SUM(K580:Q580)</f>
        <v>121.67</v>
      </c>
      <c r="S580" s="11" t="n">
        <f aca="false">R580/(1-Resumo!$C$6)</f>
        <v>138.261363636364</v>
      </c>
      <c r="T580" s="11" t="n">
        <f aca="false">S580-J580</f>
        <v>22.4113636363636</v>
      </c>
      <c r="U580" s="12" t="n">
        <f aca="false">IFERROR(S580/J580-1,0)</f>
        <v>0.193451563542198</v>
      </c>
      <c r="V580" s="2" t="str">
        <f aca="false">IF(S580&lt;J580,"SIM","NÃO")</f>
        <v>NÃO</v>
      </c>
      <c r="W580" s="2" t="n">
        <v>5</v>
      </c>
      <c r="X580" s="2" t="s">
        <v>156</v>
      </c>
    </row>
    <row r="581" customFormat="false" ht="15" hidden="false" customHeight="false" outlineLevel="0" collapsed="false">
      <c r="A581" s="2" t="n">
        <v>371796068</v>
      </c>
      <c r="B581" s="29" t="n">
        <v>46238.8905902778</v>
      </c>
      <c r="C581" s="2" t="s">
        <v>153</v>
      </c>
      <c r="D581" s="2" t="s">
        <v>765</v>
      </c>
      <c r="E581" s="2" t="s">
        <v>94</v>
      </c>
      <c r="F581" s="2" t="s">
        <v>113</v>
      </c>
      <c r="G581" s="30" t="n">
        <v>106.5</v>
      </c>
      <c r="H581" s="11" t="n">
        <v>1163.99</v>
      </c>
      <c r="I581" s="11" t="s">
        <v>350</v>
      </c>
      <c r="J581" s="11" t="n">
        <v>193.11</v>
      </c>
      <c r="K581" s="11" t="n">
        <v>201.59</v>
      </c>
      <c r="L581" s="11" t="n">
        <v>1.164</v>
      </c>
      <c r="M581" s="11" t="n">
        <v>2.328</v>
      </c>
      <c r="N581" s="11" t="n">
        <v>1</v>
      </c>
      <c r="O581" s="11" t="n">
        <v>9</v>
      </c>
      <c r="P581" s="11" t="n">
        <v>6.42</v>
      </c>
      <c r="Q581" s="11" t="n">
        <v>48.15</v>
      </c>
      <c r="R581" s="11" t="n">
        <f aca="false">SUM(K581:Q581)</f>
        <v>269.652</v>
      </c>
      <c r="S581" s="11" t="n">
        <f aca="false">R581/(1-Resumo!$C$6)</f>
        <v>306.422727272727</v>
      </c>
      <c r="T581" s="11" t="n">
        <f aca="false">S581-J581</f>
        <v>113.312727272727</v>
      </c>
      <c r="U581" s="12" t="n">
        <f aca="false">IFERROR(S581/J581-1,0)</f>
        <v>0.5867781434039</v>
      </c>
      <c r="V581" s="2" t="str">
        <f aca="false">IF(S581&lt;J581,"SIM","NÃO")</f>
        <v>NÃO</v>
      </c>
      <c r="W581" s="2" t="n">
        <v>5</v>
      </c>
      <c r="X581" s="2" t="s">
        <v>156</v>
      </c>
    </row>
    <row r="582" customFormat="false" ht="15" hidden="false" customHeight="false" outlineLevel="0" collapsed="false">
      <c r="A582" s="2" t="n">
        <v>371797042</v>
      </c>
      <c r="B582" s="29" t="n">
        <v>46238.8923958333</v>
      </c>
      <c r="C582" s="2" t="s">
        <v>153</v>
      </c>
      <c r="D582" s="2" t="s">
        <v>766</v>
      </c>
      <c r="E582" s="2" t="s">
        <v>93</v>
      </c>
      <c r="F582" s="2" t="s">
        <v>107</v>
      </c>
      <c r="G582" s="30" t="n">
        <v>37.2</v>
      </c>
      <c r="H582" s="11" t="n">
        <v>399.99</v>
      </c>
      <c r="I582" s="11" t="s">
        <v>350</v>
      </c>
      <c r="J582" s="11" t="n">
        <v>123.13</v>
      </c>
      <c r="K582" s="11" t="n">
        <v>114.95</v>
      </c>
      <c r="L582" s="11" t="n">
        <v>0.4</v>
      </c>
      <c r="M582" s="11" t="n">
        <v>0.8</v>
      </c>
      <c r="N582" s="11" t="n">
        <v>1</v>
      </c>
      <c r="O582" s="11" t="n">
        <v>4.5</v>
      </c>
      <c r="P582" s="11" t="n">
        <v>2.28</v>
      </c>
      <c r="Q582" s="11" t="n">
        <v>17.1</v>
      </c>
      <c r="R582" s="11" t="n">
        <f aca="false">SUM(K582:Q582)</f>
        <v>141.03</v>
      </c>
      <c r="S582" s="11" t="n">
        <f aca="false">R582/(1-Resumo!$C$6)</f>
        <v>160.261363636364</v>
      </c>
      <c r="T582" s="11" t="n">
        <f aca="false">S582-J582</f>
        <v>37.1313636363636</v>
      </c>
      <c r="U582" s="12" t="n">
        <f aca="false">IFERROR(S582/J582-1,0)</f>
        <v>0.301562280811854</v>
      </c>
      <c r="V582" s="2" t="str">
        <f aca="false">IF(S582&lt;J582,"SIM","NÃO")</f>
        <v>NÃO</v>
      </c>
      <c r="W582" s="2" t="n">
        <v>7</v>
      </c>
      <c r="X582" s="2" t="s">
        <v>156</v>
      </c>
    </row>
    <row r="583" customFormat="false" ht="15" hidden="false" customHeight="false" outlineLevel="0" collapsed="false">
      <c r="A583" s="2" t="n">
        <v>371799263</v>
      </c>
      <c r="B583" s="29" t="n">
        <v>46238.8963310185</v>
      </c>
      <c r="C583" s="2" t="s">
        <v>153</v>
      </c>
      <c r="D583" s="2" t="s">
        <v>767</v>
      </c>
      <c r="E583" s="2" t="s">
        <v>78</v>
      </c>
      <c r="F583" s="2" t="s">
        <v>105</v>
      </c>
      <c r="G583" s="30" t="n">
        <v>19.5</v>
      </c>
      <c r="H583" s="11" t="n">
        <v>379.99</v>
      </c>
      <c r="I583" s="11" t="s">
        <v>155</v>
      </c>
      <c r="J583" s="11" t="n">
        <v>65.03</v>
      </c>
      <c r="K583" s="11" t="n">
        <v>46.98</v>
      </c>
      <c r="L583" s="11" t="n">
        <v>0.38</v>
      </c>
      <c r="M583" s="11" t="n">
        <v>0.76</v>
      </c>
      <c r="N583" s="11" t="n">
        <v>1</v>
      </c>
      <c r="O583" s="11" t="n">
        <v>4.5</v>
      </c>
      <c r="P583" s="11" t="n">
        <v>1.2</v>
      </c>
      <c r="Q583" s="11" t="n">
        <v>9</v>
      </c>
      <c r="R583" s="11" t="n">
        <f aca="false">SUM(K583:Q583)</f>
        <v>63.82</v>
      </c>
      <c r="S583" s="11" t="n">
        <f aca="false">R583/(1-Resumo!$C$6)</f>
        <v>72.5227272727273</v>
      </c>
      <c r="T583" s="11" t="n">
        <f aca="false">S583-J583</f>
        <v>7.49272727272727</v>
      </c>
      <c r="U583" s="12" t="n">
        <f aca="false">IFERROR(S583/J583-1,0)</f>
        <v>0.115219549019334</v>
      </c>
      <c r="V583" s="2" t="str">
        <f aca="false">IF(S583&lt;J583,"SIM","NÃO")</f>
        <v>NÃO</v>
      </c>
      <c r="W583" s="2" t="n">
        <v>5</v>
      </c>
      <c r="X583" s="2" t="s">
        <v>156</v>
      </c>
    </row>
    <row r="584" customFormat="false" ht="15" hidden="false" customHeight="false" outlineLevel="0" collapsed="false">
      <c r="A584" s="2" t="n">
        <v>371818560</v>
      </c>
      <c r="B584" s="29" t="n">
        <v>46238.9312847222</v>
      </c>
      <c r="C584" s="2" t="s">
        <v>153</v>
      </c>
      <c r="D584" s="2" t="s">
        <v>768</v>
      </c>
      <c r="E584" s="2" t="s">
        <v>80</v>
      </c>
      <c r="F584" s="2" t="s">
        <v>105</v>
      </c>
      <c r="G584" s="30" t="n">
        <v>19.8</v>
      </c>
      <c r="H584" s="11" t="n">
        <v>329.99</v>
      </c>
      <c r="I584" s="11" t="s">
        <v>155</v>
      </c>
      <c r="J584" s="11" t="n">
        <v>75.42</v>
      </c>
      <c r="K584" s="11" t="n">
        <v>46.98</v>
      </c>
      <c r="L584" s="11" t="n">
        <v>0.33</v>
      </c>
      <c r="M584" s="11" t="n">
        <v>0.66</v>
      </c>
      <c r="N584" s="11" t="n">
        <v>1</v>
      </c>
      <c r="O584" s="11" t="n">
        <v>4.5</v>
      </c>
      <c r="P584" s="11" t="n">
        <v>1.2</v>
      </c>
      <c r="Q584" s="11" t="n">
        <v>9</v>
      </c>
      <c r="R584" s="11" t="n">
        <f aca="false">SUM(K584:Q584)</f>
        <v>63.67</v>
      </c>
      <c r="S584" s="11" t="n">
        <f aca="false">R584/(1-Resumo!$C$6)</f>
        <v>72.3522727272727</v>
      </c>
      <c r="T584" s="11" t="n">
        <f aca="false">S584-J584</f>
        <v>-3.06772727272728</v>
      </c>
      <c r="U584" s="12" t="n">
        <f aca="false">IFERROR(S584/J584-1,0)</f>
        <v>-0.0406752489091392</v>
      </c>
      <c r="V584" s="2" t="str">
        <f aca="false">IF(S584&lt;J584,"SIM","NÃO")</f>
        <v>SIM</v>
      </c>
      <c r="W584" s="2" t="n">
        <v>5</v>
      </c>
      <c r="X584" s="2" t="s">
        <v>156</v>
      </c>
    </row>
    <row r="585" customFormat="false" ht="15" hidden="false" customHeight="false" outlineLevel="0" collapsed="false">
      <c r="A585" s="2" t="n">
        <v>371819208</v>
      </c>
      <c r="B585" s="29" t="n">
        <v>46238.9324652778</v>
      </c>
      <c r="C585" s="2" t="s">
        <v>153</v>
      </c>
      <c r="D585" s="2" t="s">
        <v>769</v>
      </c>
      <c r="E585" s="2" t="s">
        <v>78</v>
      </c>
      <c r="F585" s="2" t="s">
        <v>110</v>
      </c>
      <c r="G585" s="30" t="n">
        <v>69.75</v>
      </c>
      <c r="H585" s="11" t="n">
        <v>859.99</v>
      </c>
      <c r="I585" s="11" t="s">
        <v>155</v>
      </c>
      <c r="J585" s="11" t="n">
        <v>125.33</v>
      </c>
      <c r="K585" s="11" t="n">
        <v>131.02</v>
      </c>
      <c r="L585" s="11" t="n">
        <v>0.86</v>
      </c>
      <c r="M585" s="11" t="n">
        <v>1.72</v>
      </c>
      <c r="N585" s="11" t="n">
        <v>1</v>
      </c>
      <c r="O585" s="11" t="n">
        <v>4.5</v>
      </c>
      <c r="P585" s="11" t="n">
        <v>4.2</v>
      </c>
      <c r="Q585" s="11" t="n">
        <v>31.5</v>
      </c>
      <c r="R585" s="11" t="n">
        <f aca="false">SUM(K585:Q585)</f>
        <v>174.8</v>
      </c>
      <c r="S585" s="11" t="n">
        <f aca="false">R585/(1-Resumo!$C$6)</f>
        <v>198.636363636364</v>
      </c>
      <c r="T585" s="11" t="n">
        <f aca="false">S585-J585</f>
        <v>73.3063636363637</v>
      </c>
      <c r="U585" s="12" t="n">
        <f aca="false">IFERROR(S585/J585-1,0)</f>
        <v>0.584906755257031</v>
      </c>
      <c r="V585" s="2" t="str">
        <f aca="false">IF(S585&lt;J585,"SIM","NÃO")</f>
        <v>NÃO</v>
      </c>
      <c r="W585" s="2" t="n">
        <v>5</v>
      </c>
      <c r="X585" s="2" t="s">
        <v>156</v>
      </c>
    </row>
    <row r="586" customFormat="false" ht="15" hidden="false" customHeight="false" outlineLevel="0" collapsed="false">
      <c r="A586" s="2" t="n">
        <v>371852885</v>
      </c>
      <c r="B586" s="29" t="n">
        <v>46239.0077662037</v>
      </c>
      <c r="C586" s="2" t="s">
        <v>153</v>
      </c>
      <c r="D586" s="2" t="s">
        <v>770</v>
      </c>
      <c r="E586" s="2" t="s">
        <v>78</v>
      </c>
      <c r="F586" s="2" t="s">
        <v>106</v>
      </c>
      <c r="G586" s="30" t="n">
        <v>33</v>
      </c>
      <c r="H586" s="11" t="n">
        <v>519.99</v>
      </c>
      <c r="I586" s="11" t="s">
        <v>155</v>
      </c>
      <c r="J586" s="11" t="n">
        <v>82.82</v>
      </c>
      <c r="K586" s="11" t="n">
        <v>82.21</v>
      </c>
      <c r="L586" s="11" t="n">
        <v>0.52</v>
      </c>
      <c r="M586" s="11" t="n">
        <v>1.04</v>
      </c>
      <c r="N586" s="11" t="n">
        <v>1</v>
      </c>
      <c r="O586" s="11" t="n">
        <v>4.5</v>
      </c>
      <c r="P586" s="11" t="n">
        <v>1.98</v>
      </c>
      <c r="Q586" s="11" t="n">
        <v>14.85</v>
      </c>
      <c r="R586" s="11" t="n">
        <f aca="false">SUM(K586:Q586)</f>
        <v>106.1</v>
      </c>
      <c r="S586" s="11" t="n">
        <f aca="false">R586/(1-Resumo!$C$6)</f>
        <v>120.568181818182</v>
      </c>
      <c r="T586" s="11" t="n">
        <f aca="false">S586-J586</f>
        <v>37.7481818181818</v>
      </c>
      <c r="U586" s="12" t="n">
        <f aca="false">IFERROR(S586/J586-1,0)</f>
        <v>0.455785822484688</v>
      </c>
      <c r="V586" s="2" t="str">
        <f aca="false">IF(S586&lt;J586,"SIM","NÃO")</f>
        <v>NÃO</v>
      </c>
      <c r="W586" s="2" t="n">
        <v>5</v>
      </c>
      <c r="X586" s="2" t="s">
        <v>156</v>
      </c>
    </row>
    <row r="587" customFormat="false" ht="15" hidden="false" customHeight="false" outlineLevel="0" collapsed="false">
      <c r="A587" s="2" t="n">
        <v>371937205</v>
      </c>
      <c r="B587" s="29" t="n">
        <v>46239.3051851852</v>
      </c>
      <c r="C587" s="2" t="s">
        <v>153</v>
      </c>
      <c r="D587" s="2" t="s">
        <v>771</v>
      </c>
      <c r="E587" s="2" t="s">
        <v>80</v>
      </c>
      <c r="F587" s="2" t="s">
        <v>109</v>
      </c>
      <c r="G587" s="30" t="n">
        <v>52.3</v>
      </c>
      <c r="H587" s="11" t="n">
        <v>685.85</v>
      </c>
      <c r="I587" s="11" t="s">
        <v>350</v>
      </c>
      <c r="J587" s="11" t="n">
        <v>127.62</v>
      </c>
      <c r="K587" s="11" t="n">
        <v>112.3</v>
      </c>
      <c r="L587" s="11" t="n">
        <v>0.6859</v>
      </c>
      <c r="M587" s="11" t="n">
        <v>1.3717</v>
      </c>
      <c r="N587" s="11" t="n">
        <v>1</v>
      </c>
      <c r="O587" s="11" t="n">
        <v>4.5</v>
      </c>
      <c r="P587" s="11" t="n">
        <v>3.18</v>
      </c>
      <c r="Q587" s="11" t="n">
        <v>23.85</v>
      </c>
      <c r="R587" s="11" t="n">
        <f aca="false">SUM(K587:Q587)</f>
        <v>146.8876</v>
      </c>
      <c r="S587" s="11" t="n">
        <f aca="false">R587/(1-Resumo!$C$6)</f>
        <v>166.917727272727</v>
      </c>
      <c r="T587" s="11" t="n">
        <f aca="false">S587-J587</f>
        <v>39.2977272727273</v>
      </c>
      <c r="U587" s="12" t="n">
        <f aca="false">IFERROR(S587/J587-1,0)</f>
        <v>0.307927654542605</v>
      </c>
      <c r="V587" s="2" t="str">
        <f aca="false">IF(S587&lt;J587,"SIM","NÃO")</f>
        <v>NÃO</v>
      </c>
      <c r="W587" s="2" t="n">
        <v>5</v>
      </c>
      <c r="X587" s="2" t="s">
        <v>156</v>
      </c>
    </row>
    <row r="588" customFormat="false" ht="15" hidden="false" customHeight="false" outlineLevel="0" collapsed="false">
      <c r="A588" s="2" t="n">
        <v>371950939</v>
      </c>
      <c r="B588" s="29" t="n">
        <v>46239.3425578704</v>
      </c>
      <c r="C588" s="2" t="s">
        <v>153</v>
      </c>
      <c r="D588" s="2" t="s">
        <v>772</v>
      </c>
      <c r="E588" s="2" t="s">
        <v>78</v>
      </c>
      <c r="F588" s="2" t="s">
        <v>110</v>
      </c>
      <c r="G588" s="30" t="n">
        <v>66.8</v>
      </c>
      <c r="H588" s="11" t="n">
        <v>719.99</v>
      </c>
      <c r="I588" s="11" t="s">
        <v>350</v>
      </c>
      <c r="J588" s="11" t="n">
        <v>126.11</v>
      </c>
      <c r="K588" s="11" t="n">
        <v>131.02</v>
      </c>
      <c r="L588" s="11" t="n">
        <v>0.72</v>
      </c>
      <c r="M588" s="11" t="n">
        <v>1.44</v>
      </c>
      <c r="N588" s="11" t="n">
        <v>1</v>
      </c>
      <c r="O588" s="11" t="n">
        <v>4.5</v>
      </c>
      <c r="P588" s="11" t="n">
        <v>4.02</v>
      </c>
      <c r="Q588" s="11" t="n">
        <v>30.15</v>
      </c>
      <c r="R588" s="11" t="n">
        <f aca="false">SUM(K588:Q588)</f>
        <v>172.85</v>
      </c>
      <c r="S588" s="11" t="n">
        <f aca="false">R588/(1-Resumo!$C$6)</f>
        <v>196.420454545455</v>
      </c>
      <c r="T588" s="11" t="n">
        <f aca="false">S588-J588</f>
        <v>70.3104545454546</v>
      </c>
      <c r="U588" s="12" t="n">
        <f aca="false">IFERROR(S588/J588-1,0)</f>
        <v>0.557532745582861</v>
      </c>
      <c r="V588" s="2" t="str">
        <f aca="false">IF(S588&lt;J588,"SIM","NÃO")</f>
        <v>NÃO</v>
      </c>
      <c r="W588" s="2" t="n">
        <v>5</v>
      </c>
      <c r="X588" s="2" t="s">
        <v>156</v>
      </c>
    </row>
    <row r="589" customFormat="false" ht="15" hidden="false" customHeight="false" outlineLevel="0" collapsed="false">
      <c r="A589" s="2" t="n">
        <v>371966635</v>
      </c>
      <c r="B589" s="29" t="n">
        <v>46239.3798611111</v>
      </c>
      <c r="C589" s="2" t="s">
        <v>153</v>
      </c>
      <c r="D589" s="2" t="s">
        <v>773</v>
      </c>
      <c r="E589" s="2" t="s">
        <v>774</v>
      </c>
      <c r="F589" s="2" t="s">
        <v>114</v>
      </c>
      <c r="G589" s="30" t="n">
        <v>124.2</v>
      </c>
      <c r="H589" s="11" t="n">
        <v>1558.09</v>
      </c>
      <c r="I589" s="11" t="s">
        <v>350</v>
      </c>
      <c r="J589" s="11" t="n">
        <v>253.05</v>
      </c>
      <c r="K589" s="11" t="n">
        <v>264.84</v>
      </c>
      <c r="L589" s="11" t="n">
        <v>1.5581</v>
      </c>
      <c r="M589" s="11" t="n">
        <v>3.1162</v>
      </c>
      <c r="N589" s="11" t="n">
        <v>1</v>
      </c>
      <c r="O589" s="11" t="n">
        <v>9</v>
      </c>
      <c r="P589" s="11" t="n">
        <v>7.5</v>
      </c>
      <c r="Q589" s="11" t="n">
        <v>56.25</v>
      </c>
      <c r="R589" s="11" t="n">
        <f aca="false">SUM(K589:Q589)</f>
        <v>343.2643</v>
      </c>
      <c r="S589" s="11" t="n">
        <f aca="false">R589/(1-Resumo!$C$6)</f>
        <v>390.073068181818</v>
      </c>
      <c r="T589" s="11" t="n">
        <f aca="false">S589-J589</f>
        <v>137.023068181818</v>
      </c>
      <c r="U589" s="12" t="n">
        <f aca="false">IFERROR(S589/J589-1,0)</f>
        <v>0.541486141797345</v>
      </c>
      <c r="V589" s="2" t="str">
        <f aca="false">IF(S589&lt;J589,"SIM","NÃO")</f>
        <v>NÃO</v>
      </c>
      <c r="W589" s="2" t="n">
        <v>10</v>
      </c>
      <c r="X589" s="2" t="s">
        <v>161</v>
      </c>
    </row>
    <row r="590" customFormat="false" ht="15" hidden="false" customHeight="false" outlineLevel="0" collapsed="false">
      <c r="A590" s="2" t="n">
        <v>371965361</v>
      </c>
      <c r="B590" s="29" t="n">
        <v>46239.3831944445</v>
      </c>
      <c r="C590" s="2" t="s">
        <v>178</v>
      </c>
      <c r="D590" s="2" t="s">
        <v>775</v>
      </c>
      <c r="E590" s="2" t="s">
        <v>81</v>
      </c>
      <c r="F590" s="2" t="s">
        <v>110</v>
      </c>
      <c r="G590" s="30" t="n">
        <v>69</v>
      </c>
      <c r="H590" s="11" t="n">
        <v>730.99</v>
      </c>
      <c r="I590" s="11" t="s">
        <v>155</v>
      </c>
      <c r="J590" s="11" t="n">
        <v>139.93</v>
      </c>
      <c r="K590" s="11" t="n">
        <v>131.02</v>
      </c>
      <c r="L590" s="11" t="n">
        <v>0.731</v>
      </c>
      <c r="M590" s="11" t="n">
        <v>1.462</v>
      </c>
      <c r="N590" s="11" t="n">
        <v>1</v>
      </c>
      <c r="O590" s="11" t="n">
        <v>4.5</v>
      </c>
      <c r="P590" s="11" t="n">
        <v>4.14</v>
      </c>
      <c r="Q590" s="11" t="n">
        <v>31.05</v>
      </c>
      <c r="R590" s="11" t="n">
        <f aca="false">SUM(K590:Q590)</f>
        <v>173.903</v>
      </c>
      <c r="S590" s="11" t="n">
        <f aca="false">R590/(1-Resumo!$C$6)</f>
        <v>197.617045454546</v>
      </c>
      <c r="T590" s="11" t="n">
        <f aca="false">S590-J590</f>
        <v>57.6870454545455</v>
      </c>
      <c r="U590" s="12" t="n">
        <f aca="false">IFERROR(S590/J590-1,0)</f>
        <v>0.412256452901776</v>
      </c>
      <c r="V590" s="2" t="str">
        <f aca="false">IF(S590&lt;J590,"SIM","NÃO")</f>
        <v>NÃO</v>
      </c>
      <c r="W590" s="2" t="n">
        <v>5</v>
      </c>
      <c r="X590" s="2" t="s">
        <v>156</v>
      </c>
    </row>
    <row r="591" customFormat="false" ht="15" hidden="false" customHeight="false" outlineLevel="0" collapsed="false">
      <c r="A591" s="2" t="n">
        <v>371979596</v>
      </c>
      <c r="B591" s="29" t="n">
        <v>46239.4048842593</v>
      </c>
      <c r="C591" s="2" t="s">
        <v>153</v>
      </c>
      <c r="D591" s="2" t="s">
        <v>776</v>
      </c>
      <c r="E591" s="2" t="s">
        <v>81</v>
      </c>
      <c r="F591" s="2" t="s">
        <v>106</v>
      </c>
      <c r="G591" s="30" t="n">
        <v>31.9</v>
      </c>
      <c r="H591" s="11" t="n">
        <v>551.99</v>
      </c>
      <c r="I591" s="11" t="s">
        <v>155</v>
      </c>
      <c r="J591" s="11" t="n">
        <v>102.02</v>
      </c>
      <c r="K591" s="11" t="n">
        <v>82.21</v>
      </c>
      <c r="L591" s="11" t="n">
        <v>0.552</v>
      </c>
      <c r="M591" s="11" t="n">
        <v>1.104</v>
      </c>
      <c r="N591" s="11" t="n">
        <v>1</v>
      </c>
      <c r="O591" s="11" t="n">
        <v>4.5</v>
      </c>
      <c r="P591" s="11" t="n">
        <v>1.92</v>
      </c>
      <c r="Q591" s="11" t="n">
        <v>14.4</v>
      </c>
      <c r="R591" s="11" t="n">
        <f aca="false">SUM(K591:Q591)</f>
        <v>105.686</v>
      </c>
      <c r="S591" s="11" t="n">
        <f aca="false">R591/(1-Resumo!$C$6)</f>
        <v>120.097727272727</v>
      </c>
      <c r="T591" s="11" t="n">
        <f aca="false">S591-J591</f>
        <v>18.0777272727273</v>
      </c>
      <c r="U591" s="12" t="n">
        <f aca="false">IFERROR(S591/J591-1,0)</f>
        <v>0.177197875639358</v>
      </c>
      <c r="V591" s="2" t="str">
        <f aca="false">IF(S591&lt;J591,"SIM","NÃO")</f>
        <v>NÃO</v>
      </c>
      <c r="W591" s="2" t="n">
        <v>5</v>
      </c>
      <c r="X591" s="2" t="s">
        <v>156</v>
      </c>
    </row>
    <row r="592" customFormat="false" ht="15" hidden="false" customHeight="false" outlineLevel="0" collapsed="false">
      <c r="A592" s="2" t="n">
        <v>371985104</v>
      </c>
      <c r="B592" s="29" t="n">
        <v>46239.4156018519</v>
      </c>
      <c r="C592" s="2" t="s">
        <v>153</v>
      </c>
      <c r="D592" s="2" t="s">
        <v>777</v>
      </c>
      <c r="E592" s="2" t="s">
        <v>84</v>
      </c>
      <c r="F592" s="2" t="s">
        <v>109</v>
      </c>
      <c r="G592" s="30" t="n">
        <v>52.3</v>
      </c>
      <c r="H592" s="11" t="n">
        <v>699.99</v>
      </c>
      <c r="I592" s="11" t="s">
        <v>350</v>
      </c>
      <c r="J592" s="11" t="n">
        <v>127.69</v>
      </c>
      <c r="K592" s="11" t="n">
        <v>112.3</v>
      </c>
      <c r="L592" s="11" t="n">
        <v>0.7</v>
      </c>
      <c r="M592" s="11" t="n">
        <v>1.4</v>
      </c>
      <c r="N592" s="11" t="n">
        <v>1</v>
      </c>
      <c r="O592" s="11" t="n">
        <v>4.5</v>
      </c>
      <c r="P592" s="11" t="n">
        <v>3.18</v>
      </c>
      <c r="Q592" s="11" t="n">
        <v>23.85</v>
      </c>
      <c r="R592" s="11" t="n">
        <f aca="false">SUM(K592:Q592)</f>
        <v>146.93</v>
      </c>
      <c r="S592" s="11" t="n">
        <f aca="false">R592/(1-Resumo!$C$6)</f>
        <v>166.965909090909</v>
      </c>
      <c r="T592" s="11" t="n">
        <f aca="false">S592-J592</f>
        <v>39.2759090909091</v>
      </c>
      <c r="U592" s="12" t="n">
        <f aca="false">IFERROR(S592/J592-1,0)</f>
        <v>0.307587979410362</v>
      </c>
      <c r="V592" s="2" t="str">
        <f aca="false">IF(S592&lt;J592,"SIM","NÃO")</f>
        <v>NÃO</v>
      </c>
      <c r="W592" s="2" t="n">
        <v>5</v>
      </c>
      <c r="X592" s="2" t="s">
        <v>156</v>
      </c>
    </row>
    <row r="593" customFormat="false" ht="15" hidden="false" customHeight="false" outlineLevel="0" collapsed="false">
      <c r="A593" s="2" t="n">
        <v>371986906</v>
      </c>
      <c r="B593" s="29" t="n">
        <v>46239.4173611111</v>
      </c>
      <c r="C593" s="2" t="s">
        <v>158</v>
      </c>
      <c r="D593" s="2" t="s">
        <v>778</v>
      </c>
      <c r="E593" s="2" t="s">
        <v>78</v>
      </c>
      <c r="F593" s="2" t="s">
        <v>109</v>
      </c>
      <c r="G593" s="30" t="n">
        <v>52.3</v>
      </c>
      <c r="H593" s="11" t="n">
        <v>642.07</v>
      </c>
      <c r="I593" s="11" t="s">
        <v>350</v>
      </c>
      <c r="J593" s="11" t="n">
        <v>113.35</v>
      </c>
      <c r="K593" s="11" t="n">
        <v>112.3</v>
      </c>
      <c r="L593" s="11" t="n">
        <v>0.6421</v>
      </c>
      <c r="M593" s="11" t="n">
        <v>1.2841</v>
      </c>
      <c r="N593" s="11" t="n">
        <v>1</v>
      </c>
      <c r="O593" s="11" t="n">
        <v>4.5</v>
      </c>
      <c r="P593" s="11" t="n">
        <v>3.18</v>
      </c>
      <c r="Q593" s="11" t="n">
        <v>23.85</v>
      </c>
      <c r="R593" s="11" t="n">
        <f aca="false">SUM(K593:Q593)</f>
        <v>146.7562</v>
      </c>
      <c r="S593" s="11" t="n">
        <f aca="false">R593/(1-Resumo!$C$6)</f>
        <v>166.768409090909</v>
      </c>
      <c r="T593" s="11" t="n">
        <f aca="false">S593-J593</f>
        <v>53.4184090909091</v>
      </c>
      <c r="U593" s="12" t="n">
        <f aca="false">IFERROR(S593/J593-1,0)</f>
        <v>0.471269599390464</v>
      </c>
      <c r="V593" s="2" t="str">
        <f aca="false">IF(S593&lt;J593,"SIM","NÃO")</f>
        <v>NÃO</v>
      </c>
      <c r="W593" s="2" t="n">
        <v>5</v>
      </c>
      <c r="X593" s="2" t="s">
        <v>156</v>
      </c>
    </row>
    <row r="594" customFormat="false" ht="15" hidden="false" customHeight="false" outlineLevel="0" collapsed="false">
      <c r="A594" s="2" t="n">
        <v>372014622</v>
      </c>
      <c r="B594" s="29" t="n">
        <v>46239.4725115741</v>
      </c>
      <c r="C594" s="2" t="s">
        <v>153</v>
      </c>
      <c r="D594" s="2" t="s">
        <v>779</v>
      </c>
      <c r="E594" s="2" t="s">
        <v>78</v>
      </c>
      <c r="F594" s="2" t="s">
        <v>105</v>
      </c>
      <c r="G594" s="30" t="n">
        <v>17.2</v>
      </c>
      <c r="H594" s="11" t="n">
        <v>269.99</v>
      </c>
      <c r="I594" s="11" t="s">
        <v>155</v>
      </c>
      <c r="J594" s="11" t="n">
        <v>64.51</v>
      </c>
      <c r="K594" s="11" t="n">
        <v>46.98</v>
      </c>
      <c r="L594" s="11" t="n">
        <v>0.27</v>
      </c>
      <c r="M594" s="11" t="n">
        <v>0.54</v>
      </c>
      <c r="N594" s="11" t="n">
        <v>1</v>
      </c>
      <c r="O594" s="11" t="n">
        <v>4.5</v>
      </c>
      <c r="P594" s="11" t="n">
        <v>1.08</v>
      </c>
      <c r="Q594" s="11" t="n">
        <v>8.1</v>
      </c>
      <c r="R594" s="11" t="n">
        <f aca="false">SUM(K594:Q594)</f>
        <v>62.47</v>
      </c>
      <c r="S594" s="11" t="n">
        <f aca="false">R594/(1-Resumo!$C$6)</f>
        <v>70.9886363636364</v>
      </c>
      <c r="T594" s="11" t="n">
        <f aca="false">S594-J594</f>
        <v>6.47863636363636</v>
      </c>
      <c r="U594" s="12" t="n">
        <f aca="false">IFERROR(S594/J594-1,0)</f>
        <v>0.100428404334775</v>
      </c>
      <c r="V594" s="2" t="str">
        <f aca="false">IF(S594&lt;J594,"SIM","NÃO")</f>
        <v>NÃO</v>
      </c>
      <c r="W594" s="2" t="n">
        <v>5</v>
      </c>
      <c r="X594" s="2" t="s">
        <v>156</v>
      </c>
    </row>
    <row r="595" customFormat="false" ht="15" hidden="false" customHeight="false" outlineLevel="0" collapsed="false">
      <c r="A595" s="2" t="n">
        <v>372015753</v>
      </c>
      <c r="B595" s="29" t="n">
        <v>46239.4746875</v>
      </c>
      <c r="C595" s="2" t="s">
        <v>153</v>
      </c>
      <c r="D595" s="2" t="s">
        <v>780</v>
      </c>
      <c r="E595" s="2" t="s">
        <v>80</v>
      </c>
      <c r="F595" s="2" t="s">
        <v>112</v>
      </c>
      <c r="G595" s="30" t="n">
        <v>93.8</v>
      </c>
      <c r="H595" s="11" t="n">
        <v>999.99</v>
      </c>
      <c r="I595" s="11" t="s">
        <v>155</v>
      </c>
      <c r="J595" s="11" t="n">
        <v>173.63</v>
      </c>
      <c r="K595" s="11" t="n">
        <v>167.99</v>
      </c>
      <c r="L595" s="11" t="n">
        <v>1</v>
      </c>
      <c r="M595" s="11" t="n">
        <v>2</v>
      </c>
      <c r="N595" s="11" t="n">
        <v>1</v>
      </c>
      <c r="O595" s="11" t="n">
        <v>4.5</v>
      </c>
      <c r="P595" s="11" t="n">
        <v>5.64</v>
      </c>
      <c r="Q595" s="11" t="n">
        <v>42.3</v>
      </c>
      <c r="R595" s="11" t="n">
        <f aca="false">SUM(K595:Q595)</f>
        <v>224.43</v>
      </c>
      <c r="S595" s="11" t="n">
        <f aca="false">R595/(1-Resumo!$C$6)</f>
        <v>255.034090909091</v>
      </c>
      <c r="T595" s="11" t="n">
        <f aca="false">S595-J595</f>
        <v>81.4040909090909</v>
      </c>
      <c r="U595" s="12" t="n">
        <f aca="false">IFERROR(S595/J595-1,0)</f>
        <v>0.468836554219265</v>
      </c>
      <c r="V595" s="2" t="str">
        <f aca="false">IF(S595&lt;J595,"SIM","NÃO")</f>
        <v>NÃO</v>
      </c>
      <c r="W595" s="2" t="n">
        <v>5</v>
      </c>
      <c r="X595" s="2" t="s">
        <v>156</v>
      </c>
    </row>
    <row r="596" customFormat="false" ht="15" hidden="false" customHeight="false" outlineLevel="0" collapsed="false">
      <c r="A596" s="2" t="n">
        <v>372022030</v>
      </c>
      <c r="B596" s="29" t="n">
        <v>46239.4860416667</v>
      </c>
      <c r="C596" s="2" t="s">
        <v>158</v>
      </c>
      <c r="D596" s="2" t="s">
        <v>781</v>
      </c>
      <c r="E596" s="2" t="s">
        <v>78</v>
      </c>
      <c r="F596" s="2" t="s">
        <v>114</v>
      </c>
      <c r="G596" s="30" t="n">
        <v>128</v>
      </c>
      <c r="H596" s="11" t="n">
        <v>1503.01</v>
      </c>
      <c r="I596" s="11" t="s">
        <v>155</v>
      </c>
      <c r="J596" s="11" t="n">
        <v>233.5</v>
      </c>
      <c r="K596" s="11" t="n">
        <v>239.25</v>
      </c>
      <c r="L596" s="11" t="n">
        <v>1.503</v>
      </c>
      <c r="M596" s="11" t="n">
        <v>3.006</v>
      </c>
      <c r="N596" s="11" t="n">
        <v>1</v>
      </c>
      <c r="O596" s="11" t="n">
        <v>9</v>
      </c>
      <c r="P596" s="11" t="n">
        <v>7.68</v>
      </c>
      <c r="Q596" s="11" t="n">
        <v>57.6</v>
      </c>
      <c r="R596" s="11" t="n">
        <f aca="false">SUM(K596:Q596)</f>
        <v>319.039</v>
      </c>
      <c r="S596" s="11" t="n">
        <f aca="false">R596/(1-Resumo!$C$6)</f>
        <v>362.544318181818</v>
      </c>
      <c r="T596" s="11" t="n">
        <f aca="false">S596-J596</f>
        <v>129.044318181818</v>
      </c>
      <c r="U596" s="12" t="n">
        <f aca="false">IFERROR(S596/J596-1,0)</f>
        <v>0.552652326260464</v>
      </c>
      <c r="V596" s="2" t="str">
        <f aca="false">IF(S596&lt;J596,"SIM","NÃO")</f>
        <v>NÃO</v>
      </c>
      <c r="W596" s="2" t="n">
        <v>5</v>
      </c>
      <c r="X596" s="2" t="s">
        <v>156</v>
      </c>
    </row>
    <row r="597" customFormat="false" ht="15" hidden="false" customHeight="false" outlineLevel="0" collapsed="false">
      <c r="A597" s="2" t="n">
        <v>372023472</v>
      </c>
      <c r="B597" s="29" t="n">
        <v>46239.4887615741</v>
      </c>
      <c r="C597" s="2" t="s">
        <v>153</v>
      </c>
      <c r="D597" s="2" t="s">
        <v>782</v>
      </c>
      <c r="E597" s="2" t="s">
        <v>80</v>
      </c>
      <c r="F597" s="2" t="s">
        <v>109</v>
      </c>
      <c r="G597" s="30" t="n">
        <v>59.9</v>
      </c>
      <c r="H597" s="11" t="n">
        <v>919.99</v>
      </c>
      <c r="I597" s="11" t="s">
        <v>155</v>
      </c>
      <c r="J597" s="11" t="n">
        <v>129.69</v>
      </c>
      <c r="K597" s="11" t="n">
        <v>112.3</v>
      </c>
      <c r="L597" s="11" t="n">
        <v>0.92</v>
      </c>
      <c r="M597" s="11" t="n">
        <v>1.84</v>
      </c>
      <c r="N597" s="11" t="n">
        <v>1</v>
      </c>
      <c r="O597" s="11" t="n">
        <v>4.5</v>
      </c>
      <c r="P597" s="11" t="n">
        <v>3.6</v>
      </c>
      <c r="Q597" s="11" t="n">
        <v>27</v>
      </c>
      <c r="R597" s="11" t="n">
        <f aca="false">SUM(K597:Q597)</f>
        <v>151.16</v>
      </c>
      <c r="S597" s="11" t="n">
        <f aca="false">R597/(1-Resumo!$C$6)</f>
        <v>171.772727272727</v>
      </c>
      <c r="T597" s="11" t="n">
        <f aca="false">S597-J597</f>
        <v>42.0827272727273</v>
      </c>
      <c r="U597" s="12" t="n">
        <f aca="false">IFERROR(S597/J597-1,0)</f>
        <v>0.324487063557154</v>
      </c>
      <c r="V597" s="2" t="str">
        <f aca="false">IF(S597&lt;J597,"SIM","NÃO")</f>
        <v>NÃO</v>
      </c>
      <c r="W597" s="2" t="n">
        <v>5</v>
      </c>
      <c r="X597" s="2" t="s">
        <v>156</v>
      </c>
    </row>
    <row r="598" customFormat="false" ht="15" hidden="false" customHeight="false" outlineLevel="0" collapsed="false">
      <c r="A598" s="2" t="n">
        <v>372029006</v>
      </c>
      <c r="B598" s="29" t="n">
        <v>46239.4996875</v>
      </c>
      <c r="C598" s="2" t="s">
        <v>153</v>
      </c>
      <c r="D598" s="2" t="s">
        <v>783</v>
      </c>
      <c r="E598" s="2" t="s">
        <v>83</v>
      </c>
      <c r="F598" s="2" t="s">
        <v>107</v>
      </c>
      <c r="G598" s="30" t="n">
        <v>35.3</v>
      </c>
      <c r="H598" s="11" t="n">
        <v>479.8</v>
      </c>
      <c r="I598" s="11" t="s">
        <v>350</v>
      </c>
      <c r="J598" s="11" t="n">
        <v>122.49</v>
      </c>
      <c r="K598" s="11" t="n">
        <v>143.04</v>
      </c>
      <c r="L598" s="11" t="n">
        <v>0.4798</v>
      </c>
      <c r="M598" s="11" t="n">
        <v>0.9596</v>
      </c>
      <c r="N598" s="11" t="n">
        <v>1</v>
      </c>
      <c r="O598" s="11" t="n">
        <v>4.5</v>
      </c>
      <c r="P598" s="11" t="n">
        <v>2.16</v>
      </c>
      <c r="Q598" s="11" t="n">
        <v>16.2</v>
      </c>
      <c r="R598" s="11" t="n">
        <f aca="false">SUM(K598:Q598)</f>
        <v>168.3394</v>
      </c>
      <c r="S598" s="11" t="n">
        <f aca="false">R598/(1-Resumo!$C$6)</f>
        <v>191.294772727273</v>
      </c>
      <c r="T598" s="11" t="n">
        <f aca="false">S598-J598</f>
        <v>68.8047727272727</v>
      </c>
      <c r="U598" s="12" t="n">
        <f aca="false">IFERROR(S598/J598-1,0)</f>
        <v>0.561717468587417</v>
      </c>
      <c r="V598" s="2" t="str">
        <f aca="false">IF(S598&lt;J598,"SIM","NÃO")</f>
        <v>NÃO</v>
      </c>
      <c r="W598" s="2" t="n">
        <v>11</v>
      </c>
      <c r="X598" s="2" t="s">
        <v>156</v>
      </c>
    </row>
    <row r="599" customFormat="false" ht="15" hidden="false" customHeight="false" outlineLevel="0" collapsed="false">
      <c r="A599" s="2" t="n">
        <v>372040152</v>
      </c>
      <c r="B599" s="29" t="n">
        <v>46239.5210416667</v>
      </c>
      <c r="C599" s="2" t="s">
        <v>153</v>
      </c>
      <c r="D599" s="2" t="s">
        <v>784</v>
      </c>
      <c r="E599" s="2" t="s">
        <v>86</v>
      </c>
      <c r="F599" s="2" t="s">
        <v>106</v>
      </c>
      <c r="G599" s="30" t="n">
        <v>29.2</v>
      </c>
      <c r="H599" s="11" t="n">
        <v>449.99</v>
      </c>
      <c r="I599" s="11" t="s">
        <v>350</v>
      </c>
      <c r="J599" s="11" t="n">
        <v>100.89</v>
      </c>
      <c r="K599" s="11" t="n">
        <v>82.21</v>
      </c>
      <c r="L599" s="11" t="n">
        <v>0.45</v>
      </c>
      <c r="M599" s="11" t="n">
        <v>0.9</v>
      </c>
      <c r="N599" s="11" t="n">
        <v>1</v>
      </c>
      <c r="O599" s="11" t="n">
        <v>4.5</v>
      </c>
      <c r="P599" s="11" t="n">
        <v>1.8</v>
      </c>
      <c r="Q599" s="11" t="n">
        <v>13.5</v>
      </c>
      <c r="R599" s="11" t="n">
        <f aca="false">SUM(K599:Q599)</f>
        <v>104.36</v>
      </c>
      <c r="S599" s="11" t="n">
        <f aca="false">R599/(1-Resumo!$C$6)</f>
        <v>118.590909090909</v>
      </c>
      <c r="T599" s="11" t="n">
        <f aca="false">S599-J599</f>
        <v>17.7009090909091</v>
      </c>
      <c r="U599" s="12" t="n">
        <f aca="false">IFERROR(S599/J599-1,0)</f>
        <v>0.175447607204967</v>
      </c>
      <c r="V599" s="2" t="str">
        <f aca="false">IF(S599&lt;J599,"SIM","NÃO")</f>
        <v>NÃO</v>
      </c>
      <c r="W599" s="2" t="n">
        <v>5</v>
      </c>
      <c r="X599" s="2" t="s">
        <v>156</v>
      </c>
    </row>
    <row r="600" customFormat="false" ht="15" hidden="false" customHeight="false" outlineLevel="0" collapsed="false">
      <c r="A600" s="2" t="n">
        <v>372049200</v>
      </c>
      <c r="B600" s="29" t="n">
        <v>46239.5375810185</v>
      </c>
      <c r="C600" s="2" t="s">
        <v>153</v>
      </c>
      <c r="D600" s="2" t="s">
        <v>785</v>
      </c>
      <c r="E600" s="2" t="s">
        <v>78</v>
      </c>
      <c r="F600" s="2" t="s">
        <v>110</v>
      </c>
      <c r="G600" s="30" t="n">
        <v>69</v>
      </c>
      <c r="H600" s="11" t="n">
        <v>721.82</v>
      </c>
      <c r="I600" s="11" t="s">
        <v>155</v>
      </c>
      <c r="J600" s="11" t="n">
        <v>124.66</v>
      </c>
      <c r="K600" s="11" t="n">
        <v>131.02</v>
      </c>
      <c r="L600" s="11" t="n">
        <v>0.7218</v>
      </c>
      <c r="M600" s="11" t="n">
        <v>1.4436</v>
      </c>
      <c r="N600" s="11" t="n">
        <v>1</v>
      </c>
      <c r="O600" s="11" t="n">
        <v>4.5</v>
      </c>
      <c r="P600" s="11" t="n">
        <v>4.14</v>
      </c>
      <c r="Q600" s="11" t="n">
        <v>31.05</v>
      </c>
      <c r="R600" s="11" t="n">
        <f aca="false">SUM(K600:Q600)</f>
        <v>173.8754</v>
      </c>
      <c r="S600" s="11" t="n">
        <f aca="false">R600/(1-Resumo!$C$6)</f>
        <v>197.585681818182</v>
      </c>
      <c r="T600" s="11" t="n">
        <f aca="false">S600-J600</f>
        <v>72.9256818181818</v>
      </c>
      <c r="U600" s="12" t="n">
        <f aca="false">IFERROR(S600/J600-1,0)</f>
        <v>0.584996645421</v>
      </c>
      <c r="V600" s="2" t="str">
        <f aca="false">IF(S600&lt;J600,"SIM","NÃO")</f>
        <v>NÃO</v>
      </c>
      <c r="W600" s="2" t="n">
        <v>5</v>
      </c>
      <c r="X600" s="2" t="s">
        <v>156</v>
      </c>
    </row>
    <row r="601" customFormat="false" ht="15" hidden="false" customHeight="false" outlineLevel="0" collapsed="false">
      <c r="A601" s="2" t="n">
        <v>372049805</v>
      </c>
      <c r="B601" s="29" t="n">
        <v>46239.5390277778</v>
      </c>
      <c r="C601" s="2" t="s">
        <v>153</v>
      </c>
      <c r="D601" s="2" t="s">
        <v>786</v>
      </c>
      <c r="E601" s="2" t="s">
        <v>160</v>
      </c>
      <c r="F601" s="2" t="s">
        <v>106</v>
      </c>
      <c r="G601" s="30" t="n">
        <v>29.2</v>
      </c>
      <c r="H601" s="11" t="n">
        <v>426.78</v>
      </c>
      <c r="I601" s="11" t="s">
        <v>350</v>
      </c>
      <c r="J601" s="11" t="n">
        <v>100.8</v>
      </c>
      <c r="K601" s="11" t="n">
        <v>82.21</v>
      </c>
      <c r="L601" s="11" t="n">
        <v>0.4268</v>
      </c>
      <c r="M601" s="11" t="n">
        <v>0.8536</v>
      </c>
      <c r="N601" s="11" t="n">
        <v>1</v>
      </c>
      <c r="O601" s="11" t="n">
        <v>4.5</v>
      </c>
      <c r="P601" s="11" t="n">
        <v>1.8</v>
      </c>
      <c r="Q601" s="11" t="n">
        <v>13.5</v>
      </c>
      <c r="R601" s="11" t="n">
        <f aca="false">SUM(K601:Q601)</f>
        <v>104.2904</v>
      </c>
      <c r="S601" s="11" t="n">
        <f aca="false">R601/(1-Resumo!$C$6)</f>
        <v>118.511818181818</v>
      </c>
      <c r="T601" s="11" t="n">
        <f aca="false">S601-J601</f>
        <v>17.7118181818182</v>
      </c>
      <c r="U601" s="12" t="n">
        <f aca="false">IFERROR(S601/J601-1,0)</f>
        <v>0.175712481962482</v>
      </c>
      <c r="V601" s="2" t="str">
        <f aca="false">IF(S601&lt;J601,"SIM","NÃO")</f>
        <v>NÃO</v>
      </c>
      <c r="W601" s="2" t="n">
        <v>5</v>
      </c>
      <c r="X601" s="2" t="s">
        <v>161</v>
      </c>
    </row>
    <row r="602" customFormat="false" ht="15" hidden="false" customHeight="false" outlineLevel="0" collapsed="false">
      <c r="A602" s="2" t="n">
        <v>372069194</v>
      </c>
      <c r="B602" s="29" t="n">
        <v>46239.5740393519</v>
      </c>
      <c r="C602" s="2" t="s">
        <v>153</v>
      </c>
      <c r="D602" s="2" t="s">
        <v>787</v>
      </c>
      <c r="E602" s="2" t="s">
        <v>78</v>
      </c>
      <c r="F602" s="2" t="s">
        <v>109</v>
      </c>
      <c r="G602" s="30" t="n">
        <v>52.3</v>
      </c>
      <c r="H602" s="11" t="n">
        <v>685.85</v>
      </c>
      <c r="I602" s="11" t="s">
        <v>350</v>
      </c>
      <c r="J602" s="11" t="n">
        <v>113.56</v>
      </c>
      <c r="K602" s="11" t="n">
        <v>112.3</v>
      </c>
      <c r="L602" s="11" t="n">
        <v>0.6859</v>
      </c>
      <c r="M602" s="11" t="n">
        <v>1.3717</v>
      </c>
      <c r="N602" s="11" t="n">
        <v>1</v>
      </c>
      <c r="O602" s="11" t="n">
        <v>4.5</v>
      </c>
      <c r="P602" s="11" t="n">
        <v>3.18</v>
      </c>
      <c r="Q602" s="11" t="n">
        <v>23.85</v>
      </c>
      <c r="R602" s="11" t="n">
        <f aca="false">SUM(K602:Q602)</f>
        <v>146.8876</v>
      </c>
      <c r="S602" s="11" t="n">
        <f aca="false">R602/(1-Resumo!$C$6)</f>
        <v>166.917727272727</v>
      </c>
      <c r="T602" s="11" t="n">
        <f aca="false">S602-J602</f>
        <v>53.3577272727273</v>
      </c>
      <c r="U602" s="12" t="n">
        <f aca="false">IFERROR(S602/J602-1,0)</f>
        <v>0.469863748438951</v>
      </c>
      <c r="V602" s="2" t="str">
        <f aca="false">IF(S602&lt;J602,"SIM","NÃO")</f>
        <v>NÃO</v>
      </c>
      <c r="W602" s="2" t="n">
        <v>5</v>
      </c>
      <c r="X602" s="2" t="s">
        <v>156</v>
      </c>
    </row>
    <row r="603" customFormat="false" ht="15" hidden="false" customHeight="false" outlineLevel="0" collapsed="false">
      <c r="A603" s="2" t="n">
        <v>372071497</v>
      </c>
      <c r="B603" s="29" t="n">
        <v>46239.578599537</v>
      </c>
      <c r="C603" s="2" t="s">
        <v>153</v>
      </c>
      <c r="D603" s="2" t="s">
        <v>788</v>
      </c>
      <c r="E603" s="2" t="s">
        <v>85</v>
      </c>
      <c r="F603" s="2" t="s">
        <v>109</v>
      </c>
      <c r="G603" s="30" t="n">
        <v>52.3</v>
      </c>
      <c r="H603" s="11" t="n">
        <v>699.99</v>
      </c>
      <c r="I603" s="11" t="s">
        <v>350</v>
      </c>
      <c r="J603" s="11" t="n">
        <v>142.01</v>
      </c>
      <c r="K603" s="11" t="n">
        <v>162.04</v>
      </c>
      <c r="L603" s="11" t="n">
        <v>0.7</v>
      </c>
      <c r="M603" s="11" t="n">
        <v>1.4</v>
      </c>
      <c r="N603" s="11" t="n">
        <v>1</v>
      </c>
      <c r="O603" s="11" t="n">
        <v>4.5</v>
      </c>
      <c r="P603" s="11" t="n">
        <v>3.18</v>
      </c>
      <c r="Q603" s="11" t="n">
        <v>23.85</v>
      </c>
      <c r="R603" s="11" t="n">
        <f aca="false">SUM(K603:Q603)</f>
        <v>196.67</v>
      </c>
      <c r="S603" s="11" t="n">
        <f aca="false">R603/(1-Resumo!$C$6)</f>
        <v>223.488636363636</v>
      </c>
      <c r="T603" s="11" t="n">
        <f aca="false">S603-J603</f>
        <v>81.4786363636364</v>
      </c>
      <c r="U603" s="12" t="n">
        <f aca="false">IFERROR(S603/J603-1,0)</f>
        <v>0.573752808701052</v>
      </c>
      <c r="V603" s="2" t="str">
        <f aca="false">IF(S603&lt;J603,"SIM","NÃO")</f>
        <v>NÃO</v>
      </c>
      <c r="W603" s="2" t="n">
        <v>11</v>
      </c>
      <c r="X603" s="2" t="s">
        <v>156</v>
      </c>
    </row>
    <row r="604" customFormat="false" ht="15" hidden="false" customHeight="false" outlineLevel="0" collapsed="false">
      <c r="A604" s="2" t="n">
        <v>372077176</v>
      </c>
      <c r="B604" s="29" t="n">
        <v>46239.5894791667</v>
      </c>
      <c r="C604" s="2" t="s">
        <v>153</v>
      </c>
      <c r="D604" s="2" t="s">
        <v>789</v>
      </c>
      <c r="E604" s="2" t="s">
        <v>412</v>
      </c>
      <c r="F604" s="2" t="s">
        <v>107</v>
      </c>
      <c r="G604" s="30" t="n">
        <v>40</v>
      </c>
      <c r="H604" s="11" t="n">
        <v>569.99</v>
      </c>
      <c r="I604" s="11" t="s">
        <v>350</v>
      </c>
      <c r="J604" s="11" t="n">
        <v>124.97</v>
      </c>
      <c r="K604" s="11" t="n">
        <v>124.38</v>
      </c>
      <c r="L604" s="11" t="n">
        <v>0.57</v>
      </c>
      <c r="M604" s="11" t="n">
        <v>1.14</v>
      </c>
      <c r="N604" s="11" t="n">
        <v>1</v>
      </c>
      <c r="O604" s="11" t="n">
        <v>4.5</v>
      </c>
      <c r="P604" s="11" t="n">
        <v>2.4</v>
      </c>
      <c r="Q604" s="11" t="n">
        <v>18</v>
      </c>
      <c r="R604" s="11" t="n">
        <f aca="false">SUM(K604:Q604)</f>
        <v>151.99</v>
      </c>
      <c r="S604" s="11" t="n">
        <f aca="false">R604/(1-Resumo!$C$6)</f>
        <v>172.715909090909</v>
      </c>
      <c r="T604" s="11" t="n">
        <f aca="false">S604-J604</f>
        <v>47.7459090909091</v>
      </c>
      <c r="U604" s="12" t="n">
        <f aca="false">IFERROR(S604/J604-1,0)</f>
        <v>0.382058966879324</v>
      </c>
      <c r="V604" s="2" t="str">
        <f aca="false">IF(S604&lt;J604,"SIM","NÃO")</f>
        <v>NÃO</v>
      </c>
      <c r="W604" s="2" t="n">
        <v>10</v>
      </c>
      <c r="X604" s="2" t="s">
        <v>161</v>
      </c>
    </row>
    <row r="605" customFormat="false" ht="15" hidden="false" customHeight="false" outlineLevel="0" collapsed="false">
      <c r="A605" s="2" t="n">
        <v>372084797</v>
      </c>
      <c r="B605" s="29" t="n">
        <v>46239.6053703704</v>
      </c>
      <c r="C605" s="2" t="s">
        <v>178</v>
      </c>
      <c r="D605" s="2" t="s">
        <v>790</v>
      </c>
      <c r="E605" s="2" t="s">
        <v>164</v>
      </c>
      <c r="F605" s="2" t="s">
        <v>107</v>
      </c>
      <c r="G605" s="30" t="n">
        <v>37.2</v>
      </c>
      <c r="H605" s="11" t="n">
        <v>459.99</v>
      </c>
      <c r="I605" s="11" t="s">
        <v>350</v>
      </c>
      <c r="J605" s="11" t="n">
        <v>114.17</v>
      </c>
      <c r="K605" s="11" t="n">
        <v>93.97</v>
      </c>
      <c r="L605" s="11" t="n">
        <v>0.46</v>
      </c>
      <c r="M605" s="11" t="n">
        <v>0.92</v>
      </c>
      <c r="N605" s="11" t="n">
        <v>1</v>
      </c>
      <c r="O605" s="11" t="n">
        <v>4.5</v>
      </c>
      <c r="P605" s="11" t="n">
        <v>2.28</v>
      </c>
      <c r="Q605" s="11" t="n">
        <v>17.1</v>
      </c>
      <c r="R605" s="11" t="n">
        <f aca="false">SUM(K605:Q605)</f>
        <v>120.23</v>
      </c>
      <c r="S605" s="11" t="n">
        <f aca="false">R605/(1-Resumo!$C$6)</f>
        <v>136.625</v>
      </c>
      <c r="T605" s="11" t="n">
        <f aca="false">S605-J605</f>
        <v>22.455</v>
      </c>
      <c r="U605" s="12" t="n">
        <f aca="false">IFERROR(S605/J605-1,0)</f>
        <v>0.196680388893755</v>
      </c>
      <c r="V605" s="2" t="str">
        <f aca="false">IF(S605&lt;J605,"SIM","NÃO")</f>
        <v>NÃO</v>
      </c>
      <c r="W605" s="2" t="n">
        <v>5</v>
      </c>
      <c r="X605" s="2" t="s">
        <v>161</v>
      </c>
    </row>
    <row r="606" customFormat="false" ht="15" hidden="false" customHeight="false" outlineLevel="0" collapsed="false">
      <c r="A606" s="2" t="n">
        <v>372090006</v>
      </c>
      <c r="B606" s="29" t="n">
        <v>46239.6148148148</v>
      </c>
      <c r="C606" s="2" t="s">
        <v>153</v>
      </c>
      <c r="D606" s="2" t="s">
        <v>791</v>
      </c>
      <c r="E606" s="2" t="s">
        <v>78</v>
      </c>
      <c r="F606" s="2" t="s">
        <v>109</v>
      </c>
      <c r="G606" s="30" t="n">
        <v>52.3</v>
      </c>
      <c r="H606" s="11" t="n">
        <v>685.85</v>
      </c>
      <c r="I606" s="11" t="s">
        <v>350</v>
      </c>
      <c r="J606" s="11" t="n">
        <v>113.56</v>
      </c>
      <c r="K606" s="11" t="n">
        <v>112.3</v>
      </c>
      <c r="L606" s="11" t="n">
        <v>0.6859</v>
      </c>
      <c r="M606" s="11" t="n">
        <v>1.3717</v>
      </c>
      <c r="N606" s="11" t="n">
        <v>1</v>
      </c>
      <c r="O606" s="11" t="n">
        <v>4.5</v>
      </c>
      <c r="P606" s="11" t="n">
        <v>3.18</v>
      </c>
      <c r="Q606" s="11" t="n">
        <v>23.85</v>
      </c>
      <c r="R606" s="11" t="n">
        <f aca="false">SUM(K606:Q606)</f>
        <v>146.8876</v>
      </c>
      <c r="S606" s="11" t="n">
        <f aca="false">R606/(1-Resumo!$C$6)</f>
        <v>166.917727272727</v>
      </c>
      <c r="T606" s="11" t="n">
        <f aca="false">S606-J606</f>
        <v>53.3577272727273</v>
      </c>
      <c r="U606" s="12" t="n">
        <f aca="false">IFERROR(S606/J606-1,0)</f>
        <v>0.469863748438951</v>
      </c>
      <c r="V606" s="2" t="str">
        <f aca="false">IF(S606&lt;J606,"SIM","NÃO")</f>
        <v>NÃO</v>
      </c>
      <c r="W606" s="2" t="n">
        <v>5</v>
      </c>
      <c r="X606" s="2" t="s">
        <v>156</v>
      </c>
    </row>
    <row r="607" customFormat="false" ht="15" hidden="false" customHeight="false" outlineLevel="0" collapsed="false">
      <c r="A607" s="2" t="n">
        <v>372092908</v>
      </c>
      <c r="B607" s="29" t="n">
        <v>46239.6216666667</v>
      </c>
      <c r="C607" s="2" t="s">
        <v>153</v>
      </c>
      <c r="D607" s="2" t="s">
        <v>792</v>
      </c>
      <c r="E607" s="2" t="s">
        <v>79</v>
      </c>
      <c r="F607" s="2" t="s">
        <v>109</v>
      </c>
      <c r="G607" s="30" t="n">
        <v>52.3</v>
      </c>
      <c r="H607" s="11" t="n">
        <v>699.99</v>
      </c>
      <c r="I607" s="11" t="s">
        <v>350</v>
      </c>
      <c r="J607" s="11" t="n">
        <v>127.69</v>
      </c>
      <c r="K607" s="11" t="n">
        <v>128.14</v>
      </c>
      <c r="L607" s="11" t="n">
        <v>0.7</v>
      </c>
      <c r="M607" s="11" t="n">
        <v>1.4</v>
      </c>
      <c r="N607" s="11" t="n">
        <v>1</v>
      </c>
      <c r="O607" s="11" t="n">
        <v>4.5</v>
      </c>
      <c r="P607" s="11" t="n">
        <v>3.18</v>
      </c>
      <c r="Q607" s="11" t="n">
        <v>23.85</v>
      </c>
      <c r="R607" s="11" t="n">
        <f aca="false">SUM(K607:Q607)</f>
        <v>162.77</v>
      </c>
      <c r="S607" s="11" t="n">
        <f aca="false">R607/(1-Resumo!$C$6)</f>
        <v>184.965909090909</v>
      </c>
      <c r="T607" s="11" t="n">
        <f aca="false">S607-J607</f>
        <v>57.2759090909091</v>
      </c>
      <c r="U607" s="12" t="n">
        <f aca="false">IFERROR(S607/J607-1,0)</f>
        <v>0.448554382417645</v>
      </c>
      <c r="V607" s="2" t="str">
        <f aca="false">IF(S607&lt;J607,"SIM","NÃO")</f>
        <v>NÃO</v>
      </c>
      <c r="W607" s="2" t="n">
        <v>7</v>
      </c>
      <c r="X607" s="2" t="s">
        <v>156</v>
      </c>
    </row>
    <row r="608" customFormat="false" ht="15" hidden="false" customHeight="false" outlineLevel="0" collapsed="false">
      <c r="A608" s="2" t="n">
        <v>372095310</v>
      </c>
      <c r="B608" s="29" t="n">
        <v>46239.6224305556</v>
      </c>
      <c r="C608" s="2" t="s">
        <v>158</v>
      </c>
      <c r="D608" s="2" t="s">
        <v>793</v>
      </c>
      <c r="E608" s="2" t="s">
        <v>78</v>
      </c>
      <c r="F608" s="2" t="s">
        <v>114</v>
      </c>
      <c r="G608" s="30" t="n">
        <v>124.2</v>
      </c>
      <c r="H608" s="11" t="n">
        <v>1699.99</v>
      </c>
      <c r="I608" s="11" t="s">
        <v>155</v>
      </c>
      <c r="J608" s="11" t="n">
        <v>234.44</v>
      </c>
      <c r="K608" s="11" t="n">
        <v>239.25</v>
      </c>
      <c r="L608" s="11" t="n">
        <v>1.7</v>
      </c>
      <c r="M608" s="11" t="n">
        <v>3.4</v>
      </c>
      <c r="N608" s="11" t="n">
        <v>1</v>
      </c>
      <c r="O608" s="11" t="n">
        <v>9</v>
      </c>
      <c r="P608" s="11" t="n">
        <v>7.5</v>
      </c>
      <c r="Q608" s="11" t="n">
        <v>56.25</v>
      </c>
      <c r="R608" s="11" t="n">
        <f aca="false">SUM(K608:Q608)</f>
        <v>318.1</v>
      </c>
      <c r="S608" s="11" t="n">
        <f aca="false">R608/(1-Resumo!$C$6)</f>
        <v>361.477272727273</v>
      </c>
      <c r="T608" s="11" t="n">
        <f aca="false">S608-J608</f>
        <v>127.037272727273</v>
      </c>
      <c r="U608" s="12" t="n">
        <f aca="false">IFERROR(S608/J608-1,0)</f>
        <v>0.54187541685409</v>
      </c>
      <c r="V608" s="2" t="str">
        <f aca="false">IF(S608&lt;J608,"SIM","NÃO")</f>
        <v>NÃO</v>
      </c>
      <c r="W608" s="2" t="n">
        <v>5</v>
      </c>
      <c r="X608" s="2" t="s">
        <v>156</v>
      </c>
    </row>
    <row r="609" customFormat="false" ht="15" hidden="false" customHeight="false" outlineLevel="0" collapsed="false">
      <c r="A609" s="2" t="n">
        <v>372095799</v>
      </c>
      <c r="B609" s="29" t="n">
        <v>46239.6275578704</v>
      </c>
      <c r="C609" s="2" t="s">
        <v>153</v>
      </c>
      <c r="D609" s="2" t="s">
        <v>794</v>
      </c>
      <c r="E609" s="2" t="s">
        <v>78</v>
      </c>
      <c r="F609" s="2" t="s">
        <v>110</v>
      </c>
      <c r="G609" s="30" t="n">
        <v>66.8</v>
      </c>
      <c r="H609" s="11" t="n">
        <v>719.99</v>
      </c>
      <c r="I609" s="11" t="s">
        <v>155</v>
      </c>
      <c r="J609" s="11" t="n">
        <v>124.66</v>
      </c>
      <c r="K609" s="11" t="n">
        <v>131.02</v>
      </c>
      <c r="L609" s="11" t="n">
        <v>0.72</v>
      </c>
      <c r="M609" s="11" t="n">
        <v>1.44</v>
      </c>
      <c r="N609" s="11" t="n">
        <v>1</v>
      </c>
      <c r="O609" s="11" t="n">
        <v>4.5</v>
      </c>
      <c r="P609" s="11" t="n">
        <v>4.02</v>
      </c>
      <c r="Q609" s="11" t="n">
        <v>30.15</v>
      </c>
      <c r="R609" s="11" t="n">
        <f aca="false">SUM(K609:Q609)</f>
        <v>172.85</v>
      </c>
      <c r="S609" s="11" t="n">
        <f aca="false">R609/(1-Resumo!$C$6)</f>
        <v>196.420454545455</v>
      </c>
      <c r="T609" s="11" t="n">
        <f aca="false">S609-J609</f>
        <v>71.7604545454546</v>
      </c>
      <c r="U609" s="12" t="n">
        <f aca="false">IFERROR(S609/J609-1,0)</f>
        <v>0.575649402739087</v>
      </c>
      <c r="V609" s="2" t="str">
        <f aca="false">IF(S609&lt;J609,"SIM","NÃO")</f>
        <v>NÃO</v>
      </c>
      <c r="W609" s="2" t="n">
        <v>5</v>
      </c>
      <c r="X609" s="2" t="s">
        <v>156</v>
      </c>
    </row>
    <row r="610" customFormat="false" ht="15" hidden="false" customHeight="false" outlineLevel="0" collapsed="false">
      <c r="A610" s="2" t="n">
        <v>372098408</v>
      </c>
      <c r="B610" s="29" t="n">
        <v>46239.6306712963</v>
      </c>
      <c r="C610" s="2" t="s">
        <v>158</v>
      </c>
      <c r="D610" s="2" t="s">
        <v>795</v>
      </c>
      <c r="E610" s="2" t="s">
        <v>342</v>
      </c>
      <c r="F610" s="2" t="s">
        <v>109</v>
      </c>
      <c r="G610" s="30" t="n">
        <v>59.9</v>
      </c>
      <c r="H610" s="11" t="n">
        <v>945.99</v>
      </c>
      <c r="I610" s="11" t="s">
        <v>350</v>
      </c>
      <c r="J610" s="11" t="n">
        <v>146.77</v>
      </c>
      <c r="K610" s="11" t="n">
        <v>142.32</v>
      </c>
      <c r="L610" s="11" t="n">
        <v>0.946</v>
      </c>
      <c r="M610" s="11" t="n">
        <v>1.892</v>
      </c>
      <c r="N610" s="11" t="n">
        <v>1</v>
      </c>
      <c r="O610" s="11" t="n">
        <v>4.5</v>
      </c>
      <c r="P610" s="11" t="n">
        <v>3.6</v>
      </c>
      <c r="Q610" s="11" t="n">
        <v>27</v>
      </c>
      <c r="R610" s="11" t="n">
        <f aca="false">SUM(K610:Q610)</f>
        <v>181.258</v>
      </c>
      <c r="S610" s="11" t="n">
        <f aca="false">R610/(1-Resumo!$C$6)</f>
        <v>205.975</v>
      </c>
      <c r="T610" s="11" t="n">
        <f aca="false">S610-J610</f>
        <v>59.205</v>
      </c>
      <c r="U610" s="12" t="n">
        <f aca="false">IFERROR(S610/J610-1,0)</f>
        <v>0.403386250596171</v>
      </c>
      <c r="V610" s="2" t="str">
        <f aca="false">IF(S610&lt;J610,"SIM","NÃO")</f>
        <v>NÃO</v>
      </c>
      <c r="W610" s="2" t="n">
        <v>10</v>
      </c>
      <c r="X610" s="2" t="s">
        <v>161</v>
      </c>
    </row>
    <row r="611" customFormat="false" ht="15" hidden="false" customHeight="false" outlineLevel="0" collapsed="false">
      <c r="A611" s="2" t="n">
        <v>372100077</v>
      </c>
      <c r="B611" s="29" t="n">
        <v>46239.6368981482</v>
      </c>
      <c r="C611" s="2" t="s">
        <v>194</v>
      </c>
      <c r="D611" s="2" t="s">
        <v>201</v>
      </c>
      <c r="E611" s="2" t="s">
        <v>84</v>
      </c>
      <c r="F611" s="2" t="s">
        <v>111</v>
      </c>
      <c r="G611" s="30" t="n">
        <v>71.9</v>
      </c>
      <c r="H611" s="11" t="n">
        <v>719.47</v>
      </c>
      <c r="I611" s="11" t="s">
        <v>350</v>
      </c>
      <c r="J611" s="11" t="n">
        <v>150.57</v>
      </c>
      <c r="K611" s="11" t="n">
        <v>134.39</v>
      </c>
      <c r="L611" s="11" t="n">
        <v>0.7195</v>
      </c>
      <c r="M611" s="11" t="n">
        <v>1.4389</v>
      </c>
      <c r="N611" s="11" t="n">
        <v>1</v>
      </c>
      <c r="O611" s="11" t="n">
        <v>4.5</v>
      </c>
      <c r="P611" s="11" t="n">
        <v>4.32</v>
      </c>
      <c r="Q611" s="11" t="n">
        <v>32.4</v>
      </c>
      <c r="R611" s="11" t="n">
        <f aca="false">SUM(K611:Q611)</f>
        <v>178.7684</v>
      </c>
      <c r="S611" s="11" t="n">
        <f aca="false">R611/(1-Resumo!$C$6)</f>
        <v>203.145909090909</v>
      </c>
      <c r="T611" s="11" t="n">
        <f aca="false">S611-J611</f>
        <v>52.5759090909091</v>
      </c>
      <c r="U611" s="12" t="n">
        <f aca="false">IFERROR(S611/J611-1,0)</f>
        <v>0.349179179723113</v>
      </c>
      <c r="V611" s="2" t="str">
        <f aca="false">IF(S611&lt;J611,"SIM","NÃO")</f>
        <v>NÃO</v>
      </c>
      <c r="W611" s="2" t="n">
        <v>5</v>
      </c>
      <c r="X611" s="2" t="s">
        <v>156</v>
      </c>
    </row>
    <row r="612" customFormat="false" ht="15" hidden="false" customHeight="false" outlineLevel="0" collapsed="false">
      <c r="A612" s="2" t="n">
        <v>372111796</v>
      </c>
      <c r="B612" s="29" t="n">
        <v>46239.6611689815</v>
      </c>
      <c r="C612" s="2" t="s">
        <v>178</v>
      </c>
      <c r="D612" s="2" t="s">
        <v>400</v>
      </c>
      <c r="E612" s="2" t="s">
        <v>78</v>
      </c>
      <c r="F612" s="2" t="s">
        <v>108</v>
      </c>
      <c r="G612" s="30" t="n">
        <v>43.5</v>
      </c>
      <c r="H612" s="11" t="n">
        <v>799.99</v>
      </c>
      <c r="I612" s="11" t="s">
        <v>350</v>
      </c>
      <c r="J612" s="11" t="n">
        <v>103.76</v>
      </c>
      <c r="K612" s="11" t="n">
        <v>93.97</v>
      </c>
      <c r="L612" s="11" t="n">
        <v>0.8</v>
      </c>
      <c r="M612" s="11" t="n">
        <v>1.6</v>
      </c>
      <c r="N612" s="11" t="n">
        <v>1</v>
      </c>
      <c r="O612" s="11" t="n">
        <v>4.5</v>
      </c>
      <c r="P612" s="11" t="n">
        <v>2.64</v>
      </c>
      <c r="Q612" s="11" t="n">
        <v>19.8</v>
      </c>
      <c r="R612" s="11" t="n">
        <f aca="false">SUM(K612:Q612)</f>
        <v>124.31</v>
      </c>
      <c r="S612" s="11" t="n">
        <f aca="false">R612/(1-Resumo!$C$6)</f>
        <v>141.261363636364</v>
      </c>
      <c r="T612" s="11" t="n">
        <f aca="false">S612-J612</f>
        <v>37.5013636363636</v>
      </c>
      <c r="U612" s="12" t="n">
        <f aca="false">IFERROR(S612/J612-1,0)</f>
        <v>0.361424090558632</v>
      </c>
      <c r="V612" s="2" t="str">
        <f aca="false">IF(S612&lt;J612,"SIM","NÃO")</f>
        <v>NÃO</v>
      </c>
      <c r="W612" s="2" t="n">
        <v>5</v>
      </c>
      <c r="X612" s="2" t="s">
        <v>156</v>
      </c>
    </row>
    <row r="613" customFormat="false" ht="15" hidden="false" customHeight="false" outlineLevel="0" collapsed="false">
      <c r="A613" s="2" t="n">
        <v>372121475</v>
      </c>
      <c r="B613" s="29" t="n">
        <v>46239.6754166667</v>
      </c>
      <c r="C613" s="2" t="s">
        <v>153</v>
      </c>
      <c r="D613" s="2" t="s">
        <v>796</v>
      </c>
      <c r="E613" s="2" t="s">
        <v>80</v>
      </c>
      <c r="F613" s="2" t="s">
        <v>109</v>
      </c>
      <c r="G613" s="30" t="n">
        <v>52.3</v>
      </c>
      <c r="H613" s="11" t="n">
        <v>685.85</v>
      </c>
      <c r="I613" s="11" t="s">
        <v>155</v>
      </c>
      <c r="J613" s="11" t="n">
        <v>128.57</v>
      </c>
      <c r="K613" s="11" t="n">
        <v>112.3</v>
      </c>
      <c r="L613" s="11" t="n">
        <v>0.6859</v>
      </c>
      <c r="M613" s="11" t="n">
        <v>1.3717</v>
      </c>
      <c r="N613" s="11" t="n">
        <v>1</v>
      </c>
      <c r="O613" s="11" t="n">
        <v>4.5</v>
      </c>
      <c r="P613" s="11" t="n">
        <v>3.18</v>
      </c>
      <c r="Q613" s="11" t="n">
        <v>23.85</v>
      </c>
      <c r="R613" s="11" t="n">
        <f aca="false">SUM(K613:Q613)</f>
        <v>146.8876</v>
      </c>
      <c r="S613" s="11" t="n">
        <f aca="false">R613/(1-Resumo!$C$6)</f>
        <v>166.917727272727</v>
      </c>
      <c r="T613" s="11" t="n">
        <f aca="false">S613-J613</f>
        <v>38.3477272727273</v>
      </c>
      <c r="U613" s="12" t="n">
        <f aca="false">IFERROR(S613/J613-1,0)</f>
        <v>0.298263415048046</v>
      </c>
      <c r="V613" s="2" t="str">
        <f aca="false">IF(S613&lt;J613,"SIM","NÃO")</f>
        <v>NÃO</v>
      </c>
      <c r="W613" s="2" t="n">
        <v>5</v>
      </c>
      <c r="X613" s="2" t="s">
        <v>156</v>
      </c>
    </row>
    <row r="614" customFormat="false" ht="15" hidden="false" customHeight="false" outlineLevel="0" collapsed="false">
      <c r="A614" s="2" t="n">
        <v>372151352</v>
      </c>
      <c r="B614" s="29" t="n">
        <v>46239.7263773148</v>
      </c>
      <c r="C614" s="2" t="s">
        <v>153</v>
      </c>
      <c r="D614" s="2" t="s">
        <v>797</v>
      </c>
      <c r="E614" s="2" t="s">
        <v>78</v>
      </c>
      <c r="F614" s="2" t="s">
        <v>107</v>
      </c>
      <c r="G614" s="30" t="n">
        <v>40</v>
      </c>
      <c r="H614" s="11" t="n">
        <v>579.99</v>
      </c>
      <c r="I614" s="11" t="s">
        <v>350</v>
      </c>
      <c r="J614" s="11" t="n">
        <v>94.76</v>
      </c>
      <c r="K614" s="11" t="n">
        <v>93.97</v>
      </c>
      <c r="L614" s="11" t="n">
        <v>0.58</v>
      </c>
      <c r="M614" s="11" t="n">
        <v>1.16</v>
      </c>
      <c r="N614" s="11" t="n">
        <v>1</v>
      </c>
      <c r="O614" s="11" t="n">
        <v>4.5</v>
      </c>
      <c r="P614" s="11" t="n">
        <v>2.4</v>
      </c>
      <c r="Q614" s="11" t="n">
        <v>18</v>
      </c>
      <c r="R614" s="11" t="n">
        <f aca="false">SUM(K614:Q614)</f>
        <v>121.61</v>
      </c>
      <c r="S614" s="11" t="n">
        <f aca="false">R614/(1-Resumo!$C$6)</f>
        <v>138.193181818182</v>
      </c>
      <c r="T614" s="11" t="n">
        <f aca="false">S614-J614</f>
        <v>43.4331818181818</v>
      </c>
      <c r="U614" s="12" t="n">
        <f aca="false">IFERROR(S614/J614-1,0)</f>
        <v>0.458349322690817</v>
      </c>
      <c r="V614" s="2" t="str">
        <f aca="false">IF(S614&lt;J614,"SIM","NÃO")</f>
        <v>NÃO</v>
      </c>
      <c r="W614" s="2" t="n">
        <v>5</v>
      </c>
      <c r="X614" s="2" t="s">
        <v>156</v>
      </c>
    </row>
    <row r="615" customFormat="false" ht="15" hidden="false" customHeight="false" outlineLevel="0" collapsed="false">
      <c r="A615" s="2" t="n">
        <v>372167812</v>
      </c>
      <c r="B615" s="29" t="n">
        <v>46239.7581712963</v>
      </c>
      <c r="C615" s="2" t="s">
        <v>153</v>
      </c>
      <c r="D615" s="2" t="s">
        <v>798</v>
      </c>
      <c r="E615" s="2" t="s">
        <v>78</v>
      </c>
      <c r="F615" s="2" t="s">
        <v>106</v>
      </c>
      <c r="G615" s="30" t="n">
        <v>27.5</v>
      </c>
      <c r="H615" s="11" t="n">
        <v>399.99</v>
      </c>
      <c r="I615" s="11" t="s">
        <v>155</v>
      </c>
      <c r="J615" s="11" t="n">
        <v>82.24</v>
      </c>
      <c r="K615" s="11" t="n">
        <v>82.21</v>
      </c>
      <c r="L615" s="11" t="n">
        <v>0.4</v>
      </c>
      <c r="M615" s="11" t="n">
        <v>0.8</v>
      </c>
      <c r="N615" s="11" t="n">
        <v>1</v>
      </c>
      <c r="O615" s="11" t="n">
        <v>4.5</v>
      </c>
      <c r="P615" s="11" t="n">
        <v>1.68</v>
      </c>
      <c r="Q615" s="11" t="n">
        <v>12.6</v>
      </c>
      <c r="R615" s="11" t="n">
        <f aca="false">SUM(K615:Q615)</f>
        <v>103.19</v>
      </c>
      <c r="S615" s="11" t="n">
        <f aca="false">R615/(1-Resumo!$C$6)</f>
        <v>117.261363636364</v>
      </c>
      <c r="T615" s="11" t="n">
        <f aca="false">S615-J615</f>
        <v>35.0213636363636</v>
      </c>
      <c r="U615" s="12" t="n">
        <f aca="false">IFERROR(S615/J615-1,0)</f>
        <v>0.425843429430492</v>
      </c>
      <c r="V615" s="2" t="str">
        <f aca="false">IF(S615&lt;J615,"SIM","NÃO")</f>
        <v>NÃO</v>
      </c>
      <c r="W615" s="2" t="n">
        <v>5</v>
      </c>
      <c r="X615" s="2" t="s">
        <v>156</v>
      </c>
    </row>
    <row r="616" customFormat="false" ht="15" hidden="false" customHeight="false" outlineLevel="0" collapsed="false">
      <c r="A616" s="2" t="n">
        <v>372192510</v>
      </c>
      <c r="B616" s="29" t="n">
        <v>46239.8094675926</v>
      </c>
      <c r="C616" s="2" t="s">
        <v>158</v>
      </c>
      <c r="D616" s="2" t="s">
        <v>799</v>
      </c>
      <c r="E616" s="2" t="s">
        <v>800</v>
      </c>
      <c r="F616" s="2" t="s">
        <v>109</v>
      </c>
      <c r="G616" s="30" t="n">
        <v>52.3</v>
      </c>
      <c r="H616" s="11" t="n">
        <v>637.57</v>
      </c>
      <c r="I616" s="11" t="s">
        <v>350</v>
      </c>
      <c r="J616" s="11" t="n">
        <v>141.72</v>
      </c>
      <c r="K616" s="11" t="n">
        <v>142.32</v>
      </c>
      <c r="L616" s="11" t="n">
        <v>0.6376</v>
      </c>
      <c r="M616" s="11" t="n">
        <v>1.2751</v>
      </c>
      <c r="N616" s="11" t="n">
        <v>1</v>
      </c>
      <c r="O616" s="11" t="n">
        <v>4.5</v>
      </c>
      <c r="P616" s="11" t="n">
        <v>3.18</v>
      </c>
      <c r="Q616" s="11" t="n">
        <v>23.85</v>
      </c>
      <c r="R616" s="11" t="n">
        <f aca="false">SUM(K616:Q616)</f>
        <v>176.7627</v>
      </c>
      <c r="S616" s="11" t="n">
        <f aca="false">R616/(1-Resumo!$C$6)</f>
        <v>200.866704545455</v>
      </c>
      <c r="T616" s="11" t="n">
        <f aca="false">S616-J616</f>
        <v>59.1467045454546</v>
      </c>
      <c r="U616" s="12" t="n">
        <f aca="false">IFERROR(S616/J616-1,0)</f>
        <v>0.41734903009776</v>
      </c>
      <c r="V616" s="2" t="str">
        <f aca="false">IF(S616&lt;J616,"SIM","NÃO")</f>
        <v>NÃO</v>
      </c>
      <c r="W616" s="2" t="n">
        <v>10</v>
      </c>
      <c r="X616" s="2" t="s">
        <v>161</v>
      </c>
    </row>
    <row r="617" customFormat="false" ht="15" hidden="false" customHeight="false" outlineLevel="0" collapsed="false">
      <c r="A617" s="2" t="n">
        <v>372210500</v>
      </c>
      <c r="B617" s="29" t="n">
        <v>46239.8469328704</v>
      </c>
      <c r="C617" s="2" t="s">
        <v>194</v>
      </c>
      <c r="D617" s="2" t="s">
        <v>801</v>
      </c>
      <c r="E617" s="2" t="s">
        <v>86</v>
      </c>
      <c r="F617" s="2" t="s">
        <v>109</v>
      </c>
      <c r="G617" s="30" t="n">
        <v>52.3</v>
      </c>
      <c r="H617" s="11" t="n">
        <v>611.71</v>
      </c>
      <c r="I617" s="11" t="s">
        <v>350</v>
      </c>
      <c r="J617" s="11" t="n">
        <v>127.26</v>
      </c>
      <c r="K617" s="11" t="n">
        <v>112.3</v>
      </c>
      <c r="L617" s="11" t="n">
        <v>0.6117</v>
      </c>
      <c r="M617" s="11" t="n">
        <v>1.2234</v>
      </c>
      <c r="N617" s="11" t="n">
        <v>1</v>
      </c>
      <c r="O617" s="11" t="n">
        <v>4.5</v>
      </c>
      <c r="P617" s="11" t="n">
        <v>3.18</v>
      </c>
      <c r="Q617" s="11" t="n">
        <v>23.85</v>
      </c>
      <c r="R617" s="11" t="n">
        <f aca="false">SUM(K617:Q617)</f>
        <v>146.6651</v>
      </c>
      <c r="S617" s="11" t="n">
        <f aca="false">R617/(1-Resumo!$C$6)</f>
        <v>166.664886363636</v>
      </c>
      <c r="T617" s="11" t="n">
        <f aca="false">S617-J617</f>
        <v>39.4048863636364</v>
      </c>
      <c r="U617" s="12" t="n">
        <f aca="false">IFERROR(S617/J617-1,0)</f>
        <v>0.309640785507122</v>
      </c>
      <c r="V617" s="2" t="str">
        <f aca="false">IF(S617&lt;J617,"SIM","NÃO")</f>
        <v>NÃO</v>
      </c>
      <c r="W617" s="2" t="n">
        <v>5</v>
      </c>
      <c r="X617" s="2" t="s">
        <v>156</v>
      </c>
    </row>
    <row r="618" customFormat="false" ht="15" hidden="false" customHeight="false" outlineLevel="0" collapsed="false">
      <c r="A618" s="2" t="n">
        <v>372223895</v>
      </c>
      <c r="B618" s="29" t="n">
        <v>46239.8708101852</v>
      </c>
      <c r="C618" s="2" t="s">
        <v>153</v>
      </c>
      <c r="D618" s="2" t="s">
        <v>802</v>
      </c>
      <c r="E618" s="2" t="s">
        <v>81</v>
      </c>
      <c r="F618" s="2" t="s">
        <v>110</v>
      </c>
      <c r="G618" s="30" t="n">
        <v>61.5</v>
      </c>
      <c r="H618" s="11" t="n">
        <v>726.79</v>
      </c>
      <c r="I618" s="11" t="s">
        <v>155</v>
      </c>
      <c r="J618" s="11" t="n">
        <v>139.91</v>
      </c>
      <c r="K618" s="11" t="n">
        <v>131.02</v>
      </c>
      <c r="L618" s="11" t="n">
        <v>0.7268</v>
      </c>
      <c r="M618" s="11" t="n">
        <v>1.4536</v>
      </c>
      <c r="N618" s="11" t="n">
        <v>1</v>
      </c>
      <c r="O618" s="11" t="n">
        <v>4.5</v>
      </c>
      <c r="P618" s="11" t="n">
        <v>3.72</v>
      </c>
      <c r="Q618" s="11" t="n">
        <v>27.9</v>
      </c>
      <c r="R618" s="11" t="n">
        <f aca="false">SUM(K618:Q618)</f>
        <v>170.3204</v>
      </c>
      <c r="S618" s="11" t="n">
        <f aca="false">R618/(1-Resumo!$C$6)</f>
        <v>193.545909090909</v>
      </c>
      <c r="T618" s="11" t="n">
        <f aca="false">S618-J618</f>
        <v>53.6359090909091</v>
      </c>
      <c r="U618" s="12" t="n">
        <f aca="false">IFERROR(S618/J618-1,0)</f>
        <v>0.383360082130721</v>
      </c>
      <c r="V618" s="2" t="str">
        <f aca="false">IF(S618&lt;J618,"SIM","NÃO")</f>
        <v>NÃO</v>
      </c>
      <c r="W618" s="2" t="n">
        <v>5</v>
      </c>
      <c r="X618" s="2" t="s">
        <v>156</v>
      </c>
    </row>
    <row r="619" customFormat="false" ht="15" hidden="false" customHeight="false" outlineLevel="0" collapsed="false">
      <c r="A619" s="2" t="n">
        <v>372239165</v>
      </c>
      <c r="B619" s="29" t="n">
        <v>46239.8980787037</v>
      </c>
      <c r="C619" s="2" t="s">
        <v>153</v>
      </c>
      <c r="D619" s="2" t="s">
        <v>803</v>
      </c>
      <c r="E619" s="2" t="s">
        <v>79</v>
      </c>
      <c r="F619" s="2" t="s">
        <v>108</v>
      </c>
      <c r="G619" s="30" t="n">
        <v>45.3</v>
      </c>
      <c r="H619" s="11" t="n">
        <v>699.99</v>
      </c>
      <c r="I619" s="11" t="s">
        <v>350</v>
      </c>
      <c r="J619" s="11" t="n">
        <v>117.73</v>
      </c>
      <c r="K619" s="11" t="n">
        <v>114.95</v>
      </c>
      <c r="L619" s="11" t="n">
        <v>0.7</v>
      </c>
      <c r="M619" s="11" t="n">
        <v>1.4</v>
      </c>
      <c r="N619" s="11" t="n">
        <v>1</v>
      </c>
      <c r="O619" s="11" t="n">
        <v>4.5</v>
      </c>
      <c r="P619" s="11" t="n">
        <v>2.76</v>
      </c>
      <c r="Q619" s="11" t="n">
        <v>20.7</v>
      </c>
      <c r="R619" s="11" t="n">
        <f aca="false">SUM(K619:Q619)</f>
        <v>146.01</v>
      </c>
      <c r="S619" s="11" t="n">
        <f aca="false">R619/(1-Resumo!$C$6)</f>
        <v>165.920454545455</v>
      </c>
      <c r="T619" s="11" t="n">
        <f aca="false">S619-J619</f>
        <v>48.1904545454545</v>
      </c>
      <c r="U619" s="12" t="n">
        <f aca="false">IFERROR(S619/J619-1,0)</f>
        <v>0.409330285784885</v>
      </c>
      <c r="V619" s="2" t="str">
        <f aca="false">IF(S619&lt;J619,"SIM","NÃO")</f>
        <v>NÃO</v>
      </c>
      <c r="W619" s="2" t="n">
        <v>7</v>
      </c>
      <c r="X619" s="2" t="s">
        <v>156</v>
      </c>
    </row>
    <row r="620" customFormat="false" ht="15" hidden="false" customHeight="false" outlineLevel="0" collapsed="false">
      <c r="A620" s="2" t="n">
        <v>372260669</v>
      </c>
      <c r="B620" s="29" t="n">
        <v>46239.9427430556</v>
      </c>
      <c r="C620" s="2" t="s">
        <v>158</v>
      </c>
      <c r="D620" s="2" t="s">
        <v>804</v>
      </c>
      <c r="E620" s="2" t="s">
        <v>93</v>
      </c>
      <c r="F620" s="2" t="s">
        <v>109</v>
      </c>
      <c r="G620" s="30" t="n">
        <v>52.3</v>
      </c>
      <c r="H620" s="11" t="n">
        <v>833.32</v>
      </c>
      <c r="I620" s="11" t="s">
        <v>350</v>
      </c>
      <c r="J620" s="11" t="n">
        <v>142.65</v>
      </c>
      <c r="K620" s="11" t="n">
        <v>128.14</v>
      </c>
      <c r="L620" s="11" t="n">
        <v>0.8333</v>
      </c>
      <c r="M620" s="11" t="n">
        <v>1.6666</v>
      </c>
      <c r="N620" s="11" t="n">
        <v>1</v>
      </c>
      <c r="O620" s="11" t="n">
        <v>4.5</v>
      </c>
      <c r="P620" s="11" t="n">
        <v>3.18</v>
      </c>
      <c r="Q620" s="11" t="n">
        <v>23.85</v>
      </c>
      <c r="R620" s="11" t="n">
        <f aca="false">SUM(K620:Q620)</f>
        <v>163.1699</v>
      </c>
      <c r="S620" s="11" t="n">
        <f aca="false">R620/(1-Resumo!$C$6)</f>
        <v>185.420340909091</v>
      </c>
      <c r="T620" s="11" t="n">
        <f aca="false">S620-J620</f>
        <v>42.7703409090909</v>
      </c>
      <c r="U620" s="12" t="n">
        <f aca="false">IFERROR(S620/J620-1,0)</f>
        <v>0.299827135710416</v>
      </c>
      <c r="V620" s="2" t="str">
        <f aca="false">IF(S620&lt;J620,"SIM","NÃO")</f>
        <v>NÃO</v>
      </c>
      <c r="W620" s="2" t="n">
        <v>7</v>
      </c>
      <c r="X620" s="2" t="s">
        <v>156</v>
      </c>
    </row>
    <row r="621" customFormat="false" ht="15" hidden="false" customHeight="false" outlineLevel="0" collapsed="false">
      <c r="A621" s="2" t="n">
        <v>372294226</v>
      </c>
      <c r="B621" s="29" t="n">
        <v>46240.0214699074</v>
      </c>
      <c r="C621" s="2" t="s">
        <v>158</v>
      </c>
      <c r="D621" s="2" t="s">
        <v>805</v>
      </c>
      <c r="E621" s="2" t="s">
        <v>78</v>
      </c>
      <c r="F621" s="2" t="s">
        <v>106</v>
      </c>
      <c r="G621" s="30" t="n">
        <v>31.4</v>
      </c>
      <c r="H621" s="11" t="n">
        <v>365.49</v>
      </c>
      <c r="I621" s="11" t="s">
        <v>155</v>
      </c>
      <c r="J621" s="11" t="n">
        <v>82.08</v>
      </c>
      <c r="K621" s="11" t="n">
        <v>82.21</v>
      </c>
      <c r="L621" s="11" t="n">
        <v>0.3655</v>
      </c>
      <c r="M621" s="11" t="n">
        <v>0.731</v>
      </c>
      <c r="N621" s="11" t="n">
        <v>1</v>
      </c>
      <c r="O621" s="11" t="n">
        <v>4.5</v>
      </c>
      <c r="P621" s="11" t="n">
        <v>1.92</v>
      </c>
      <c r="Q621" s="11" t="n">
        <v>14.4</v>
      </c>
      <c r="R621" s="11" t="n">
        <f aca="false">SUM(K621:Q621)</f>
        <v>105.1265</v>
      </c>
      <c r="S621" s="11" t="n">
        <f aca="false">R621/(1-Resumo!$C$6)</f>
        <v>119.461931818182</v>
      </c>
      <c r="T621" s="11" t="n">
        <f aca="false">S621-J621</f>
        <v>37.3819318181818</v>
      </c>
      <c r="U621" s="12" t="n">
        <f aca="false">IFERROR(S621/J621-1,0)</f>
        <v>0.455432892521708</v>
      </c>
      <c r="V621" s="2" t="str">
        <f aca="false">IF(S621&lt;J621,"SIM","NÃO")</f>
        <v>NÃO</v>
      </c>
      <c r="W621" s="2" t="n">
        <v>5</v>
      </c>
      <c r="X621" s="2" t="s">
        <v>156</v>
      </c>
    </row>
    <row r="622" customFormat="false" ht="15" hidden="false" customHeight="false" outlineLevel="0" collapsed="false">
      <c r="A622" s="2" t="n">
        <v>372303222</v>
      </c>
      <c r="B622" s="29" t="n">
        <v>46240.0511226852</v>
      </c>
      <c r="C622" s="2" t="s">
        <v>158</v>
      </c>
      <c r="D622" s="2" t="s">
        <v>806</v>
      </c>
      <c r="E622" s="2" t="s">
        <v>78</v>
      </c>
      <c r="F622" s="2" t="s">
        <v>108</v>
      </c>
      <c r="G622" s="30" t="n">
        <v>43.5</v>
      </c>
      <c r="H622" s="11" t="n">
        <v>611.05</v>
      </c>
      <c r="I622" s="11" t="s">
        <v>155</v>
      </c>
      <c r="J622" s="11" t="n">
        <v>103.51</v>
      </c>
      <c r="K622" s="11" t="n">
        <v>93.97</v>
      </c>
      <c r="L622" s="11" t="n">
        <v>0.611</v>
      </c>
      <c r="M622" s="11" t="n">
        <v>1.2221</v>
      </c>
      <c r="N622" s="11" t="n">
        <v>1</v>
      </c>
      <c r="O622" s="11" t="n">
        <v>4.5</v>
      </c>
      <c r="P622" s="11" t="n">
        <v>2.64</v>
      </c>
      <c r="Q622" s="11" t="n">
        <v>19.8</v>
      </c>
      <c r="R622" s="11" t="n">
        <f aca="false">SUM(K622:Q622)</f>
        <v>123.7431</v>
      </c>
      <c r="S622" s="11" t="n">
        <f aca="false">R622/(1-Resumo!$C$6)</f>
        <v>140.617159090909</v>
      </c>
      <c r="T622" s="11" t="n">
        <f aca="false">S622-J622</f>
        <v>37.1071590909091</v>
      </c>
      <c r="U622" s="12" t="n">
        <f aca="false">IFERROR(S622/J622-1,0)</f>
        <v>0.358488639657126</v>
      </c>
      <c r="V622" s="2" t="str">
        <f aca="false">IF(S622&lt;J622,"SIM","NÃO")</f>
        <v>NÃO</v>
      </c>
      <c r="W622" s="2" t="n">
        <v>5</v>
      </c>
      <c r="X622" s="2" t="s">
        <v>156</v>
      </c>
    </row>
    <row r="623" customFormat="false" ht="15" hidden="false" customHeight="false" outlineLevel="0" collapsed="false">
      <c r="A623" s="2" t="n">
        <v>372392212</v>
      </c>
      <c r="B623" s="29" t="n">
        <v>46240.3696064815</v>
      </c>
      <c r="C623" s="2" t="s">
        <v>153</v>
      </c>
      <c r="D623" s="2" t="s">
        <v>807</v>
      </c>
      <c r="E623" s="2" t="s">
        <v>78</v>
      </c>
      <c r="F623" s="2" t="s">
        <v>109</v>
      </c>
      <c r="G623" s="30" t="n">
        <v>52.3</v>
      </c>
      <c r="H623" s="11" t="n">
        <v>685.85</v>
      </c>
      <c r="I623" s="11" t="s">
        <v>155</v>
      </c>
      <c r="J623" s="11" t="n">
        <v>114.43</v>
      </c>
      <c r="K623" s="11" t="n">
        <v>112.3</v>
      </c>
      <c r="L623" s="11" t="n">
        <v>0.6859</v>
      </c>
      <c r="M623" s="11" t="n">
        <v>1.3717</v>
      </c>
      <c r="N623" s="11" t="n">
        <v>1</v>
      </c>
      <c r="O623" s="11" t="n">
        <v>4.5</v>
      </c>
      <c r="P623" s="11" t="n">
        <v>3.18</v>
      </c>
      <c r="Q623" s="11" t="n">
        <v>23.85</v>
      </c>
      <c r="R623" s="11" t="n">
        <f aca="false">SUM(K623:Q623)</f>
        <v>146.8876</v>
      </c>
      <c r="S623" s="11" t="n">
        <f aca="false">R623/(1-Resumo!$C$6)</f>
        <v>166.917727272727</v>
      </c>
      <c r="T623" s="11" t="n">
        <f aca="false">S623-J623</f>
        <v>52.4877272727273</v>
      </c>
      <c r="U623" s="12" t="n">
        <f aca="false">IFERROR(S623/J623-1,0)</f>
        <v>0.458688519380645</v>
      </c>
      <c r="V623" s="2" t="str">
        <f aca="false">IF(S623&lt;J623,"SIM","NÃO")</f>
        <v>NÃO</v>
      </c>
      <c r="W623" s="2" t="n">
        <v>5</v>
      </c>
      <c r="X623" s="2" t="s">
        <v>156</v>
      </c>
    </row>
    <row r="624" customFormat="false" ht="15" hidden="false" customHeight="false" outlineLevel="0" collapsed="false">
      <c r="A624" s="2" t="n">
        <v>372403120</v>
      </c>
      <c r="B624" s="29" t="n">
        <v>46240.3922916667</v>
      </c>
      <c r="C624" s="2" t="s">
        <v>153</v>
      </c>
      <c r="D624" s="2" t="s">
        <v>808</v>
      </c>
      <c r="E624" s="2" t="s">
        <v>79</v>
      </c>
      <c r="F624" s="2" t="s">
        <v>108</v>
      </c>
      <c r="G624" s="30" t="n">
        <v>45</v>
      </c>
      <c r="H624" s="11" t="n">
        <v>531.42</v>
      </c>
      <c r="I624" s="11" t="s">
        <v>350</v>
      </c>
      <c r="J624" s="11" t="n">
        <v>116.42</v>
      </c>
      <c r="K624" s="11" t="n">
        <v>114.95</v>
      </c>
      <c r="L624" s="11" t="n">
        <v>0.5314</v>
      </c>
      <c r="M624" s="11" t="n">
        <v>1.0628</v>
      </c>
      <c r="N624" s="11" t="n">
        <v>1</v>
      </c>
      <c r="O624" s="11" t="n">
        <v>4.5</v>
      </c>
      <c r="P624" s="11" t="n">
        <v>2.7</v>
      </c>
      <c r="Q624" s="11" t="n">
        <v>20.25</v>
      </c>
      <c r="R624" s="11" t="n">
        <f aca="false">SUM(K624:Q624)</f>
        <v>144.9942</v>
      </c>
      <c r="S624" s="11" t="n">
        <f aca="false">R624/(1-Resumo!$C$6)</f>
        <v>164.766136363636</v>
      </c>
      <c r="T624" s="11" t="n">
        <f aca="false">S624-J624</f>
        <v>48.3461363636364</v>
      </c>
      <c r="U624" s="12" t="n">
        <f aca="false">IFERROR(S624/J624-1,0)</f>
        <v>0.415273461292187</v>
      </c>
      <c r="V624" s="2" t="str">
        <f aca="false">IF(S624&lt;J624,"SIM","NÃO")</f>
        <v>NÃO</v>
      </c>
      <c r="W624" s="2" t="n">
        <v>7</v>
      </c>
      <c r="X624" s="2" t="s">
        <v>156</v>
      </c>
    </row>
    <row r="625" customFormat="false" ht="15" hidden="false" customHeight="false" outlineLevel="0" collapsed="false">
      <c r="A625" s="2" t="n">
        <v>372404379</v>
      </c>
      <c r="B625" s="29" t="n">
        <v>46240.3943171296</v>
      </c>
      <c r="C625" s="2" t="s">
        <v>153</v>
      </c>
      <c r="D625" s="2" t="s">
        <v>809</v>
      </c>
      <c r="E625" s="2" t="s">
        <v>78</v>
      </c>
      <c r="F625" s="2" t="s">
        <v>107</v>
      </c>
      <c r="G625" s="30" t="n">
        <v>40</v>
      </c>
      <c r="H625" s="11" t="n">
        <v>569.99</v>
      </c>
      <c r="I625" s="11" t="s">
        <v>155</v>
      </c>
      <c r="J625" s="11" t="n">
        <v>92.59</v>
      </c>
      <c r="K625" s="11" t="n">
        <v>93.97</v>
      </c>
      <c r="L625" s="11" t="n">
        <v>0.57</v>
      </c>
      <c r="M625" s="11" t="n">
        <v>1.14</v>
      </c>
      <c r="N625" s="11" t="n">
        <v>1</v>
      </c>
      <c r="O625" s="11" t="n">
        <v>4.5</v>
      </c>
      <c r="P625" s="11" t="n">
        <v>2.4</v>
      </c>
      <c r="Q625" s="11" t="n">
        <v>18</v>
      </c>
      <c r="R625" s="11" t="n">
        <f aca="false">SUM(K625:Q625)</f>
        <v>121.58</v>
      </c>
      <c r="S625" s="11" t="n">
        <f aca="false">R625/(1-Resumo!$C$6)</f>
        <v>138.159090909091</v>
      </c>
      <c r="T625" s="11" t="n">
        <f aca="false">S625-J625</f>
        <v>45.5690909090909</v>
      </c>
      <c r="U625" s="12" t="n">
        <f aca="false">IFERROR(S625/J625-1,0)</f>
        <v>0.492159962297126</v>
      </c>
      <c r="V625" s="2" t="str">
        <f aca="false">IF(S625&lt;J625,"SIM","NÃO")</f>
        <v>NÃO</v>
      </c>
      <c r="W625" s="2" t="n">
        <v>5</v>
      </c>
      <c r="X625" s="2" t="s">
        <v>156</v>
      </c>
    </row>
    <row r="626" customFormat="false" ht="15" hidden="false" customHeight="false" outlineLevel="0" collapsed="false">
      <c r="A626" s="2" t="n">
        <v>372411317</v>
      </c>
      <c r="B626" s="29" t="n">
        <v>46240.4075347222</v>
      </c>
      <c r="C626" s="2" t="s">
        <v>153</v>
      </c>
      <c r="D626" s="2" t="s">
        <v>810</v>
      </c>
      <c r="E626" s="2" t="s">
        <v>78</v>
      </c>
      <c r="F626" s="2" t="s">
        <v>109</v>
      </c>
      <c r="G626" s="30" t="n">
        <v>59.3</v>
      </c>
      <c r="H626" s="11" t="n">
        <v>819.7</v>
      </c>
      <c r="I626" s="11" t="s">
        <v>155</v>
      </c>
      <c r="J626" s="11" t="n">
        <v>115.08</v>
      </c>
      <c r="K626" s="11" t="n">
        <v>112.3</v>
      </c>
      <c r="L626" s="11" t="n">
        <v>0.8197</v>
      </c>
      <c r="M626" s="11" t="n">
        <v>1.6394</v>
      </c>
      <c r="N626" s="11" t="n">
        <v>1</v>
      </c>
      <c r="O626" s="11" t="n">
        <v>4.5</v>
      </c>
      <c r="P626" s="11" t="n">
        <v>3.6</v>
      </c>
      <c r="Q626" s="11" t="n">
        <v>27</v>
      </c>
      <c r="R626" s="11" t="n">
        <f aca="false">SUM(K626:Q626)</f>
        <v>150.8591</v>
      </c>
      <c r="S626" s="11" t="n">
        <f aca="false">R626/(1-Resumo!$C$6)</f>
        <v>171.430795454545</v>
      </c>
      <c r="T626" s="11" t="n">
        <f aca="false">S626-J626</f>
        <v>56.3507954545455</v>
      </c>
      <c r="U626" s="12" t="n">
        <f aca="false">IFERROR(S626/J626-1,0)</f>
        <v>0.489666279584163</v>
      </c>
      <c r="V626" s="2" t="str">
        <f aca="false">IF(S626&lt;J626,"SIM","NÃO")</f>
        <v>NÃO</v>
      </c>
      <c r="W626" s="2" t="n">
        <v>5</v>
      </c>
      <c r="X626" s="2" t="s">
        <v>156</v>
      </c>
    </row>
    <row r="627" customFormat="false" ht="15" hidden="false" customHeight="false" outlineLevel="0" collapsed="false">
      <c r="A627" s="2" t="n">
        <v>372470470</v>
      </c>
      <c r="B627" s="29" t="n">
        <v>46240.5147222222</v>
      </c>
      <c r="C627" s="2" t="s">
        <v>158</v>
      </c>
      <c r="D627" s="2" t="s">
        <v>811</v>
      </c>
      <c r="E627" s="2" t="s">
        <v>79</v>
      </c>
      <c r="F627" s="2" t="s">
        <v>106</v>
      </c>
      <c r="G627" s="30" t="n">
        <v>27.5</v>
      </c>
      <c r="H627" s="11" t="n">
        <v>320</v>
      </c>
      <c r="I627" s="11" t="s">
        <v>350</v>
      </c>
      <c r="J627" s="11" t="n">
        <v>99.25</v>
      </c>
      <c r="K627" s="11" t="n">
        <v>100.58</v>
      </c>
      <c r="L627" s="11" t="n">
        <v>0.32</v>
      </c>
      <c r="M627" s="11" t="n">
        <v>0.64</v>
      </c>
      <c r="N627" s="11" t="n">
        <v>1</v>
      </c>
      <c r="O627" s="11" t="n">
        <v>4.5</v>
      </c>
      <c r="P627" s="11" t="n">
        <v>1.68</v>
      </c>
      <c r="Q627" s="11" t="n">
        <v>12.6</v>
      </c>
      <c r="R627" s="11" t="n">
        <f aca="false">SUM(K627:Q627)</f>
        <v>121.32</v>
      </c>
      <c r="S627" s="11" t="n">
        <f aca="false">R627/(1-Resumo!$C$6)</f>
        <v>137.863636363636</v>
      </c>
      <c r="T627" s="11" t="n">
        <f aca="false">S627-J627</f>
        <v>38.6136363636363</v>
      </c>
      <c r="U627" s="12" t="n">
        <f aca="false">IFERROR(S627/J627-1,0)</f>
        <v>0.389054270666361</v>
      </c>
      <c r="V627" s="2" t="str">
        <f aca="false">IF(S627&lt;J627,"SIM","NÃO")</f>
        <v>NÃO</v>
      </c>
      <c r="W627" s="2" t="n">
        <v>7</v>
      </c>
      <c r="X627" s="2" t="s">
        <v>156</v>
      </c>
    </row>
    <row r="628" customFormat="false" ht="15" hidden="false" customHeight="false" outlineLevel="0" collapsed="false">
      <c r="A628" s="2" t="n">
        <v>372475510</v>
      </c>
      <c r="B628" s="29" t="n">
        <v>46240.5242592593</v>
      </c>
      <c r="C628" s="2" t="s">
        <v>153</v>
      </c>
      <c r="D628" s="2" t="s">
        <v>812</v>
      </c>
      <c r="E628" s="2" t="s">
        <v>813</v>
      </c>
      <c r="F628" s="2" t="s">
        <v>107</v>
      </c>
      <c r="G628" s="30" t="n">
        <v>37.2</v>
      </c>
      <c r="H628" s="11" t="n">
        <v>419.99</v>
      </c>
      <c r="I628" s="11" t="s">
        <v>350</v>
      </c>
      <c r="J628" s="11" t="n">
        <v>123.22</v>
      </c>
      <c r="K628" s="11" t="n">
        <v>124.38</v>
      </c>
      <c r="L628" s="11" t="n">
        <v>0.42</v>
      </c>
      <c r="M628" s="11" t="n">
        <v>0.84</v>
      </c>
      <c r="N628" s="11" t="n">
        <v>1</v>
      </c>
      <c r="O628" s="11" t="n">
        <v>4.5</v>
      </c>
      <c r="P628" s="11" t="n">
        <v>2.28</v>
      </c>
      <c r="Q628" s="11" t="n">
        <v>17.1</v>
      </c>
      <c r="R628" s="11" t="n">
        <f aca="false">SUM(K628:Q628)</f>
        <v>150.52</v>
      </c>
      <c r="S628" s="11" t="n">
        <f aca="false">R628/(1-Resumo!$C$6)</f>
        <v>171.045454545455</v>
      </c>
      <c r="T628" s="11" t="n">
        <f aca="false">S628-J628</f>
        <v>47.8254545454545</v>
      </c>
      <c r="U628" s="12" t="n">
        <f aca="false">IFERROR(S628/J628-1,0)</f>
        <v>0.388130616340322</v>
      </c>
      <c r="V628" s="2" t="str">
        <f aca="false">IF(S628&lt;J628,"SIM","NÃO")</f>
        <v>NÃO</v>
      </c>
      <c r="W628" s="2" t="n">
        <v>10</v>
      </c>
      <c r="X628" s="2" t="s">
        <v>161</v>
      </c>
    </row>
    <row r="629" customFormat="false" ht="15" hidden="false" customHeight="false" outlineLevel="0" collapsed="false">
      <c r="A629" s="2" t="n">
        <v>372479492</v>
      </c>
      <c r="B629" s="29" t="n">
        <v>46240.5316319445</v>
      </c>
      <c r="C629" s="2" t="s">
        <v>153</v>
      </c>
      <c r="D629" s="2" t="s">
        <v>814</v>
      </c>
      <c r="E629" s="2" t="s">
        <v>79</v>
      </c>
      <c r="F629" s="2" t="s">
        <v>105</v>
      </c>
      <c r="G629" s="30" t="n">
        <v>19.5</v>
      </c>
      <c r="H629" s="11" t="n">
        <v>359.99</v>
      </c>
      <c r="I629" s="11" t="s">
        <v>350</v>
      </c>
      <c r="J629" s="11" t="n">
        <v>77.09</v>
      </c>
      <c r="K629" s="11" t="n">
        <v>57.47</v>
      </c>
      <c r="L629" s="11" t="n">
        <v>0.36</v>
      </c>
      <c r="M629" s="11" t="n">
        <v>0.72</v>
      </c>
      <c r="N629" s="11" t="n">
        <v>1</v>
      </c>
      <c r="O629" s="11" t="n">
        <v>4.5</v>
      </c>
      <c r="P629" s="11" t="n">
        <v>1.2</v>
      </c>
      <c r="Q629" s="11" t="n">
        <v>9</v>
      </c>
      <c r="R629" s="11" t="n">
        <f aca="false">SUM(K629:Q629)</f>
        <v>74.25</v>
      </c>
      <c r="S629" s="11" t="n">
        <f aca="false">R629/(1-Resumo!$C$6)</f>
        <v>84.375</v>
      </c>
      <c r="T629" s="11" t="n">
        <f aca="false">S629-J629</f>
        <v>7.285</v>
      </c>
      <c r="U629" s="12" t="n">
        <f aca="false">IFERROR(S629/J629-1,0)</f>
        <v>0.0944999351407445</v>
      </c>
      <c r="V629" s="2" t="str">
        <f aca="false">IF(S629&lt;J629,"SIM","NÃO")</f>
        <v>NÃO</v>
      </c>
      <c r="W629" s="2" t="n">
        <v>7</v>
      </c>
      <c r="X629" s="2" t="s">
        <v>156</v>
      </c>
    </row>
    <row r="630" customFormat="false" ht="15" hidden="false" customHeight="false" outlineLevel="0" collapsed="false">
      <c r="A630" s="2" t="n">
        <v>372480676</v>
      </c>
      <c r="B630" s="29" t="n">
        <v>46240.5337384259</v>
      </c>
      <c r="C630" s="2" t="s">
        <v>153</v>
      </c>
      <c r="D630" s="2" t="s">
        <v>815</v>
      </c>
      <c r="E630" s="2" t="s">
        <v>78</v>
      </c>
      <c r="F630" s="2" t="s">
        <v>108</v>
      </c>
      <c r="G630" s="30" t="n">
        <v>45</v>
      </c>
      <c r="H630" s="11" t="n">
        <v>531.42</v>
      </c>
      <c r="I630" s="11" t="s">
        <v>155</v>
      </c>
      <c r="J630" s="11" t="n">
        <v>103.13</v>
      </c>
      <c r="K630" s="11" t="n">
        <v>93.97</v>
      </c>
      <c r="L630" s="11" t="n">
        <v>0.5314</v>
      </c>
      <c r="M630" s="11" t="n">
        <v>1.0628</v>
      </c>
      <c r="N630" s="11" t="n">
        <v>1</v>
      </c>
      <c r="O630" s="11" t="n">
        <v>4.5</v>
      </c>
      <c r="P630" s="11" t="n">
        <v>2.7</v>
      </c>
      <c r="Q630" s="11" t="n">
        <v>20.25</v>
      </c>
      <c r="R630" s="11" t="n">
        <f aca="false">SUM(K630:Q630)</f>
        <v>124.0142</v>
      </c>
      <c r="S630" s="11" t="n">
        <f aca="false">R630/(1-Resumo!$C$6)</f>
        <v>140.925227272727</v>
      </c>
      <c r="T630" s="11" t="n">
        <f aca="false">S630-J630</f>
        <v>37.7952272727273</v>
      </c>
      <c r="U630" s="12" t="n">
        <f aca="false">IFERROR(S630/J630-1,0)</f>
        <v>0.366481404758337</v>
      </c>
      <c r="V630" s="2" t="str">
        <f aca="false">IF(S630&lt;J630,"SIM","NÃO")</f>
        <v>NÃO</v>
      </c>
      <c r="W630" s="2" t="n">
        <v>5</v>
      </c>
      <c r="X630" s="2" t="s">
        <v>156</v>
      </c>
    </row>
    <row r="631" customFormat="false" ht="15" hidden="false" customHeight="false" outlineLevel="0" collapsed="false">
      <c r="A631" s="2" t="n">
        <v>372487991</v>
      </c>
      <c r="B631" s="29" t="n">
        <v>46240.5474884259</v>
      </c>
      <c r="C631" s="2" t="s">
        <v>158</v>
      </c>
      <c r="D631" s="2" t="s">
        <v>816</v>
      </c>
      <c r="E631" s="2" t="s">
        <v>78</v>
      </c>
      <c r="F631" s="2" t="s">
        <v>106</v>
      </c>
      <c r="G631" s="30" t="n">
        <v>31.9</v>
      </c>
      <c r="H631" s="11" t="n">
        <v>466.39</v>
      </c>
      <c r="I631" s="11" t="s">
        <v>155</v>
      </c>
      <c r="J631" s="11" t="n">
        <v>82.56</v>
      </c>
      <c r="K631" s="11" t="n">
        <v>82.21</v>
      </c>
      <c r="L631" s="11" t="n">
        <v>0.4664</v>
      </c>
      <c r="M631" s="11" t="n">
        <v>0.9328</v>
      </c>
      <c r="N631" s="11" t="n">
        <v>1</v>
      </c>
      <c r="O631" s="11" t="n">
        <v>4.5</v>
      </c>
      <c r="P631" s="11" t="n">
        <v>1.92</v>
      </c>
      <c r="Q631" s="11" t="n">
        <v>14.4</v>
      </c>
      <c r="R631" s="11" t="n">
        <f aca="false">SUM(K631:Q631)</f>
        <v>105.4292</v>
      </c>
      <c r="S631" s="11" t="n">
        <f aca="false">R631/(1-Resumo!$C$6)</f>
        <v>119.805909090909</v>
      </c>
      <c r="T631" s="11" t="n">
        <f aca="false">S631-J631</f>
        <v>37.2459090909091</v>
      </c>
      <c r="U631" s="12" t="n">
        <f aca="false">IFERROR(S631/J631-1,0)</f>
        <v>0.451137464763918</v>
      </c>
      <c r="V631" s="2" t="str">
        <f aca="false">IF(S631&lt;J631,"SIM","NÃO")</f>
        <v>NÃO</v>
      </c>
      <c r="W631" s="2" t="n">
        <v>5</v>
      </c>
      <c r="X631" s="2" t="s">
        <v>156</v>
      </c>
    </row>
    <row r="632" customFormat="false" ht="15" hidden="false" customHeight="false" outlineLevel="0" collapsed="false">
      <c r="A632" s="2" t="n">
        <v>372489893</v>
      </c>
      <c r="B632" s="29" t="n">
        <v>46240.5514467593</v>
      </c>
      <c r="C632" s="2" t="s">
        <v>153</v>
      </c>
      <c r="D632" s="2" t="s">
        <v>817</v>
      </c>
      <c r="E632" s="2" t="s">
        <v>78</v>
      </c>
      <c r="F632" s="2" t="s">
        <v>106</v>
      </c>
      <c r="G632" s="30" t="n">
        <v>23.4</v>
      </c>
      <c r="H632" s="11" t="n">
        <v>379.99</v>
      </c>
      <c r="I632" s="11" t="s">
        <v>155</v>
      </c>
      <c r="J632" s="11" t="n">
        <v>82.15</v>
      </c>
      <c r="K632" s="11" t="n">
        <v>82.21</v>
      </c>
      <c r="L632" s="11" t="n">
        <v>0.38</v>
      </c>
      <c r="M632" s="11" t="n">
        <v>0.76</v>
      </c>
      <c r="N632" s="11" t="n">
        <v>1</v>
      </c>
      <c r="O632" s="11" t="n">
        <v>4.5</v>
      </c>
      <c r="P632" s="11" t="n">
        <v>1.44</v>
      </c>
      <c r="Q632" s="11" t="n">
        <v>10.8</v>
      </c>
      <c r="R632" s="11" t="n">
        <f aca="false">SUM(K632:Q632)</f>
        <v>101.09</v>
      </c>
      <c r="S632" s="11" t="n">
        <f aca="false">R632/(1-Resumo!$C$6)</f>
        <v>114.875</v>
      </c>
      <c r="T632" s="11" t="n">
        <f aca="false">S632-J632</f>
        <v>32.725</v>
      </c>
      <c r="U632" s="12" t="n">
        <f aca="false">IFERROR(S632/J632-1,0)</f>
        <v>0.398356664637857</v>
      </c>
      <c r="V632" s="2" t="str">
        <f aca="false">IF(S632&lt;J632,"SIM","NÃO")</f>
        <v>NÃO</v>
      </c>
      <c r="W632" s="2" t="n">
        <v>5</v>
      </c>
      <c r="X632" s="2" t="s">
        <v>156</v>
      </c>
    </row>
    <row r="633" customFormat="false" ht="15" hidden="false" customHeight="false" outlineLevel="0" collapsed="false">
      <c r="A633" s="2" t="n">
        <v>372491039</v>
      </c>
      <c r="B633" s="29" t="n">
        <v>46240.555150463</v>
      </c>
      <c r="C633" s="2" t="s">
        <v>194</v>
      </c>
      <c r="D633" s="2" t="s">
        <v>818</v>
      </c>
      <c r="E633" s="2" t="s">
        <v>78</v>
      </c>
      <c r="F633" s="2" t="s">
        <v>109</v>
      </c>
      <c r="G633" s="30" t="n">
        <v>52.3</v>
      </c>
      <c r="H633" s="11" t="n">
        <v>536.93</v>
      </c>
      <c r="I633" s="11" t="s">
        <v>155</v>
      </c>
      <c r="J633" s="11" t="n">
        <v>113.72</v>
      </c>
      <c r="K633" s="11" t="n">
        <v>112.3</v>
      </c>
      <c r="L633" s="11" t="n">
        <v>0.5369</v>
      </c>
      <c r="M633" s="11" t="n">
        <v>1.0739</v>
      </c>
      <c r="N633" s="11" t="n">
        <v>1</v>
      </c>
      <c r="O633" s="11" t="n">
        <v>4.5</v>
      </c>
      <c r="P633" s="11" t="n">
        <v>3.18</v>
      </c>
      <c r="Q633" s="11" t="n">
        <v>23.85</v>
      </c>
      <c r="R633" s="11" t="n">
        <f aca="false">SUM(K633:Q633)</f>
        <v>146.4408</v>
      </c>
      <c r="S633" s="11" t="n">
        <f aca="false">R633/(1-Resumo!$C$6)</f>
        <v>166.41</v>
      </c>
      <c r="T633" s="11" t="n">
        <f aca="false">S633-J633</f>
        <v>52.69</v>
      </c>
      <c r="U633" s="12" t="n">
        <f aca="false">IFERROR(S633/J633-1,0)</f>
        <v>0.463330988392543</v>
      </c>
      <c r="V633" s="2" t="str">
        <f aca="false">IF(S633&lt;J633,"SIM","NÃO")</f>
        <v>NÃO</v>
      </c>
      <c r="W633" s="2" t="n">
        <v>5</v>
      </c>
      <c r="X633" s="2" t="s">
        <v>156</v>
      </c>
    </row>
    <row r="634" customFormat="false" ht="15" hidden="false" customHeight="false" outlineLevel="0" collapsed="false">
      <c r="A634" s="2" t="n">
        <v>372499690</v>
      </c>
      <c r="B634" s="29" t="n">
        <v>46240.5702314815</v>
      </c>
      <c r="C634" s="2" t="s">
        <v>198</v>
      </c>
      <c r="D634" s="2" t="s">
        <v>819</v>
      </c>
      <c r="E634" s="2" t="s">
        <v>78</v>
      </c>
      <c r="F634" s="2" t="s">
        <v>105</v>
      </c>
      <c r="G634" s="30" t="n">
        <v>19.5</v>
      </c>
      <c r="H634" s="11" t="n">
        <v>335.99</v>
      </c>
      <c r="I634" s="11" t="s">
        <v>155</v>
      </c>
      <c r="J634" s="11" t="n">
        <v>64.82</v>
      </c>
      <c r="K634" s="11" t="n">
        <v>46.98</v>
      </c>
      <c r="L634" s="11" t="n">
        <v>0.336</v>
      </c>
      <c r="M634" s="11" t="n">
        <v>0.672</v>
      </c>
      <c r="N634" s="11" t="n">
        <v>1</v>
      </c>
      <c r="O634" s="11" t="n">
        <v>4.5</v>
      </c>
      <c r="P634" s="11" t="n">
        <v>1.2</v>
      </c>
      <c r="Q634" s="11" t="n">
        <v>9</v>
      </c>
      <c r="R634" s="11" t="n">
        <f aca="false">SUM(K634:Q634)</f>
        <v>63.688</v>
      </c>
      <c r="S634" s="11" t="n">
        <f aca="false">R634/(1-Resumo!$C$6)</f>
        <v>72.3727272727273</v>
      </c>
      <c r="T634" s="11" t="n">
        <f aca="false">S634-J634</f>
        <v>7.55272727272727</v>
      </c>
      <c r="U634" s="12" t="n">
        <f aca="false">IFERROR(S634/J634-1,0)</f>
        <v>0.116518470730134</v>
      </c>
      <c r="V634" s="2" t="str">
        <f aca="false">IF(S634&lt;J634,"SIM","NÃO")</f>
        <v>NÃO</v>
      </c>
      <c r="W634" s="2" t="n">
        <v>5</v>
      </c>
      <c r="X634" s="2" t="s">
        <v>156</v>
      </c>
    </row>
    <row r="635" customFormat="false" ht="15" hidden="false" customHeight="false" outlineLevel="0" collapsed="false">
      <c r="A635" s="2" t="n">
        <v>372499857</v>
      </c>
      <c r="B635" s="29" t="n">
        <v>46240.5704050926</v>
      </c>
      <c r="C635" s="2" t="s">
        <v>158</v>
      </c>
      <c r="D635" s="2" t="s">
        <v>820</v>
      </c>
      <c r="E635" s="2" t="s">
        <v>80</v>
      </c>
      <c r="F635" s="2" t="s">
        <v>109</v>
      </c>
      <c r="G635" s="30" t="n">
        <v>52.3</v>
      </c>
      <c r="H635" s="11" t="n">
        <v>630</v>
      </c>
      <c r="I635" s="11" t="s">
        <v>155</v>
      </c>
      <c r="J635" s="11" t="n">
        <v>128.31</v>
      </c>
      <c r="K635" s="11" t="n">
        <v>112.3</v>
      </c>
      <c r="L635" s="11" t="n">
        <v>0.63</v>
      </c>
      <c r="M635" s="11" t="n">
        <v>1.26</v>
      </c>
      <c r="N635" s="11" t="n">
        <v>1</v>
      </c>
      <c r="O635" s="11" t="n">
        <v>4.5</v>
      </c>
      <c r="P635" s="11" t="n">
        <v>3.18</v>
      </c>
      <c r="Q635" s="11" t="n">
        <v>23.85</v>
      </c>
      <c r="R635" s="11" t="n">
        <f aca="false">SUM(K635:Q635)</f>
        <v>146.72</v>
      </c>
      <c r="S635" s="11" t="n">
        <f aca="false">R635/(1-Resumo!$C$6)</f>
        <v>166.727272727273</v>
      </c>
      <c r="T635" s="11" t="n">
        <f aca="false">S635-J635</f>
        <v>38.4172727272727</v>
      </c>
      <c r="U635" s="12" t="n">
        <f aca="false">IFERROR(S635/J635-1,0)</f>
        <v>0.299409810048108</v>
      </c>
      <c r="V635" s="2" t="str">
        <f aca="false">IF(S635&lt;J635,"SIM","NÃO")</f>
        <v>NÃO</v>
      </c>
      <c r="W635" s="2" t="n">
        <v>5</v>
      </c>
      <c r="X635" s="2" t="s">
        <v>156</v>
      </c>
    </row>
    <row r="636" customFormat="false" ht="15" hidden="false" customHeight="false" outlineLevel="0" collapsed="false">
      <c r="A636" s="2" t="n">
        <v>372508302</v>
      </c>
      <c r="B636" s="29" t="n">
        <v>46240.5867476852</v>
      </c>
      <c r="C636" s="2" t="s">
        <v>153</v>
      </c>
      <c r="D636" s="2" t="s">
        <v>821</v>
      </c>
      <c r="E636" s="2" t="s">
        <v>78</v>
      </c>
      <c r="F636" s="2" t="s">
        <v>106</v>
      </c>
      <c r="G636" s="30" t="n">
        <v>27.4</v>
      </c>
      <c r="H636" s="11" t="n">
        <v>315.99</v>
      </c>
      <c r="I636" s="11" t="s">
        <v>155</v>
      </c>
      <c r="J636" s="11" t="n">
        <v>81.83</v>
      </c>
      <c r="K636" s="11" t="n">
        <v>82.21</v>
      </c>
      <c r="L636" s="11" t="n">
        <v>0.316</v>
      </c>
      <c r="M636" s="11" t="n">
        <v>0.632</v>
      </c>
      <c r="N636" s="11" t="n">
        <v>1</v>
      </c>
      <c r="O636" s="11" t="n">
        <v>4.5</v>
      </c>
      <c r="P636" s="11" t="n">
        <v>1.68</v>
      </c>
      <c r="Q636" s="11" t="n">
        <v>12.6</v>
      </c>
      <c r="R636" s="11" t="n">
        <f aca="false">SUM(K636:Q636)</f>
        <v>102.938</v>
      </c>
      <c r="S636" s="11" t="n">
        <f aca="false">R636/(1-Resumo!$C$6)</f>
        <v>116.975</v>
      </c>
      <c r="T636" s="11" t="n">
        <f aca="false">S636-J636</f>
        <v>35.145</v>
      </c>
      <c r="U636" s="12" t="n">
        <f aca="false">IFERROR(S636/J636-1,0)</f>
        <v>0.42948796284981</v>
      </c>
      <c r="V636" s="2" t="str">
        <f aca="false">IF(S636&lt;J636,"SIM","NÃO")</f>
        <v>NÃO</v>
      </c>
      <c r="W636" s="2" t="n">
        <v>5</v>
      </c>
      <c r="X636" s="2" t="s">
        <v>156</v>
      </c>
    </row>
    <row r="637" customFormat="false" ht="15" hidden="false" customHeight="false" outlineLevel="0" collapsed="false">
      <c r="A637" s="2" t="n">
        <v>372520156</v>
      </c>
      <c r="B637" s="29" t="n">
        <v>46240.6100115741</v>
      </c>
      <c r="C637" s="2" t="s">
        <v>153</v>
      </c>
      <c r="D637" s="2" t="s">
        <v>822</v>
      </c>
      <c r="E637" s="2" t="s">
        <v>164</v>
      </c>
      <c r="F637" s="2" t="s">
        <v>111</v>
      </c>
      <c r="G637" s="30" t="n">
        <v>73</v>
      </c>
      <c r="H637" s="11" t="n">
        <v>827.99</v>
      </c>
      <c r="I637" s="11" t="s">
        <v>350</v>
      </c>
      <c r="J637" s="11" t="n">
        <v>151.6</v>
      </c>
      <c r="K637" s="11" t="n">
        <v>134.39</v>
      </c>
      <c r="L637" s="11" t="n">
        <v>0.828</v>
      </c>
      <c r="M637" s="11" t="n">
        <v>1.656</v>
      </c>
      <c r="N637" s="11" t="n">
        <v>1</v>
      </c>
      <c r="O637" s="11" t="n">
        <v>4.5</v>
      </c>
      <c r="P637" s="11" t="n">
        <v>4.38</v>
      </c>
      <c r="Q637" s="11" t="n">
        <v>32.85</v>
      </c>
      <c r="R637" s="11" t="n">
        <f aca="false">SUM(K637:Q637)</f>
        <v>179.604</v>
      </c>
      <c r="S637" s="11" t="n">
        <f aca="false">R637/(1-Resumo!$C$6)</f>
        <v>204.095454545455</v>
      </c>
      <c r="T637" s="11" t="n">
        <f aca="false">S637-J637</f>
        <v>52.4954545454545</v>
      </c>
      <c r="U637" s="12" t="n">
        <f aca="false">IFERROR(S637/J637-1,0)</f>
        <v>0.34627608539218</v>
      </c>
      <c r="V637" s="2" t="str">
        <f aca="false">IF(S637&lt;J637,"SIM","NÃO")</f>
        <v>NÃO</v>
      </c>
      <c r="W637" s="2" t="n">
        <v>5</v>
      </c>
      <c r="X637" s="2" t="s">
        <v>161</v>
      </c>
    </row>
    <row r="638" customFormat="false" ht="15" hidden="false" customHeight="false" outlineLevel="0" collapsed="false">
      <c r="A638" s="2" t="n">
        <v>372530993</v>
      </c>
      <c r="B638" s="29" t="n">
        <v>46240.6322569445</v>
      </c>
      <c r="C638" s="2" t="s">
        <v>178</v>
      </c>
      <c r="D638" s="2" t="s">
        <v>823</v>
      </c>
      <c r="E638" s="2" t="s">
        <v>813</v>
      </c>
      <c r="F638" s="2" t="s">
        <v>106</v>
      </c>
      <c r="G638" s="30" t="n">
        <v>22.6</v>
      </c>
      <c r="H638" s="11" t="n">
        <v>475.99</v>
      </c>
      <c r="I638" s="11" t="s">
        <v>350</v>
      </c>
      <c r="J638" s="11" t="n">
        <v>105.2</v>
      </c>
      <c r="K638" s="11" t="n">
        <v>114.95</v>
      </c>
      <c r="L638" s="11" t="n">
        <v>0.476</v>
      </c>
      <c r="M638" s="11" t="n">
        <v>0.952</v>
      </c>
      <c r="N638" s="11" t="n">
        <v>1</v>
      </c>
      <c r="O638" s="11" t="n">
        <v>4.5</v>
      </c>
      <c r="P638" s="11" t="n">
        <v>1.38</v>
      </c>
      <c r="Q638" s="11" t="n">
        <v>10.35</v>
      </c>
      <c r="R638" s="11" t="n">
        <f aca="false">SUM(K638:Q638)</f>
        <v>133.608</v>
      </c>
      <c r="S638" s="11" t="n">
        <f aca="false">R638/(1-Resumo!$C$6)</f>
        <v>151.827272727273</v>
      </c>
      <c r="T638" s="11" t="n">
        <f aca="false">S638-J638</f>
        <v>46.6272727272727</v>
      </c>
      <c r="U638" s="12" t="n">
        <f aca="false">IFERROR(S638/J638-1,0)</f>
        <v>0.443225025924646</v>
      </c>
      <c r="V638" s="2" t="str">
        <f aca="false">IF(S638&lt;J638,"SIM","NÃO")</f>
        <v>NÃO</v>
      </c>
      <c r="W638" s="2" t="n">
        <v>10</v>
      </c>
      <c r="X638" s="2" t="s">
        <v>161</v>
      </c>
    </row>
    <row r="639" customFormat="false" ht="15" hidden="false" customHeight="false" outlineLevel="0" collapsed="false">
      <c r="A639" s="2" t="n">
        <v>372539516</v>
      </c>
      <c r="B639" s="29" t="n">
        <v>46240.6406481482</v>
      </c>
      <c r="C639" s="2" t="s">
        <v>153</v>
      </c>
      <c r="D639" s="2" t="s">
        <v>824</v>
      </c>
      <c r="E639" s="2" t="s">
        <v>82</v>
      </c>
      <c r="F639" s="2" t="s">
        <v>114</v>
      </c>
      <c r="G639" s="30" t="n">
        <v>124.2</v>
      </c>
      <c r="H639" s="11" t="n">
        <v>1558.09</v>
      </c>
      <c r="I639" s="11" t="s">
        <v>155</v>
      </c>
      <c r="J639" s="11" t="n">
        <v>244.08</v>
      </c>
      <c r="K639" s="11" t="n">
        <v>249.03</v>
      </c>
      <c r="L639" s="11" t="n">
        <v>1.5581</v>
      </c>
      <c r="M639" s="11" t="n">
        <v>3.1162</v>
      </c>
      <c r="N639" s="11" t="n">
        <v>1</v>
      </c>
      <c r="O639" s="11" t="n">
        <v>9</v>
      </c>
      <c r="P639" s="11" t="n">
        <v>7.5</v>
      </c>
      <c r="Q639" s="11" t="n">
        <v>56.25</v>
      </c>
      <c r="R639" s="11" t="n">
        <f aca="false">SUM(K639:Q639)</f>
        <v>327.4543</v>
      </c>
      <c r="S639" s="11" t="n">
        <f aca="false">R639/(1-Resumo!$C$6)</f>
        <v>372.107159090909</v>
      </c>
      <c r="T639" s="11" t="n">
        <f aca="false">S639-J639</f>
        <v>128.027159090909</v>
      </c>
      <c r="U639" s="12" t="n">
        <f aca="false">IFERROR(S639/J639-1,0)</f>
        <v>0.524529494800512</v>
      </c>
      <c r="V639" s="2" t="str">
        <f aca="false">IF(S639&lt;J639,"SIM","NÃO")</f>
        <v>NÃO</v>
      </c>
      <c r="W639" s="2" t="n">
        <v>7</v>
      </c>
      <c r="X639" s="2" t="s">
        <v>156</v>
      </c>
    </row>
    <row r="640" customFormat="false" ht="15" hidden="false" customHeight="false" outlineLevel="0" collapsed="false">
      <c r="A640" s="2" t="n">
        <v>372547265</v>
      </c>
      <c r="B640" s="29" t="n">
        <v>46240.655462963</v>
      </c>
      <c r="C640" s="2" t="s">
        <v>158</v>
      </c>
      <c r="D640" s="2" t="s">
        <v>825</v>
      </c>
      <c r="E640" s="2" t="s">
        <v>92</v>
      </c>
      <c r="F640" s="2" t="s">
        <v>107</v>
      </c>
      <c r="G640" s="30" t="n">
        <v>35.4</v>
      </c>
      <c r="H640" s="11" t="n">
        <v>466.06</v>
      </c>
      <c r="I640" s="11" t="s">
        <v>350</v>
      </c>
      <c r="J640" s="11" t="n">
        <v>122.42</v>
      </c>
      <c r="K640" s="11" t="n">
        <v>124.38</v>
      </c>
      <c r="L640" s="11" t="n">
        <v>0.4661</v>
      </c>
      <c r="M640" s="11" t="n">
        <v>0.9321</v>
      </c>
      <c r="N640" s="11" t="n">
        <v>1</v>
      </c>
      <c r="O640" s="11" t="n">
        <v>4.5</v>
      </c>
      <c r="P640" s="11" t="n">
        <v>2.16</v>
      </c>
      <c r="Q640" s="11" t="n">
        <v>16.2</v>
      </c>
      <c r="R640" s="11" t="n">
        <f aca="false">SUM(K640:Q640)</f>
        <v>149.6382</v>
      </c>
      <c r="S640" s="11" t="n">
        <f aca="false">R640/(1-Resumo!$C$6)</f>
        <v>170.043409090909</v>
      </c>
      <c r="T640" s="11" t="n">
        <f aca="false">S640-J640</f>
        <v>47.6234090909091</v>
      </c>
      <c r="U640" s="12" t="n">
        <f aca="false">IFERROR(S640/J640-1,0)</f>
        <v>0.389016574831801</v>
      </c>
      <c r="V640" s="2" t="str">
        <f aca="false">IF(S640&lt;J640,"SIM","NÃO")</f>
        <v>NÃO</v>
      </c>
      <c r="W640" s="2" t="n">
        <v>10</v>
      </c>
      <c r="X640" s="2" t="s">
        <v>156</v>
      </c>
    </row>
    <row r="641" customFormat="false" ht="15" hidden="false" customHeight="false" outlineLevel="0" collapsed="false">
      <c r="A641" s="2" t="n">
        <v>372558534</v>
      </c>
      <c r="B641" s="29" t="n">
        <v>46240.6790393519</v>
      </c>
      <c r="C641" s="2" t="s">
        <v>178</v>
      </c>
      <c r="D641" s="2" t="s">
        <v>826</v>
      </c>
      <c r="E641" s="2" t="s">
        <v>86</v>
      </c>
      <c r="F641" s="2" t="s">
        <v>107</v>
      </c>
      <c r="G641" s="30" t="n">
        <v>37.2</v>
      </c>
      <c r="H641" s="11" t="n">
        <v>459.99</v>
      </c>
      <c r="I641" s="11" t="s">
        <v>350</v>
      </c>
      <c r="J641" s="11" t="n">
        <v>114.17</v>
      </c>
      <c r="K641" s="11" t="n">
        <v>93.97</v>
      </c>
      <c r="L641" s="11" t="n">
        <v>0.46</v>
      </c>
      <c r="M641" s="11" t="n">
        <v>0.92</v>
      </c>
      <c r="N641" s="11" t="n">
        <v>1</v>
      </c>
      <c r="O641" s="11" t="n">
        <v>4.5</v>
      </c>
      <c r="P641" s="11" t="n">
        <v>2.28</v>
      </c>
      <c r="Q641" s="11" t="n">
        <v>17.1</v>
      </c>
      <c r="R641" s="11" t="n">
        <f aca="false">SUM(K641:Q641)</f>
        <v>120.23</v>
      </c>
      <c r="S641" s="11" t="n">
        <f aca="false">R641/(1-Resumo!$C$6)</f>
        <v>136.625</v>
      </c>
      <c r="T641" s="11" t="n">
        <f aca="false">S641-J641</f>
        <v>22.455</v>
      </c>
      <c r="U641" s="12" t="n">
        <f aca="false">IFERROR(S641/J641-1,0)</f>
        <v>0.196680388893755</v>
      </c>
      <c r="V641" s="2" t="str">
        <f aca="false">IF(S641&lt;J641,"SIM","NÃO")</f>
        <v>NÃO</v>
      </c>
      <c r="W641" s="2" t="n">
        <v>5</v>
      </c>
      <c r="X641" s="2" t="s">
        <v>156</v>
      </c>
    </row>
    <row r="642" customFormat="false" ht="15" hidden="false" customHeight="false" outlineLevel="0" collapsed="false">
      <c r="A642" s="2" t="n">
        <v>372575121</v>
      </c>
      <c r="B642" s="29" t="n">
        <v>46240.7103703704</v>
      </c>
      <c r="C642" s="2" t="s">
        <v>158</v>
      </c>
      <c r="D642" s="2" t="s">
        <v>827</v>
      </c>
      <c r="E642" s="2" t="s">
        <v>78</v>
      </c>
      <c r="F642" s="2" t="s">
        <v>107</v>
      </c>
      <c r="G642" s="30" t="n">
        <v>36.8</v>
      </c>
      <c r="H642" s="11" t="n">
        <v>449.99</v>
      </c>
      <c r="I642" s="11" t="s">
        <v>350</v>
      </c>
      <c r="J642" s="11" t="n">
        <v>92.59</v>
      </c>
      <c r="K642" s="11" t="n">
        <v>93.97</v>
      </c>
      <c r="L642" s="11" t="n">
        <v>0.45</v>
      </c>
      <c r="M642" s="11" t="n">
        <v>0.9</v>
      </c>
      <c r="N642" s="11" t="n">
        <v>1</v>
      </c>
      <c r="O642" s="11" t="n">
        <v>4.5</v>
      </c>
      <c r="P642" s="11" t="n">
        <v>2.22</v>
      </c>
      <c r="Q642" s="11" t="n">
        <v>16.65</v>
      </c>
      <c r="R642" s="11" t="n">
        <f aca="false">SUM(K642:Q642)</f>
        <v>119.69</v>
      </c>
      <c r="S642" s="11" t="n">
        <f aca="false">R642/(1-Resumo!$C$6)</f>
        <v>136.011363636364</v>
      </c>
      <c r="T642" s="11" t="n">
        <f aca="false">S642-J642</f>
        <v>43.4213636363636</v>
      </c>
      <c r="U642" s="12" t="n">
        <f aca="false">IFERROR(S642/J642-1,0)</f>
        <v>0.468963858260759</v>
      </c>
      <c r="V642" s="2" t="str">
        <f aca="false">IF(S642&lt;J642,"SIM","NÃO")</f>
        <v>NÃO</v>
      </c>
      <c r="W642" s="2" t="n">
        <v>5</v>
      </c>
      <c r="X642" s="2" t="s">
        <v>156</v>
      </c>
    </row>
    <row r="643" customFormat="false" ht="15" hidden="false" customHeight="false" outlineLevel="0" collapsed="false">
      <c r="A643" s="2" t="n">
        <v>372585068</v>
      </c>
      <c r="B643" s="29" t="n">
        <v>46240.7307175926</v>
      </c>
      <c r="C643" s="2" t="s">
        <v>153</v>
      </c>
      <c r="D643" s="2" t="s">
        <v>828</v>
      </c>
      <c r="E643" s="2" t="s">
        <v>92</v>
      </c>
      <c r="F643" s="2" t="s">
        <v>110</v>
      </c>
      <c r="G643" s="30" t="n">
        <v>63.9</v>
      </c>
      <c r="H643" s="11" t="n">
        <v>735.99</v>
      </c>
      <c r="I643" s="11" t="s">
        <v>350</v>
      </c>
      <c r="J643" s="11" t="n">
        <v>155.34</v>
      </c>
      <c r="K643" s="11" t="n">
        <v>166.05</v>
      </c>
      <c r="L643" s="11" t="n">
        <v>0.736</v>
      </c>
      <c r="M643" s="11" t="n">
        <v>1.472</v>
      </c>
      <c r="N643" s="11" t="n">
        <v>1</v>
      </c>
      <c r="O643" s="11" t="n">
        <v>4.5</v>
      </c>
      <c r="P643" s="11" t="n">
        <v>3.84</v>
      </c>
      <c r="Q643" s="11" t="n">
        <v>28.8</v>
      </c>
      <c r="R643" s="11" t="n">
        <f aca="false">SUM(K643:Q643)</f>
        <v>206.398</v>
      </c>
      <c r="S643" s="11" t="n">
        <f aca="false">R643/(1-Resumo!$C$6)</f>
        <v>234.543181818182</v>
      </c>
      <c r="T643" s="11" t="n">
        <f aca="false">S643-J643</f>
        <v>79.2031818181818</v>
      </c>
      <c r="U643" s="12" t="n">
        <f aca="false">IFERROR(S643/J643-1,0)</f>
        <v>0.509869845617239</v>
      </c>
      <c r="V643" s="2" t="str">
        <f aca="false">IF(S643&lt;J643,"SIM","NÃO")</f>
        <v>NÃO</v>
      </c>
      <c r="W643" s="2" t="n">
        <v>10</v>
      </c>
      <c r="X643" s="2" t="s">
        <v>156</v>
      </c>
    </row>
    <row r="644" customFormat="false" ht="15" hidden="false" customHeight="false" outlineLevel="0" collapsed="false">
      <c r="A644" s="2" t="n">
        <v>372591144</v>
      </c>
      <c r="B644" s="29" t="n">
        <v>46240.7421527778</v>
      </c>
      <c r="C644" s="2" t="s">
        <v>158</v>
      </c>
      <c r="D644" s="2" t="s">
        <v>829</v>
      </c>
      <c r="E644" s="2" t="s">
        <v>78</v>
      </c>
      <c r="F644" s="2" t="s">
        <v>105</v>
      </c>
      <c r="G644" s="30" t="n">
        <v>8</v>
      </c>
      <c r="H644" s="11" t="n">
        <v>155.1</v>
      </c>
      <c r="I644" s="11" t="s">
        <v>155</v>
      </c>
      <c r="J644" s="11" t="n">
        <v>63.95</v>
      </c>
      <c r="K644" s="11" t="n">
        <v>46.98</v>
      </c>
      <c r="L644" s="11" t="n">
        <v>0.1551</v>
      </c>
      <c r="M644" s="11" t="n">
        <v>0.3102</v>
      </c>
      <c r="N644" s="11" t="n">
        <v>1</v>
      </c>
      <c r="O644" s="11" t="n">
        <v>4.5</v>
      </c>
      <c r="P644" s="11" t="n">
        <v>0.48</v>
      </c>
      <c r="Q644" s="11" t="n">
        <v>3.6</v>
      </c>
      <c r="R644" s="11" t="n">
        <f aca="false">SUM(K644:Q644)</f>
        <v>57.0253</v>
      </c>
      <c r="S644" s="11" t="n">
        <f aca="false">R644/(1-Resumo!$C$6)</f>
        <v>64.8014772727273</v>
      </c>
      <c r="T644" s="11" t="n">
        <f aca="false">S644-J644</f>
        <v>0.851477272727266</v>
      </c>
      <c r="U644" s="12" t="n">
        <f aca="false">IFERROR(S644/J644-1,0)</f>
        <v>0.0133147345227094</v>
      </c>
      <c r="V644" s="2" t="str">
        <f aca="false">IF(S644&lt;J644,"SIM","NÃO")</f>
        <v>NÃO</v>
      </c>
      <c r="W644" s="2" t="n">
        <v>5</v>
      </c>
      <c r="X644" s="2" t="s">
        <v>156</v>
      </c>
    </row>
    <row r="645" customFormat="false" ht="15" hidden="false" customHeight="false" outlineLevel="0" collapsed="false">
      <c r="A645" s="2" t="n">
        <v>372592842</v>
      </c>
      <c r="B645" s="29" t="n">
        <v>46240.7459027778</v>
      </c>
      <c r="C645" s="2" t="s">
        <v>153</v>
      </c>
      <c r="D645" s="2" t="s">
        <v>830</v>
      </c>
      <c r="E645" s="2" t="s">
        <v>78</v>
      </c>
      <c r="F645" s="2" t="s">
        <v>107</v>
      </c>
      <c r="G645" s="30" t="n">
        <v>37.2</v>
      </c>
      <c r="H645" s="11" t="n">
        <v>419.99</v>
      </c>
      <c r="I645" s="11" t="s">
        <v>350</v>
      </c>
      <c r="J645" s="11" t="n">
        <v>92.97</v>
      </c>
      <c r="K645" s="11" t="n">
        <v>93.97</v>
      </c>
      <c r="L645" s="11" t="n">
        <v>0.42</v>
      </c>
      <c r="M645" s="11" t="n">
        <v>0.84</v>
      </c>
      <c r="N645" s="11" t="n">
        <v>1</v>
      </c>
      <c r="O645" s="11" t="n">
        <v>4.5</v>
      </c>
      <c r="P645" s="11" t="n">
        <v>2.28</v>
      </c>
      <c r="Q645" s="11" t="n">
        <v>17.1</v>
      </c>
      <c r="R645" s="11" t="n">
        <f aca="false">SUM(K645:Q645)</f>
        <v>120.11</v>
      </c>
      <c r="S645" s="11" t="n">
        <f aca="false">R645/(1-Resumo!$C$6)</f>
        <v>136.488636363636</v>
      </c>
      <c r="T645" s="11" t="n">
        <f aca="false">S645-J645</f>
        <v>43.5186363636364</v>
      </c>
      <c r="U645" s="12" t="n">
        <f aca="false">IFERROR(S645/J645-1,0)</f>
        <v>0.468093324337274</v>
      </c>
      <c r="V645" s="2" t="str">
        <f aca="false">IF(S645&lt;J645,"SIM","NÃO")</f>
        <v>NÃO</v>
      </c>
      <c r="W645" s="2" t="n">
        <v>5</v>
      </c>
      <c r="X645" s="2" t="s">
        <v>156</v>
      </c>
    </row>
    <row r="646" customFormat="false" ht="15" hidden="false" customHeight="false" outlineLevel="0" collapsed="false">
      <c r="A646" s="2" t="n">
        <v>372597501</v>
      </c>
      <c r="B646" s="29" t="n">
        <v>46240.7543518519</v>
      </c>
      <c r="C646" s="2" t="s">
        <v>158</v>
      </c>
      <c r="D646" s="2" t="s">
        <v>831</v>
      </c>
      <c r="E646" s="2" t="s">
        <v>81</v>
      </c>
      <c r="F646" s="2" t="s">
        <v>109</v>
      </c>
      <c r="G646" s="30" t="n">
        <v>60</v>
      </c>
      <c r="H646" s="11" t="n">
        <v>899.99</v>
      </c>
      <c r="I646" s="11" t="s">
        <v>155</v>
      </c>
      <c r="J646" s="11" t="n">
        <v>129.6</v>
      </c>
      <c r="K646" s="11" t="n">
        <v>112.3</v>
      </c>
      <c r="L646" s="11" t="n">
        <v>0.9</v>
      </c>
      <c r="M646" s="11" t="n">
        <v>1.8</v>
      </c>
      <c r="N646" s="11" t="n">
        <v>1</v>
      </c>
      <c r="O646" s="11" t="n">
        <v>4.5</v>
      </c>
      <c r="P646" s="11" t="n">
        <v>3.6</v>
      </c>
      <c r="Q646" s="11" t="n">
        <v>27</v>
      </c>
      <c r="R646" s="11" t="n">
        <f aca="false">SUM(K646:Q646)</f>
        <v>151.1</v>
      </c>
      <c r="S646" s="11" t="n">
        <f aca="false">R646/(1-Resumo!$C$6)</f>
        <v>171.704545454545</v>
      </c>
      <c r="T646" s="11" t="n">
        <f aca="false">S646-J646</f>
        <v>42.1045454545454</v>
      </c>
      <c r="U646" s="12" t="n">
        <f aca="false">IFERROR(S646/J646-1,0)</f>
        <v>0.324880751964085</v>
      </c>
      <c r="V646" s="2" t="str">
        <f aca="false">IF(S646&lt;J646,"SIM","NÃO")</f>
        <v>NÃO</v>
      </c>
      <c r="W646" s="2" t="n">
        <v>5</v>
      </c>
      <c r="X646" s="2" t="s">
        <v>156</v>
      </c>
    </row>
    <row r="647" customFormat="false" ht="15" hidden="false" customHeight="false" outlineLevel="0" collapsed="false">
      <c r="A647" s="2" t="n">
        <v>372608503</v>
      </c>
      <c r="B647" s="29" t="n">
        <v>46240.7763773148</v>
      </c>
      <c r="C647" s="2" t="s">
        <v>153</v>
      </c>
      <c r="D647" s="2" t="s">
        <v>832</v>
      </c>
      <c r="E647" s="2" t="s">
        <v>79</v>
      </c>
      <c r="F647" s="2" t="s">
        <v>105</v>
      </c>
      <c r="G647" s="30" t="n">
        <v>14.4</v>
      </c>
      <c r="H647" s="11" t="n">
        <v>459.99</v>
      </c>
      <c r="I647" s="11" t="s">
        <v>350</v>
      </c>
      <c r="J647" s="11" t="n">
        <v>75.01</v>
      </c>
      <c r="K647" s="11" t="n">
        <v>57.47</v>
      </c>
      <c r="L647" s="11" t="n">
        <v>0.46</v>
      </c>
      <c r="M647" s="11" t="n">
        <v>0.92</v>
      </c>
      <c r="N647" s="11" t="n">
        <v>1</v>
      </c>
      <c r="O647" s="11" t="n">
        <v>4.5</v>
      </c>
      <c r="P647" s="11" t="n">
        <v>0.9</v>
      </c>
      <c r="Q647" s="11" t="n">
        <v>6.75</v>
      </c>
      <c r="R647" s="11" t="n">
        <f aca="false">SUM(K647:Q647)</f>
        <v>72</v>
      </c>
      <c r="S647" s="11" t="n">
        <f aca="false">R647/(1-Resumo!$C$6)</f>
        <v>81.8181818181818</v>
      </c>
      <c r="T647" s="11" t="n">
        <f aca="false">S647-J647</f>
        <v>6.80818181818181</v>
      </c>
      <c r="U647" s="12" t="n">
        <f aca="false">IFERROR(S647/J647-1,0)</f>
        <v>0.09076365575499</v>
      </c>
      <c r="V647" s="2" t="str">
        <f aca="false">IF(S647&lt;J647,"SIM","NÃO")</f>
        <v>NÃO</v>
      </c>
      <c r="W647" s="2" t="n">
        <v>7</v>
      </c>
      <c r="X647" s="2" t="s">
        <v>156</v>
      </c>
    </row>
    <row r="648" customFormat="false" ht="15" hidden="false" customHeight="false" outlineLevel="0" collapsed="false">
      <c r="A648" s="2" t="n">
        <v>372615480</v>
      </c>
      <c r="B648" s="29" t="n">
        <v>46240.7954513889</v>
      </c>
      <c r="C648" s="2" t="s">
        <v>194</v>
      </c>
      <c r="D648" s="2" t="s">
        <v>833</v>
      </c>
      <c r="E648" s="2" t="s">
        <v>78</v>
      </c>
      <c r="F648" s="2" t="s">
        <v>109</v>
      </c>
      <c r="G648" s="30" t="n">
        <v>52.3</v>
      </c>
      <c r="H648" s="11" t="n">
        <v>611.37</v>
      </c>
      <c r="I648" s="11" t="s">
        <v>350</v>
      </c>
      <c r="J648" s="11" t="n">
        <v>113.19</v>
      </c>
      <c r="K648" s="11" t="n">
        <v>112.3</v>
      </c>
      <c r="L648" s="11" t="n">
        <v>0.6114</v>
      </c>
      <c r="M648" s="11" t="n">
        <v>1.2227</v>
      </c>
      <c r="N648" s="11" t="n">
        <v>1</v>
      </c>
      <c r="O648" s="11" t="n">
        <v>4.5</v>
      </c>
      <c r="P648" s="11" t="n">
        <v>3.18</v>
      </c>
      <c r="Q648" s="11" t="n">
        <v>23.85</v>
      </c>
      <c r="R648" s="11" t="n">
        <f aca="false">SUM(K648:Q648)</f>
        <v>146.6641</v>
      </c>
      <c r="S648" s="11" t="n">
        <f aca="false">R648/(1-Resumo!$C$6)</f>
        <v>166.66375</v>
      </c>
      <c r="T648" s="11" t="n">
        <f aca="false">S648-J648</f>
        <v>53.47375</v>
      </c>
      <c r="U648" s="12" t="n">
        <f aca="false">IFERROR(S648/J648-1,0)</f>
        <v>0.472424684159378</v>
      </c>
      <c r="V648" s="2" t="str">
        <f aca="false">IF(S648&lt;J648,"SIM","NÃO")</f>
        <v>NÃO</v>
      </c>
      <c r="W648" s="2" t="n">
        <v>5</v>
      </c>
      <c r="X648" s="2" t="s">
        <v>156</v>
      </c>
    </row>
    <row r="649" customFormat="false" ht="15" hidden="false" customHeight="false" outlineLevel="0" collapsed="false">
      <c r="A649" s="2" t="n">
        <v>372624866</v>
      </c>
      <c r="B649" s="29" t="n">
        <v>46240.8080555556</v>
      </c>
      <c r="C649" s="2" t="s">
        <v>153</v>
      </c>
      <c r="D649" s="2" t="s">
        <v>400</v>
      </c>
      <c r="E649" s="2" t="s">
        <v>78</v>
      </c>
      <c r="F649" s="2" t="s">
        <v>108</v>
      </c>
      <c r="G649" s="30" t="n">
        <v>48.6</v>
      </c>
      <c r="H649" s="11" t="n">
        <v>679.99</v>
      </c>
      <c r="I649" s="11" t="s">
        <v>350</v>
      </c>
      <c r="J649" s="11" t="n">
        <v>105.75</v>
      </c>
      <c r="K649" s="11" t="n">
        <v>93.97</v>
      </c>
      <c r="L649" s="11" t="n">
        <v>0.68</v>
      </c>
      <c r="M649" s="11" t="n">
        <v>1.36</v>
      </c>
      <c r="N649" s="11" t="n">
        <v>1</v>
      </c>
      <c r="O649" s="11" t="n">
        <v>4.5</v>
      </c>
      <c r="P649" s="11" t="n">
        <v>2.94</v>
      </c>
      <c r="Q649" s="11" t="n">
        <v>22.05</v>
      </c>
      <c r="R649" s="11" t="n">
        <f aca="false">SUM(K649:Q649)</f>
        <v>126.5</v>
      </c>
      <c r="S649" s="11" t="n">
        <f aca="false">R649/(1-Resumo!$C$6)</f>
        <v>143.75</v>
      </c>
      <c r="T649" s="11" t="n">
        <f aca="false">S649-J649</f>
        <v>38</v>
      </c>
      <c r="U649" s="12" t="n">
        <f aca="false">IFERROR(S649/J649-1,0)</f>
        <v>0.359338061465721</v>
      </c>
      <c r="V649" s="2" t="str">
        <f aca="false">IF(S649&lt;J649,"SIM","NÃO")</f>
        <v>NÃO</v>
      </c>
      <c r="W649" s="2" t="n">
        <v>5</v>
      </c>
      <c r="X649" s="2" t="s">
        <v>156</v>
      </c>
    </row>
    <row r="650" customFormat="false" ht="15" hidden="false" customHeight="false" outlineLevel="0" collapsed="false">
      <c r="A650" s="2" t="n">
        <v>372625190</v>
      </c>
      <c r="B650" s="29" t="n">
        <v>46240.8086921296</v>
      </c>
      <c r="C650" s="2" t="s">
        <v>153</v>
      </c>
      <c r="D650" s="2" t="s">
        <v>834</v>
      </c>
      <c r="E650" s="2" t="s">
        <v>78</v>
      </c>
      <c r="F650" s="2" t="s">
        <v>110</v>
      </c>
      <c r="G650" s="30" t="n">
        <v>66.8</v>
      </c>
      <c r="H650" s="11" t="n">
        <v>699.99</v>
      </c>
      <c r="I650" s="11" t="s">
        <v>155</v>
      </c>
      <c r="J650" s="11" t="n">
        <v>124.56</v>
      </c>
      <c r="K650" s="11" t="n">
        <v>131.02</v>
      </c>
      <c r="L650" s="11" t="n">
        <v>0.7</v>
      </c>
      <c r="M650" s="11" t="n">
        <v>1.4</v>
      </c>
      <c r="N650" s="11" t="n">
        <v>1</v>
      </c>
      <c r="O650" s="11" t="n">
        <v>4.5</v>
      </c>
      <c r="P650" s="11" t="n">
        <v>4.02</v>
      </c>
      <c r="Q650" s="11" t="n">
        <v>30.15</v>
      </c>
      <c r="R650" s="11" t="n">
        <f aca="false">SUM(K650:Q650)</f>
        <v>172.79</v>
      </c>
      <c r="S650" s="11" t="n">
        <f aca="false">R650/(1-Resumo!$C$6)</f>
        <v>196.352272727273</v>
      </c>
      <c r="T650" s="11" t="n">
        <f aca="false">S650-J650</f>
        <v>71.7922727272728</v>
      </c>
      <c r="U650" s="12" t="n">
        <f aca="false">IFERROR(S650/J650-1,0)</f>
        <v>0.57636699363578</v>
      </c>
      <c r="V650" s="2" t="str">
        <f aca="false">IF(S650&lt;J650,"SIM","NÃO")</f>
        <v>NÃO</v>
      </c>
      <c r="W650" s="2" t="n">
        <v>5</v>
      </c>
      <c r="X650" s="2" t="s">
        <v>156</v>
      </c>
    </row>
    <row r="651" customFormat="false" ht="15" hidden="false" customHeight="false" outlineLevel="0" collapsed="false">
      <c r="A651" s="2" t="n">
        <v>372637606</v>
      </c>
      <c r="B651" s="29" t="n">
        <v>46240.8312152778</v>
      </c>
      <c r="C651" s="2" t="s">
        <v>153</v>
      </c>
      <c r="D651" s="2" t="s">
        <v>835</v>
      </c>
      <c r="E651" s="2" t="s">
        <v>80</v>
      </c>
      <c r="F651" s="2" t="s">
        <v>109</v>
      </c>
      <c r="G651" s="30" t="n">
        <v>52.3</v>
      </c>
      <c r="H651" s="11" t="n">
        <v>685.85</v>
      </c>
      <c r="I651" s="11" t="s">
        <v>155</v>
      </c>
      <c r="J651" s="11" t="n">
        <v>128.57</v>
      </c>
      <c r="K651" s="11" t="n">
        <v>112.3</v>
      </c>
      <c r="L651" s="11" t="n">
        <v>0.6859</v>
      </c>
      <c r="M651" s="11" t="n">
        <v>1.3717</v>
      </c>
      <c r="N651" s="11" t="n">
        <v>1</v>
      </c>
      <c r="O651" s="11" t="n">
        <v>4.5</v>
      </c>
      <c r="P651" s="11" t="n">
        <v>3.18</v>
      </c>
      <c r="Q651" s="11" t="n">
        <v>23.85</v>
      </c>
      <c r="R651" s="11" t="n">
        <f aca="false">SUM(K651:Q651)</f>
        <v>146.8876</v>
      </c>
      <c r="S651" s="11" t="n">
        <f aca="false">R651/(1-Resumo!$C$6)</f>
        <v>166.917727272727</v>
      </c>
      <c r="T651" s="11" t="n">
        <f aca="false">S651-J651</f>
        <v>38.3477272727273</v>
      </c>
      <c r="U651" s="12" t="n">
        <f aca="false">IFERROR(S651/J651-1,0)</f>
        <v>0.298263415048046</v>
      </c>
      <c r="V651" s="2" t="str">
        <f aca="false">IF(S651&lt;J651,"SIM","NÃO")</f>
        <v>NÃO</v>
      </c>
      <c r="W651" s="2" t="n">
        <v>5</v>
      </c>
      <c r="X651" s="2" t="s">
        <v>156</v>
      </c>
    </row>
    <row r="652" customFormat="false" ht="15" hidden="false" customHeight="false" outlineLevel="0" collapsed="false">
      <c r="A652" s="2" t="n">
        <v>372637630</v>
      </c>
      <c r="B652" s="29" t="n">
        <v>46240.8312731482</v>
      </c>
      <c r="C652" s="2" t="s">
        <v>153</v>
      </c>
      <c r="D652" s="2" t="s">
        <v>836</v>
      </c>
      <c r="E652" s="2" t="s">
        <v>78</v>
      </c>
      <c r="F652" s="2" t="s">
        <v>106</v>
      </c>
      <c r="G652" s="30" t="n">
        <v>22.4</v>
      </c>
      <c r="H652" s="11" t="n">
        <v>440.99</v>
      </c>
      <c r="I652" s="11" t="s">
        <v>155</v>
      </c>
      <c r="J652" s="11" t="n">
        <v>82.43</v>
      </c>
      <c r="K652" s="11" t="n">
        <v>82.21</v>
      </c>
      <c r="L652" s="11" t="n">
        <v>0.441</v>
      </c>
      <c r="M652" s="11" t="n">
        <v>0.882</v>
      </c>
      <c r="N652" s="11" t="n">
        <v>1</v>
      </c>
      <c r="O652" s="11" t="n">
        <v>4.5</v>
      </c>
      <c r="P652" s="11" t="n">
        <v>1.38</v>
      </c>
      <c r="Q652" s="11" t="n">
        <v>10.35</v>
      </c>
      <c r="R652" s="11" t="n">
        <f aca="false">SUM(K652:Q652)</f>
        <v>100.763</v>
      </c>
      <c r="S652" s="11" t="n">
        <f aca="false">R652/(1-Resumo!$C$6)</f>
        <v>114.503409090909</v>
      </c>
      <c r="T652" s="11" t="n">
        <f aca="false">S652-J652</f>
        <v>32.0734090909091</v>
      </c>
      <c r="U652" s="12" t="n">
        <f aca="false">IFERROR(S652/J652-1,0)</f>
        <v>0.38909873942629</v>
      </c>
      <c r="V652" s="2" t="str">
        <f aca="false">IF(S652&lt;J652,"SIM","NÃO")</f>
        <v>NÃO</v>
      </c>
      <c r="W652" s="2" t="n">
        <v>5</v>
      </c>
      <c r="X652" s="2" t="s">
        <v>156</v>
      </c>
    </row>
    <row r="653" customFormat="false" ht="15" hidden="false" customHeight="false" outlineLevel="0" collapsed="false">
      <c r="A653" s="2" t="n">
        <v>372638730</v>
      </c>
      <c r="B653" s="29" t="n">
        <v>46240.8334259259</v>
      </c>
      <c r="C653" s="2" t="s">
        <v>153</v>
      </c>
      <c r="D653" s="2" t="s">
        <v>837</v>
      </c>
      <c r="E653" s="2" t="s">
        <v>93</v>
      </c>
      <c r="F653" s="2" t="s">
        <v>109</v>
      </c>
      <c r="G653" s="30" t="n">
        <v>51.7</v>
      </c>
      <c r="H653" s="11" t="n">
        <v>659.99</v>
      </c>
      <c r="I653" s="11" t="s">
        <v>350</v>
      </c>
      <c r="J653" s="11" t="n">
        <v>141.32</v>
      </c>
      <c r="K653" s="11" t="n">
        <v>128.14</v>
      </c>
      <c r="L653" s="11" t="n">
        <v>0.66</v>
      </c>
      <c r="M653" s="11" t="n">
        <v>1.32</v>
      </c>
      <c r="N653" s="11" t="n">
        <v>1</v>
      </c>
      <c r="O653" s="11" t="n">
        <v>4.5</v>
      </c>
      <c r="P653" s="11" t="n">
        <v>3.12</v>
      </c>
      <c r="Q653" s="11" t="n">
        <v>23.4</v>
      </c>
      <c r="R653" s="11" t="n">
        <f aca="false">SUM(K653:Q653)</f>
        <v>162.14</v>
      </c>
      <c r="S653" s="11" t="n">
        <f aca="false">R653/(1-Resumo!$C$6)</f>
        <v>184.25</v>
      </c>
      <c r="T653" s="11" t="n">
        <f aca="false">S653-J653</f>
        <v>42.93</v>
      </c>
      <c r="U653" s="12" t="n">
        <f aca="false">IFERROR(S653/J653-1,0)</f>
        <v>0.303778658363997</v>
      </c>
      <c r="V653" s="2" t="str">
        <f aca="false">IF(S653&lt;J653,"SIM","NÃO")</f>
        <v>NÃO</v>
      </c>
      <c r="W653" s="2" t="n">
        <v>7</v>
      </c>
      <c r="X653" s="2" t="s">
        <v>156</v>
      </c>
    </row>
    <row r="654" customFormat="false" ht="15" hidden="false" customHeight="false" outlineLevel="0" collapsed="false">
      <c r="A654" s="2" t="n">
        <v>372647141</v>
      </c>
      <c r="B654" s="29" t="n">
        <v>46240.8490046296</v>
      </c>
      <c r="C654" s="2" t="s">
        <v>158</v>
      </c>
      <c r="D654" s="2" t="s">
        <v>838</v>
      </c>
      <c r="E654" s="2" t="s">
        <v>78</v>
      </c>
      <c r="F654" s="2" t="s">
        <v>117</v>
      </c>
      <c r="G654" s="30" t="n">
        <v>200.3</v>
      </c>
      <c r="H654" s="11" t="n">
        <v>2125.94</v>
      </c>
      <c r="I654" s="11" t="s">
        <v>350</v>
      </c>
      <c r="J654" s="11" t="n">
        <v>338.2</v>
      </c>
      <c r="K654" s="11" t="n">
        <v>398.74</v>
      </c>
      <c r="L654" s="11" t="n">
        <v>2.1259</v>
      </c>
      <c r="M654" s="11" t="n">
        <v>4.2519</v>
      </c>
      <c r="N654" s="11" t="n">
        <v>1</v>
      </c>
      <c r="O654" s="11" t="n">
        <v>13.5</v>
      </c>
      <c r="P654" s="11" t="n">
        <v>12.06</v>
      </c>
      <c r="Q654" s="11" t="n">
        <v>90.45</v>
      </c>
      <c r="R654" s="11" t="n">
        <f aca="false">SUM(K654:Q654)</f>
        <v>522.1278</v>
      </c>
      <c r="S654" s="11" t="n">
        <f aca="false">R654/(1-Resumo!$C$6)</f>
        <v>593.327045454545</v>
      </c>
      <c r="T654" s="11" t="n">
        <f aca="false">S654-J654</f>
        <v>255.127045454545</v>
      </c>
      <c r="U654" s="12" t="n">
        <f aca="false">IFERROR(S654/J654-1,0)</f>
        <v>0.754367372721897</v>
      </c>
      <c r="V654" s="2" t="str">
        <f aca="false">IF(S654&lt;J654,"SIM","NÃO")</f>
        <v>NÃO</v>
      </c>
      <c r="W654" s="2" t="n">
        <v>5</v>
      </c>
      <c r="X654" s="2" t="s">
        <v>156</v>
      </c>
    </row>
    <row r="655" customFormat="false" ht="15" hidden="false" customHeight="false" outlineLevel="0" collapsed="false">
      <c r="A655" s="2" t="n">
        <v>372648369</v>
      </c>
      <c r="B655" s="29" t="n">
        <v>46240.8514930556</v>
      </c>
      <c r="C655" s="2" t="s">
        <v>153</v>
      </c>
      <c r="D655" s="2" t="s">
        <v>839</v>
      </c>
      <c r="E655" s="2" t="s">
        <v>78</v>
      </c>
      <c r="F655" s="2" t="s">
        <v>107</v>
      </c>
      <c r="G655" s="30" t="n">
        <v>36.8</v>
      </c>
      <c r="H655" s="11" t="n">
        <v>469.99</v>
      </c>
      <c r="I655" s="11" t="s">
        <v>155</v>
      </c>
      <c r="J655" s="11" t="n">
        <v>92.11</v>
      </c>
      <c r="K655" s="11" t="n">
        <v>93.97</v>
      </c>
      <c r="L655" s="11" t="n">
        <v>0.47</v>
      </c>
      <c r="M655" s="11" t="n">
        <v>0.94</v>
      </c>
      <c r="N655" s="11" t="n">
        <v>1</v>
      </c>
      <c r="O655" s="11" t="n">
        <v>4.5</v>
      </c>
      <c r="P655" s="11" t="n">
        <v>2.22</v>
      </c>
      <c r="Q655" s="11" t="n">
        <v>16.65</v>
      </c>
      <c r="R655" s="11" t="n">
        <f aca="false">SUM(K655:Q655)</f>
        <v>119.75</v>
      </c>
      <c r="S655" s="11" t="n">
        <f aca="false">R655/(1-Resumo!$C$6)</f>
        <v>136.079545454545</v>
      </c>
      <c r="T655" s="11" t="n">
        <f aca="false">S655-J655</f>
        <v>43.9695454545455</v>
      </c>
      <c r="U655" s="12" t="n">
        <f aca="false">IFERROR(S655/J655-1,0)</f>
        <v>0.477359086467761</v>
      </c>
      <c r="V655" s="2" t="str">
        <f aca="false">IF(S655&lt;J655,"SIM","NÃO")</f>
        <v>NÃO</v>
      </c>
      <c r="W655" s="2" t="n">
        <v>5</v>
      </c>
      <c r="X655" s="2" t="s">
        <v>156</v>
      </c>
    </row>
    <row r="656" customFormat="false" ht="15" hidden="false" customHeight="false" outlineLevel="0" collapsed="false">
      <c r="A656" s="2" t="n">
        <v>372657683</v>
      </c>
      <c r="B656" s="29" t="n">
        <v>46240.8684143519</v>
      </c>
      <c r="C656" s="2" t="s">
        <v>153</v>
      </c>
      <c r="D656" s="2" t="s">
        <v>840</v>
      </c>
      <c r="E656" s="2" t="s">
        <v>90</v>
      </c>
      <c r="F656" s="2" t="s">
        <v>113</v>
      </c>
      <c r="G656" s="30" t="n">
        <v>106.5</v>
      </c>
      <c r="H656" s="11" t="n">
        <v>1199.99</v>
      </c>
      <c r="I656" s="11" t="s">
        <v>350</v>
      </c>
      <c r="J656" s="11" t="n">
        <v>214.02</v>
      </c>
      <c r="K656" s="11" t="n">
        <v>214.11</v>
      </c>
      <c r="L656" s="11" t="n">
        <v>1.2</v>
      </c>
      <c r="M656" s="11" t="n">
        <v>2.4</v>
      </c>
      <c r="N656" s="11" t="n">
        <v>1</v>
      </c>
      <c r="O656" s="11" t="n">
        <v>9</v>
      </c>
      <c r="P656" s="11" t="n">
        <v>6.42</v>
      </c>
      <c r="Q656" s="11" t="n">
        <v>48.15</v>
      </c>
      <c r="R656" s="11" t="n">
        <f aca="false">SUM(K656:Q656)</f>
        <v>282.28</v>
      </c>
      <c r="S656" s="11" t="n">
        <f aca="false">R656/(1-Resumo!$C$6)</f>
        <v>320.772727272727</v>
      </c>
      <c r="T656" s="11" t="n">
        <f aca="false">S656-J656</f>
        <v>106.752727272727</v>
      </c>
      <c r="U656" s="12" t="n">
        <f aca="false">IFERROR(S656/J656-1,0)</f>
        <v>0.498797903339535</v>
      </c>
      <c r="V656" s="2" t="str">
        <f aca="false">IF(S656&lt;J656,"SIM","NÃO")</f>
        <v>NÃO</v>
      </c>
      <c r="W656" s="2" t="n">
        <v>7</v>
      </c>
      <c r="X656" s="2" t="s">
        <v>156</v>
      </c>
    </row>
    <row r="657" customFormat="false" ht="15" hidden="false" customHeight="false" outlineLevel="0" collapsed="false">
      <c r="A657" s="2" t="n">
        <v>372662584</v>
      </c>
      <c r="B657" s="29" t="n">
        <v>46240.8778703704</v>
      </c>
      <c r="C657" s="2" t="s">
        <v>153</v>
      </c>
      <c r="D657" s="2" t="s">
        <v>841</v>
      </c>
      <c r="E657" s="2" t="s">
        <v>87</v>
      </c>
      <c r="F657" s="2" t="s">
        <v>109</v>
      </c>
      <c r="G657" s="30" t="n">
        <v>52.3</v>
      </c>
      <c r="H657" s="11" t="n">
        <v>685.85</v>
      </c>
      <c r="I657" s="11" t="s">
        <v>350</v>
      </c>
      <c r="J657" s="11" t="n">
        <v>141.94</v>
      </c>
      <c r="K657" s="11" t="n">
        <v>142.32</v>
      </c>
      <c r="L657" s="11" t="n">
        <v>0.6859</v>
      </c>
      <c r="M657" s="11" t="n">
        <v>1.3717</v>
      </c>
      <c r="N657" s="11" t="n">
        <v>1</v>
      </c>
      <c r="O657" s="11" t="n">
        <v>4.5</v>
      </c>
      <c r="P657" s="11" t="n">
        <v>3.18</v>
      </c>
      <c r="Q657" s="11" t="n">
        <v>23.85</v>
      </c>
      <c r="R657" s="11" t="n">
        <f aca="false">SUM(K657:Q657)</f>
        <v>176.9076</v>
      </c>
      <c r="S657" s="11" t="n">
        <f aca="false">R657/(1-Resumo!$C$6)</f>
        <v>201.031363636364</v>
      </c>
      <c r="T657" s="11" t="n">
        <f aca="false">S657-J657</f>
        <v>59.0913636363636</v>
      </c>
      <c r="U657" s="12" t="n">
        <f aca="false">IFERROR(S657/J657-1,0)</f>
        <v>0.416312270229418</v>
      </c>
      <c r="V657" s="2" t="str">
        <f aca="false">IF(S657&lt;J657,"SIM","NÃO")</f>
        <v>NÃO</v>
      </c>
      <c r="W657" s="2" t="n">
        <v>10</v>
      </c>
      <c r="X657" s="2" t="s">
        <v>156</v>
      </c>
    </row>
    <row r="658" customFormat="false" ht="15" hidden="false" customHeight="false" outlineLevel="0" collapsed="false">
      <c r="A658" s="2" t="n">
        <v>372666225</v>
      </c>
      <c r="B658" s="29" t="n">
        <v>46240.8843865741</v>
      </c>
      <c r="C658" s="2" t="s">
        <v>153</v>
      </c>
      <c r="D658" s="2" t="s">
        <v>842</v>
      </c>
      <c r="E658" s="2" t="s">
        <v>78</v>
      </c>
      <c r="F658" s="2" t="s">
        <v>109</v>
      </c>
      <c r="G658" s="30" t="n">
        <v>52.3</v>
      </c>
      <c r="H658" s="11" t="n">
        <v>685.85</v>
      </c>
      <c r="I658" s="11" t="s">
        <v>350</v>
      </c>
      <c r="J658" s="11" t="n">
        <v>113.56</v>
      </c>
      <c r="K658" s="11" t="n">
        <v>112.3</v>
      </c>
      <c r="L658" s="11" t="n">
        <v>0.6859</v>
      </c>
      <c r="M658" s="11" t="n">
        <v>1.3717</v>
      </c>
      <c r="N658" s="11" t="n">
        <v>1</v>
      </c>
      <c r="O658" s="11" t="n">
        <v>4.5</v>
      </c>
      <c r="P658" s="11" t="n">
        <v>3.18</v>
      </c>
      <c r="Q658" s="11" t="n">
        <v>23.85</v>
      </c>
      <c r="R658" s="11" t="n">
        <f aca="false">SUM(K658:Q658)</f>
        <v>146.8876</v>
      </c>
      <c r="S658" s="11" t="n">
        <f aca="false">R658/(1-Resumo!$C$6)</f>
        <v>166.917727272727</v>
      </c>
      <c r="T658" s="11" t="n">
        <f aca="false">S658-J658</f>
        <v>53.3577272727273</v>
      </c>
      <c r="U658" s="12" t="n">
        <f aca="false">IFERROR(S658/J658-1,0)</f>
        <v>0.469863748438951</v>
      </c>
      <c r="V658" s="2" t="str">
        <f aca="false">IF(S658&lt;J658,"SIM","NÃO")</f>
        <v>NÃO</v>
      </c>
      <c r="W658" s="2" t="n">
        <v>5</v>
      </c>
      <c r="X658" s="2" t="s">
        <v>156</v>
      </c>
    </row>
    <row r="659" customFormat="false" ht="15" hidden="false" customHeight="false" outlineLevel="0" collapsed="false">
      <c r="A659" s="2" t="n">
        <v>372674713</v>
      </c>
      <c r="B659" s="29" t="n">
        <v>46240.9035532407</v>
      </c>
      <c r="C659" s="2" t="s">
        <v>194</v>
      </c>
      <c r="D659" s="2" t="s">
        <v>843</v>
      </c>
      <c r="E659" s="2" t="s">
        <v>78</v>
      </c>
      <c r="F659" s="2" t="s">
        <v>106</v>
      </c>
      <c r="G659" s="30" t="n">
        <v>22.4</v>
      </c>
      <c r="H659" s="11" t="n">
        <v>466.39</v>
      </c>
      <c r="I659" s="11" t="s">
        <v>155</v>
      </c>
      <c r="J659" s="11" t="n">
        <v>82.56</v>
      </c>
      <c r="K659" s="11" t="n">
        <v>82.21</v>
      </c>
      <c r="L659" s="11" t="n">
        <v>0.4664</v>
      </c>
      <c r="M659" s="11" t="n">
        <v>0.9328</v>
      </c>
      <c r="N659" s="11" t="n">
        <v>1</v>
      </c>
      <c r="O659" s="11" t="n">
        <v>4.5</v>
      </c>
      <c r="P659" s="11" t="n">
        <v>1.38</v>
      </c>
      <c r="Q659" s="11" t="n">
        <v>10.35</v>
      </c>
      <c r="R659" s="11" t="n">
        <f aca="false">SUM(K659:Q659)</f>
        <v>100.8392</v>
      </c>
      <c r="S659" s="11" t="n">
        <f aca="false">R659/(1-Resumo!$C$6)</f>
        <v>114.59</v>
      </c>
      <c r="T659" s="11" t="n">
        <f aca="false">S659-J659</f>
        <v>32.03</v>
      </c>
      <c r="U659" s="12" t="n">
        <f aca="false">IFERROR(S659/J659-1,0)</f>
        <v>0.387960271317829</v>
      </c>
      <c r="V659" s="2" t="str">
        <f aca="false">IF(S659&lt;J659,"SIM","NÃO")</f>
        <v>NÃO</v>
      </c>
      <c r="W659" s="2" t="n">
        <v>5</v>
      </c>
      <c r="X659" s="2" t="s">
        <v>156</v>
      </c>
    </row>
    <row r="660" customFormat="false" ht="15" hidden="false" customHeight="false" outlineLevel="0" collapsed="false">
      <c r="A660" s="2" t="n">
        <v>372671752</v>
      </c>
      <c r="B660" s="29" t="n">
        <v>46240.9112268519</v>
      </c>
      <c r="C660" s="2" t="s">
        <v>191</v>
      </c>
      <c r="D660" s="2" t="s">
        <v>844</v>
      </c>
      <c r="E660" s="2" t="s">
        <v>88</v>
      </c>
      <c r="F660" s="2" t="s">
        <v>107</v>
      </c>
      <c r="G660" s="30" t="n">
        <v>40</v>
      </c>
      <c r="H660" s="11" t="n">
        <v>599.99</v>
      </c>
      <c r="I660" s="11" t="s">
        <v>350</v>
      </c>
      <c r="J660" s="11" t="n">
        <v>125.1</v>
      </c>
      <c r="K660" s="11" t="n">
        <v>124.38</v>
      </c>
      <c r="L660" s="11" t="n">
        <v>0.6</v>
      </c>
      <c r="M660" s="11" t="n">
        <v>1.2</v>
      </c>
      <c r="N660" s="11" t="n">
        <v>1</v>
      </c>
      <c r="O660" s="11" t="n">
        <v>4.5</v>
      </c>
      <c r="P660" s="11" t="n">
        <v>2.4</v>
      </c>
      <c r="Q660" s="11" t="n">
        <v>18</v>
      </c>
      <c r="R660" s="11" t="n">
        <f aca="false">SUM(K660:Q660)</f>
        <v>152.08</v>
      </c>
      <c r="S660" s="11" t="n">
        <f aca="false">R660/(1-Resumo!$C$6)</f>
        <v>172.818181818182</v>
      </c>
      <c r="T660" s="11" t="n">
        <f aca="false">S660-J660</f>
        <v>47.7181818181818</v>
      </c>
      <c r="U660" s="12" t="n">
        <f aca="false">IFERROR(S660/J660-1,0)</f>
        <v>0.381440302303612</v>
      </c>
      <c r="V660" s="2" t="str">
        <f aca="false">IF(S660&lt;J660,"SIM","NÃO")</f>
        <v>NÃO</v>
      </c>
      <c r="W660" s="2" t="n">
        <v>10</v>
      </c>
      <c r="X660" s="2" t="s">
        <v>156</v>
      </c>
    </row>
    <row r="661" customFormat="false" ht="15" hidden="false" customHeight="false" outlineLevel="0" collapsed="false">
      <c r="A661" s="2" t="n">
        <v>372687901</v>
      </c>
      <c r="B661" s="29" t="n">
        <v>46240.9252430556</v>
      </c>
      <c r="C661" s="2" t="s">
        <v>153</v>
      </c>
      <c r="D661" s="2" t="s">
        <v>845</v>
      </c>
      <c r="E661" s="2" t="s">
        <v>79</v>
      </c>
      <c r="F661" s="2" t="s">
        <v>106</v>
      </c>
      <c r="G661" s="30" t="n">
        <v>20.9</v>
      </c>
      <c r="H661" s="11" t="n">
        <v>487.59</v>
      </c>
      <c r="I661" s="11" t="s">
        <v>350</v>
      </c>
      <c r="J661" s="11" t="n">
        <v>96.47</v>
      </c>
      <c r="K661" s="11" t="n">
        <v>100.58</v>
      </c>
      <c r="L661" s="11" t="n">
        <v>0.4876</v>
      </c>
      <c r="M661" s="11" t="n">
        <v>0.9752</v>
      </c>
      <c r="N661" s="11" t="n">
        <v>1</v>
      </c>
      <c r="O661" s="11" t="n">
        <v>4.5</v>
      </c>
      <c r="P661" s="11" t="n">
        <v>1.26</v>
      </c>
      <c r="Q661" s="11" t="n">
        <v>9.45</v>
      </c>
      <c r="R661" s="11" t="n">
        <f aca="false">SUM(K661:Q661)</f>
        <v>118.2528</v>
      </c>
      <c r="S661" s="11" t="n">
        <f aca="false">R661/(1-Resumo!$C$6)</f>
        <v>134.378181818182</v>
      </c>
      <c r="T661" s="11" t="n">
        <f aca="false">S661-J661</f>
        <v>37.9081818181818</v>
      </c>
      <c r="U661" s="12" t="n">
        <f aca="false">IFERROR(S661/J661-1,0)</f>
        <v>0.392953061243722</v>
      </c>
      <c r="V661" s="2" t="str">
        <f aca="false">IF(S661&lt;J661,"SIM","NÃO")</f>
        <v>NÃO</v>
      </c>
      <c r="W661" s="2" t="n">
        <v>7</v>
      </c>
      <c r="X661" s="2" t="s">
        <v>156</v>
      </c>
    </row>
    <row r="662" customFormat="false" ht="15" hidden="false" customHeight="false" outlineLevel="0" collapsed="false">
      <c r="A662" s="2" t="n">
        <v>372688345</v>
      </c>
      <c r="B662" s="29" t="n">
        <v>46240.9266319444</v>
      </c>
      <c r="C662" s="2" t="s">
        <v>153</v>
      </c>
      <c r="D662" s="2" t="s">
        <v>846</v>
      </c>
      <c r="E662" s="2" t="s">
        <v>80</v>
      </c>
      <c r="F662" s="2" t="s">
        <v>110</v>
      </c>
      <c r="G662" s="30" t="n">
        <v>63.9</v>
      </c>
      <c r="H662" s="11" t="n">
        <v>735.99</v>
      </c>
      <c r="I662" s="11" t="s">
        <v>155</v>
      </c>
      <c r="J662" s="11" t="n">
        <v>139.95</v>
      </c>
      <c r="K662" s="11" t="n">
        <v>131.02</v>
      </c>
      <c r="L662" s="11" t="n">
        <v>0.736</v>
      </c>
      <c r="M662" s="11" t="n">
        <v>1.472</v>
      </c>
      <c r="N662" s="11" t="n">
        <v>1</v>
      </c>
      <c r="O662" s="11" t="n">
        <v>4.5</v>
      </c>
      <c r="P662" s="11" t="n">
        <v>3.84</v>
      </c>
      <c r="Q662" s="11" t="n">
        <v>28.8</v>
      </c>
      <c r="R662" s="11" t="n">
        <f aca="false">SUM(K662:Q662)</f>
        <v>171.368</v>
      </c>
      <c r="S662" s="11" t="n">
        <f aca="false">R662/(1-Resumo!$C$6)</f>
        <v>194.736363636364</v>
      </c>
      <c r="T662" s="11" t="n">
        <f aca="false">S662-J662</f>
        <v>54.7863636363637</v>
      </c>
      <c r="U662" s="12" t="n">
        <f aca="false">IFERROR(S662/J662-1,0)</f>
        <v>0.391470979895417</v>
      </c>
      <c r="V662" s="2" t="str">
        <f aca="false">IF(S662&lt;J662,"SIM","NÃO")</f>
        <v>NÃO</v>
      </c>
      <c r="W662" s="2" t="n">
        <v>5</v>
      </c>
      <c r="X662" s="2" t="s">
        <v>156</v>
      </c>
    </row>
    <row r="663" customFormat="false" ht="15" hidden="false" customHeight="false" outlineLevel="0" collapsed="false">
      <c r="A663" s="2" t="n">
        <v>372690858</v>
      </c>
      <c r="B663" s="29" t="n">
        <v>46240.9313888889</v>
      </c>
      <c r="C663" s="2" t="s">
        <v>153</v>
      </c>
      <c r="D663" s="2" t="s">
        <v>847</v>
      </c>
      <c r="E663" s="2" t="s">
        <v>87</v>
      </c>
      <c r="F663" s="2" t="s">
        <v>107</v>
      </c>
      <c r="G663" s="30" t="n">
        <v>36</v>
      </c>
      <c r="H663" s="11" t="n">
        <v>449.99</v>
      </c>
      <c r="I663" s="11" t="s">
        <v>350</v>
      </c>
      <c r="J663" s="11" t="n">
        <v>122.33</v>
      </c>
      <c r="K663" s="11" t="n">
        <v>124.38</v>
      </c>
      <c r="L663" s="11" t="n">
        <v>0.45</v>
      </c>
      <c r="M663" s="11" t="n">
        <v>0.9</v>
      </c>
      <c r="N663" s="11" t="n">
        <v>1</v>
      </c>
      <c r="O663" s="11" t="n">
        <v>4.5</v>
      </c>
      <c r="P663" s="11" t="n">
        <v>2.16</v>
      </c>
      <c r="Q663" s="11" t="n">
        <v>16.2</v>
      </c>
      <c r="R663" s="11" t="n">
        <f aca="false">SUM(K663:Q663)</f>
        <v>149.59</v>
      </c>
      <c r="S663" s="11" t="n">
        <f aca="false">R663/(1-Resumo!$C$6)</f>
        <v>169.988636363636</v>
      </c>
      <c r="T663" s="11" t="n">
        <f aca="false">S663-J663</f>
        <v>47.6586363636364</v>
      </c>
      <c r="U663" s="12" t="n">
        <f aca="false">IFERROR(S663/J663-1,0)</f>
        <v>0.389590749314448</v>
      </c>
      <c r="V663" s="2" t="str">
        <f aca="false">IF(S663&lt;J663,"SIM","NÃO")</f>
        <v>NÃO</v>
      </c>
      <c r="W663" s="2" t="n">
        <v>10</v>
      </c>
      <c r="X663" s="2" t="s">
        <v>156</v>
      </c>
    </row>
    <row r="664" customFormat="false" ht="15" hidden="false" customHeight="false" outlineLevel="0" collapsed="false">
      <c r="A664" s="2" t="n">
        <v>372691995</v>
      </c>
      <c r="B664" s="29" t="n">
        <v>46240.9336805556</v>
      </c>
      <c r="C664" s="2" t="s">
        <v>158</v>
      </c>
      <c r="D664" s="2" t="s">
        <v>848</v>
      </c>
      <c r="E664" s="2" t="s">
        <v>78</v>
      </c>
      <c r="F664" s="2" t="s">
        <v>110</v>
      </c>
      <c r="G664" s="30" t="n">
        <v>69.15</v>
      </c>
      <c r="H664" s="11" t="n">
        <v>707</v>
      </c>
      <c r="I664" s="11" t="s">
        <v>155</v>
      </c>
      <c r="J664" s="11" t="n">
        <v>124.59</v>
      </c>
      <c r="K664" s="11" t="n">
        <v>131.02</v>
      </c>
      <c r="L664" s="11" t="n">
        <v>0.707</v>
      </c>
      <c r="M664" s="11" t="n">
        <v>1.414</v>
      </c>
      <c r="N664" s="11" t="n">
        <v>1</v>
      </c>
      <c r="O664" s="11" t="n">
        <v>4.5</v>
      </c>
      <c r="P664" s="11" t="n">
        <v>4.2</v>
      </c>
      <c r="Q664" s="11" t="n">
        <v>31.5</v>
      </c>
      <c r="R664" s="11" t="n">
        <f aca="false">SUM(K664:Q664)</f>
        <v>174.341</v>
      </c>
      <c r="S664" s="11" t="n">
        <f aca="false">R664/(1-Resumo!$C$6)</f>
        <v>198.114772727273</v>
      </c>
      <c r="T664" s="11" t="n">
        <f aca="false">S664-J664</f>
        <v>73.5247727272727</v>
      </c>
      <c r="U664" s="12" t="n">
        <f aca="false">IFERROR(S664/J664-1,0)</f>
        <v>0.590133820750243</v>
      </c>
      <c r="V664" s="2" t="str">
        <f aca="false">IF(S664&lt;J664,"SIM","NÃO")</f>
        <v>NÃO</v>
      </c>
      <c r="W664" s="2" t="n">
        <v>5</v>
      </c>
      <c r="X664" s="2" t="s">
        <v>156</v>
      </c>
    </row>
    <row r="665" customFormat="false" ht="15" hidden="false" customHeight="false" outlineLevel="0" collapsed="false">
      <c r="A665" s="2" t="n">
        <v>372704119</v>
      </c>
      <c r="B665" s="29" t="n">
        <v>46240.9584953704</v>
      </c>
      <c r="C665" s="2" t="s">
        <v>153</v>
      </c>
      <c r="D665" s="2" t="s">
        <v>849</v>
      </c>
      <c r="E665" s="2" t="s">
        <v>83</v>
      </c>
      <c r="F665" s="2" t="s">
        <v>113</v>
      </c>
      <c r="G665" s="30" t="n">
        <v>106.5</v>
      </c>
      <c r="H665" s="11" t="n">
        <v>1199.99</v>
      </c>
      <c r="I665" s="11" t="s">
        <v>350</v>
      </c>
      <c r="J665" s="11" t="n">
        <v>214.02</v>
      </c>
      <c r="K665" s="11" t="n">
        <v>236.82</v>
      </c>
      <c r="L665" s="11" t="n">
        <v>1.2</v>
      </c>
      <c r="M665" s="11" t="n">
        <v>2.4</v>
      </c>
      <c r="N665" s="11" t="n">
        <v>1</v>
      </c>
      <c r="O665" s="11" t="n">
        <v>9</v>
      </c>
      <c r="P665" s="11" t="n">
        <v>6.42</v>
      </c>
      <c r="Q665" s="11" t="n">
        <v>48.15</v>
      </c>
      <c r="R665" s="11" t="n">
        <f aca="false">SUM(K665:Q665)</f>
        <v>304.99</v>
      </c>
      <c r="S665" s="11" t="n">
        <f aca="false">R665/(1-Resumo!$C$6)</f>
        <v>346.579545454545</v>
      </c>
      <c r="T665" s="11" t="n">
        <f aca="false">S665-J665</f>
        <v>132.559545454545</v>
      </c>
      <c r="U665" s="12" t="n">
        <f aca="false">IFERROR(S665/J665-1,0)</f>
        <v>0.619379242381765</v>
      </c>
      <c r="V665" s="2" t="str">
        <f aca="false">IF(S665&lt;J665,"SIM","NÃO")</f>
        <v>NÃO</v>
      </c>
      <c r="W665" s="2" t="n">
        <v>11</v>
      </c>
      <c r="X665" s="2" t="s">
        <v>156</v>
      </c>
    </row>
    <row r="666" customFormat="false" ht="15" hidden="false" customHeight="false" outlineLevel="0" collapsed="false">
      <c r="A666" s="2" t="n">
        <v>372750324</v>
      </c>
      <c r="B666" s="29" t="n">
        <v>46241.0879513889</v>
      </c>
      <c r="C666" s="2" t="s">
        <v>153</v>
      </c>
      <c r="D666" s="2" t="s">
        <v>850</v>
      </c>
      <c r="E666" s="2" t="s">
        <v>79</v>
      </c>
      <c r="F666" s="2" t="s">
        <v>110</v>
      </c>
      <c r="G666" s="30" t="n">
        <v>61.5</v>
      </c>
      <c r="H666" s="11" t="n">
        <v>726.79</v>
      </c>
      <c r="I666" s="11" t="s">
        <v>350</v>
      </c>
      <c r="J666" s="11" t="n">
        <v>138.76</v>
      </c>
      <c r="K666" s="11" t="n">
        <v>149.5</v>
      </c>
      <c r="L666" s="11" t="n">
        <v>0.7268</v>
      </c>
      <c r="M666" s="11" t="n">
        <v>1.4536</v>
      </c>
      <c r="N666" s="11" t="n">
        <v>1</v>
      </c>
      <c r="O666" s="11" t="n">
        <v>4.5</v>
      </c>
      <c r="P666" s="11" t="n">
        <v>3.72</v>
      </c>
      <c r="Q666" s="11" t="n">
        <v>27.9</v>
      </c>
      <c r="R666" s="11" t="n">
        <f aca="false">SUM(K666:Q666)</f>
        <v>188.8004</v>
      </c>
      <c r="S666" s="11" t="n">
        <f aca="false">R666/(1-Resumo!$C$6)</f>
        <v>214.545909090909</v>
      </c>
      <c r="T666" s="11" t="n">
        <f aca="false">S666-J666</f>
        <v>75.7859090909091</v>
      </c>
      <c r="U666" s="12" t="n">
        <f aca="false">IFERROR(S666/J666-1,0)</f>
        <v>0.54616538693362</v>
      </c>
      <c r="V666" s="2" t="str">
        <f aca="false">IF(S666&lt;J666,"SIM","NÃO")</f>
        <v>NÃO</v>
      </c>
      <c r="W666" s="2" t="n">
        <v>7</v>
      </c>
      <c r="X666" s="2" t="s">
        <v>156</v>
      </c>
    </row>
    <row r="667" customFormat="false" ht="15" hidden="false" customHeight="false" outlineLevel="0" collapsed="false">
      <c r="A667" s="2" t="n">
        <v>372808444</v>
      </c>
      <c r="B667" s="29" t="n">
        <v>46241.3121527778</v>
      </c>
      <c r="C667" s="2" t="s">
        <v>191</v>
      </c>
      <c r="D667" s="2" t="s">
        <v>851</v>
      </c>
      <c r="E667" s="2" t="s">
        <v>80</v>
      </c>
      <c r="F667" s="2" t="s">
        <v>114</v>
      </c>
      <c r="G667" s="30" t="n">
        <v>145.8</v>
      </c>
      <c r="H667" s="11" t="n">
        <v>1559.99</v>
      </c>
      <c r="I667" s="11" t="s">
        <v>155</v>
      </c>
      <c r="J667" s="11" t="n">
        <v>244.08</v>
      </c>
      <c r="K667" s="11" t="n">
        <v>239.25</v>
      </c>
      <c r="L667" s="11" t="n">
        <v>1.56</v>
      </c>
      <c r="M667" s="11" t="n">
        <v>3.12</v>
      </c>
      <c r="N667" s="11" t="n">
        <v>1</v>
      </c>
      <c r="O667" s="11" t="n">
        <v>9</v>
      </c>
      <c r="P667" s="11" t="n">
        <v>8.76</v>
      </c>
      <c r="Q667" s="11" t="n">
        <v>65.7</v>
      </c>
      <c r="R667" s="11" t="n">
        <f aca="false">SUM(K667:Q667)</f>
        <v>328.39</v>
      </c>
      <c r="S667" s="11" t="n">
        <f aca="false">R667/(1-Resumo!$C$6)</f>
        <v>373.170454545455</v>
      </c>
      <c r="T667" s="11" t="n">
        <f aca="false">S667-J667</f>
        <v>129.090454545455</v>
      </c>
      <c r="U667" s="12" t="n">
        <f aca="false">IFERROR(S667/J667-1,0)</f>
        <v>0.528885834748667</v>
      </c>
      <c r="V667" s="2" t="str">
        <f aca="false">IF(S667&lt;J667,"SIM","NÃO")</f>
        <v>NÃO</v>
      </c>
      <c r="W667" s="2" t="n">
        <v>5</v>
      </c>
      <c r="X667" s="2" t="s">
        <v>156</v>
      </c>
    </row>
    <row r="668" customFormat="false" ht="15" hidden="false" customHeight="false" outlineLevel="0" collapsed="false">
      <c r="A668" s="2" t="n">
        <v>372844125</v>
      </c>
      <c r="B668" s="29" t="n">
        <v>46241.3949305556</v>
      </c>
      <c r="C668" s="2" t="s">
        <v>153</v>
      </c>
      <c r="D668" s="2" t="s">
        <v>852</v>
      </c>
      <c r="E668" s="2" t="s">
        <v>78</v>
      </c>
      <c r="F668" s="2" t="s">
        <v>105</v>
      </c>
      <c r="G668" s="30" t="n">
        <v>19.5</v>
      </c>
      <c r="H668" s="11" t="n">
        <v>459.99</v>
      </c>
      <c r="I668" s="11" t="s">
        <v>155</v>
      </c>
      <c r="J668" s="11" t="n">
        <v>65.42</v>
      </c>
      <c r="K668" s="11" t="n">
        <v>46.98</v>
      </c>
      <c r="L668" s="11" t="n">
        <v>0.46</v>
      </c>
      <c r="M668" s="11" t="n">
        <v>0.92</v>
      </c>
      <c r="N668" s="11" t="n">
        <v>1</v>
      </c>
      <c r="O668" s="11" t="n">
        <v>4.5</v>
      </c>
      <c r="P668" s="11" t="n">
        <v>1.2</v>
      </c>
      <c r="Q668" s="11" t="n">
        <v>9</v>
      </c>
      <c r="R668" s="11" t="n">
        <f aca="false">SUM(K668:Q668)</f>
        <v>64.06</v>
      </c>
      <c r="S668" s="11" t="n">
        <f aca="false">R668/(1-Resumo!$C$6)</f>
        <v>72.7954545454546</v>
      </c>
      <c r="T668" s="11" t="n">
        <f aca="false">S668-J668</f>
        <v>7.37545454545455</v>
      </c>
      <c r="U668" s="12" t="n">
        <f aca="false">IFERROR(S668/J668-1,0)</f>
        <v>0.112740057252439</v>
      </c>
      <c r="V668" s="2" t="str">
        <f aca="false">IF(S668&lt;J668,"SIM","NÃO")</f>
        <v>NÃO</v>
      </c>
      <c r="W668" s="2" t="n">
        <v>5</v>
      </c>
      <c r="X668" s="2" t="s">
        <v>156</v>
      </c>
    </row>
    <row r="669" customFormat="false" ht="15" hidden="false" customHeight="false" outlineLevel="0" collapsed="false">
      <c r="A669" s="2" t="n">
        <v>372855905</v>
      </c>
      <c r="B669" s="29" t="n">
        <v>46241.4174189815</v>
      </c>
      <c r="C669" s="2" t="s">
        <v>191</v>
      </c>
      <c r="D669" s="2" t="s">
        <v>853</v>
      </c>
      <c r="E669" s="2" t="s">
        <v>78</v>
      </c>
      <c r="F669" s="2" t="s">
        <v>105</v>
      </c>
      <c r="G669" s="30" t="n">
        <v>15.15</v>
      </c>
      <c r="H669" s="11" t="n">
        <v>284.99</v>
      </c>
      <c r="I669" s="11" t="s">
        <v>350</v>
      </c>
      <c r="J669" s="11" t="n">
        <v>64.11</v>
      </c>
      <c r="K669" s="11" t="n">
        <v>46.98</v>
      </c>
      <c r="L669" s="11" t="n">
        <v>0.285</v>
      </c>
      <c r="M669" s="11" t="n">
        <v>0.57</v>
      </c>
      <c r="N669" s="11" t="n">
        <v>1</v>
      </c>
      <c r="O669" s="11" t="n">
        <v>4.5</v>
      </c>
      <c r="P669" s="11" t="n">
        <v>0.96</v>
      </c>
      <c r="Q669" s="11" t="n">
        <v>7.2</v>
      </c>
      <c r="R669" s="11" t="n">
        <f aca="false">SUM(K669:Q669)</f>
        <v>61.495</v>
      </c>
      <c r="S669" s="11" t="n">
        <f aca="false">R669/(1-Resumo!$C$6)</f>
        <v>69.8806818181818</v>
      </c>
      <c r="T669" s="11" t="n">
        <f aca="false">S669-J669</f>
        <v>5.77068181818181</v>
      </c>
      <c r="U669" s="12" t="n">
        <f aca="false">IFERROR(S669/J669-1,0)</f>
        <v>0.0900121949490222</v>
      </c>
      <c r="V669" s="2" t="str">
        <f aca="false">IF(S669&lt;J669,"SIM","NÃO")</f>
        <v>NÃO</v>
      </c>
      <c r="W669" s="2" t="n">
        <v>5</v>
      </c>
      <c r="X669" s="2" t="s">
        <v>156</v>
      </c>
    </row>
    <row r="670" customFormat="false" ht="15" hidden="false" customHeight="false" outlineLevel="0" collapsed="false">
      <c r="A670" s="2" t="n">
        <v>372876962</v>
      </c>
      <c r="B670" s="29" t="n">
        <v>46241.4553703704</v>
      </c>
      <c r="C670" s="2" t="s">
        <v>153</v>
      </c>
      <c r="D670" s="2" t="s">
        <v>854</v>
      </c>
      <c r="E670" s="2" t="s">
        <v>78</v>
      </c>
      <c r="F670" s="2" t="s">
        <v>113</v>
      </c>
      <c r="G670" s="30" t="n">
        <v>106.5</v>
      </c>
      <c r="H670" s="11" t="n">
        <v>1199.99</v>
      </c>
      <c r="I670" s="11" t="s">
        <v>155</v>
      </c>
      <c r="J670" s="11" t="n">
        <v>185.4</v>
      </c>
      <c r="K670" s="11" t="n">
        <v>201.59</v>
      </c>
      <c r="L670" s="11" t="n">
        <v>1.2</v>
      </c>
      <c r="M670" s="11" t="n">
        <v>2.4</v>
      </c>
      <c r="N670" s="11" t="n">
        <v>1</v>
      </c>
      <c r="O670" s="11" t="n">
        <v>9</v>
      </c>
      <c r="P670" s="11" t="n">
        <v>6.42</v>
      </c>
      <c r="Q670" s="11" t="n">
        <v>48.15</v>
      </c>
      <c r="R670" s="11" t="n">
        <f aca="false">SUM(K670:Q670)</f>
        <v>269.76</v>
      </c>
      <c r="S670" s="11" t="n">
        <f aca="false">R670/(1-Resumo!$C$6)</f>
        <v>306.545454545455</v>
      </c>
      <c r="T670" s="11" t="n">
        <f aca="false">S670-J670</f>
        <v>121.145454545455</v>
      </c>
      <c r="U670" s="12" t="n">
        <f aca="false">IFERROR(S670/J670-1,0)</f>
        <v>0.653427478670197</v>
      </c>
      <c r="V670" s="2" t="str">
        <f aca="false">IF(S670&lt;J670,"SIM","NÃO")</f>
        <v>NÃO</v>
      </c>
      <c r="W670" s="2" t="n">
        <v>5</v>
      </c>
      <c r="X670" s="2" t="s">
        <v>156</v>
      </c>
    </row>
    <row r="671" customFormat="false" ht="15" hidden="false" customHeight="false" outlineLevel="0" collapsed="false">
      <c r="A671" s="2" t="n">
        <v>372884217</v>
      </c>
      <c r="B671" s="29" t="n">
        <v>46241.4620486111</v>
      </c>
      <c r="C671" s="2" t="s">
        <v>369</v>
      </c>
      <c r="D671" s="2" t="s">
        <v>855</v>
      </c>
      <c r="E671" s="2" t="s">
        <v>82</v>
      </c>
      <c r="F671" s="2" t="s">
        <v>109</v>
      </c>
      <c r="G671" s="30" t="n">
        <v>52.3</v>
      </c>
      <c r="H671" s="11" t="n">
        <v>643.99</v>
      </c>
      <c r="I671" s="11" t="s">
        <v>155</v>
      </c>
      <c r="J671" s="11" t="n">
        <v>128.38</v>
      </c>
      <c r="K671" s="11" t="n">
        <v>128.14</v>
      </c>
      <c r="L671" s="11" t="n">
        <v>0.644</v>
      </c>
      <c r="M671" s="11" t="n">
        <v>1.288</v>
      </c>
      <c r="N671" s="11" t="n">
        <v>1</v>
      </c>
      <c r="O671" s="11" t="n">
        <v>4.5</v>
      </c>
      <c r="P671" s="11" t="n">
        <v>3.18</v>
      </c>
      <c r="Q671" s="11" t="n">
        <v>23.85</v>
      </c>
      <c r="R671" s="11" t="n">
        <f aca="false">SUM(K671:Q671)</f>
        <v>162.602</v>
      </c>
      <c r="S671" s="11" t="n">
        <f aca="false">R671/(1-Resumo!$C$6)</f>
        <v>184.775</v>
      </c>
      <c r="T671" s="11" t="n">
        <f aca="false">S671-J671</f>
        <v>56.395</v>
      </c>
      <c r="U671" s="12" t="n">
        <f aca="false">IFERROR(S671/J671-1,0)</f>
        <v>0.439281819598068</v>
      </c>
      <c r="V671" s="2" t="str">
        <f aca="false">IF(S671&lt;J671,"SIM","NÃO")</f>
        <v>NÃO</v>
      </c>
      <c r="W671" s="2" t="n">
        <v>7</v>
      </c>
      <c r="X671" s="2" t="s">
        <v>156</v>
      </c>
    </row>
    <row r="672" customFormat="false" ht="15" hidden="false" customHeight="false" outlineLevel="0" collapsed="false">
      <c r="A672" s="2" t="n">
        <v>372894382</v>
      </c>
      <c r="B672" s="29" t="n">
        <v>46241.5012152778</v>
      </c>
      <c r="C672" s="2" t="s">
        <v>178</v>
      </c>
      <c r="D672" s="2" t="s">
        <v>856</v>
      </c>
      <c r="E672" s="2" t="s">
        <v>92</v>
      </c>
      <c r="F672" s="2" t="s">
        <v>106</v>
      </c>
      <c r="G672" s="30" t="n">
        <v>30.5</v>
      </c>
      <c r="H672" s="11" t="n">
        <v>424.99</v>
      </c>
      <c r="I672" s="11" t="s">
        <v>350</v>
      </c>
      <c r="J672" s="11" t="n">
        <v>109.05</v>
      </c>
      <c r="K672" s="11" t="n">
        <v>114.95</v>
      </c>
      <c r="L672" s="11" t="n">
        <v>0.425</v>
      </c>
      <c r="M672" s="11" t="n">
        <v>0.85</v>
      </c>
      <c r="N672" s="11" t="n">
        <v>1</v>
      </c>
      <c r="O672" s="11" t="n">
        <v>4.5</v>
      </c>
      <c r="P672" s="11" t="n">
        <v>1.86</v>
      </c>
      <c r="Q672" s="11" t="n">
        <v>13.95</v>
      </c>
      <c r="R672" s="11" t="n">
        <f aca="false">SUM(K672:Q672)</f>
        <v>137.535</v>
      </c>
      <c r="S672" s="11" t="n">
        <f aca="false">R672/(1-Resumo!$C$6)</f>
        <v>156.289772727273</v>
      </c>
      <c r="T672" s="11" t="n">
        <f aca="false">S672-J672</f>
        <v>47.2397727272727</v>
      </c>
      <c r="U672" s="12" t="n">
        <f aca="false">IFERROR(S672/J672-1,0)</f>
        <v>0.433193697636614</v>
      </c>
      <c r="V672" s="2" t="str">
        <f aca="false">IF(S672&lt;J672,"SIM","NÃO")</f>
        <v>NÃO</v>
      </c>
      <c r="W672" s="2" t="n">
        <v>10</v>
      </c>
      <c r="X672" s="2" t="s">
        <v>156</v>
      </c>
    </row>
    <row r="673" customFormat="false" ht="15" hidden="false" customHeight="false" outlineLevel="0" collapsed="false">
      <c r="A673" s="2" t="n">
        <v>372911533</v>
      </c>
      <c r="B673" s="29" t="n">
        <v>46241.5196064815</v>
      </c>
      <c r="C673" s="2" t="s">
        <v>153</v>
      </c>
      <c r="D673" s="2" t="s">
        <v>857</v>
      </c>
      <c r="E673" s="2" t="s">
        <v>81</v>
      </c>
      <c r="F673" s="2" t="s">
        <v>109</v>
      </c>
      <c r="G673" s="30" t="n">
        <v>52.3</v>
      </c>
      <c r="H673" s="11" t="n">
        <v>685.85</v>
      </c>
      <c r="I673" s="11" t="s">
        <v>155</v>
      </c>
      <c r="J673" s="11" t="n">
        <v>128.57</v>
      </c>
      <c r="K673" s="11" t="n">
        <v>112.3</v>
      </c>
      <c r="L673" s="11" t="n">
        <v>0.6859</v>
      </c>
      <c r="M673" s="11" t="n">
        <v>1.3717</v>
      </c>
      <c r="N673" s="11" t="n">
        <v>1</v>
      </c>
      <c r="O673" s="11" t="n">
        <v>4.5</v>
      </c>
      <c r="P673" s="11" t="n">
        <v>3.18</v>
      </c>
      <c r="Q673" s="11" t="n">
        <v>23.85</v>
      </c>
      <c r="R673" s="11" t="n">
        <f aca="false">SUM(K673:Q673)</f>
        <v>146.8876</v>
      </c>
      <c r="S673" s="11" t="n">
        <f aca="false">R673/(1-Resumo!$C$6)</f>
        <v>166.917727272727</v>
      </c>
      <c r="T673" s="11" t="n">
        <f aca="false">S673-J673</f>
        <v>38.3477272727273</v>
      </c>
      <c r="U673" s="12" t="n">
        <f aca="false">IFERROR(S673/J673-1,0)</f>
        <v>0.298263415048046</v>
      </c>
      <c r="V673" s="2" t="str">
        <f aca="false">IF(S673&lt;J673,"SIM","NÃO")</f>
        <v>NÃO</v>
      </c>
      <c r="W673" s="2" t="n">
        <v>5</v>
      </c>
      <c r="X673" s="2" t="s">
        <v>156</v>
      </c>
    </row>
    <row r="674" customFormat="false" ht="15" hidden="false" customHeight="false" outlineLevel="0" collapsed="false">
      <c r="A674" s="2" t="n">
        <v>372941922</v>
      </c>
      <c r="B674" s="29" t="n">
        <v>46241.5785763889</v>
      </c>
      <c r="C674" s="2" t="s">
        <v>191</v>
      </c>
      <c r="D674" s="2" t="s">
        <v>858</v>
      </c>
      <c r="E674" s="2" t="s">
        <v>85</v>
      </c>
      <c r="F674" s="2" t="s">
        <v>110</v>
      </c>
      <c r="G674" s="30" t="n">
        <v>61.4</v>
      </c>
      <c r="H674" s="11" t="n">
        <v>1119.99</v>
      </c>
      <c r="I674" s="11" t="s">
        <v>350</v>
      </c>
      <c r="J674" s="11" t="n">
        <v>156.14</v>
      </c>
      <c r="K674" s="11" t="n">
        <v>171.54</v>
      </c>
      <c r="L674" s="11" t="n">
        <v>1.12</v>
      </c>
      <c r="M674" s="11" t="n">
        <v>2.24</v>
      </c>
      <c r="N674" s="11" t="n">
        <v>1</v>
      </c>
      <c r="O674" s="11" t="n">
        <v>4.5</v>
      </c>
      <c r="P674" s="11" t="n">
        <v>3.72</v>
      </c>
      <c r="Q674" s="11" t="n">
        <v>27.9</v>
      </c>
      <c r="R674" s="11" t="n">
        <f aca="false">SUM(K674:Q674)</f>
        <v>212.02</v>
      </c>
      <c r="S674" s="11" t="n">
        <f aca="false">R674/(1-Resumo!$C$6)</f>
        <v>240.931818181818</v>
      </c>
      <c r="T674" s="11" t="n">
        <f aca="false">S674-J674</f>
        <v>84.7918181818182</v>
      </c>
      <c r="U674" s="12" t="n">
        <f aca="false">IFERROR(S674/J674-1,0)</f>
        <v>0.543049943523877</v>
      </c>
      <c r="V674" s="2" t="str">
        <f aca="false">IF(S674&lt;J674,"SIM","NÃO")</f>
        <v>NÃO</v>
      </c>
      <c r="W674" s="2" t="n">
        <v>11</v>
      </c>
      <c r="X674" s="2" t="s">
        <v>156</v>
      </c>
    </row>
    <row r="675" customFormat="false" ht="15" hidden="false" customHeight="false" outlineLevel="0" collapsed="false">
      <c r="A675" s="2" t="n">
        <v>372945144</v>
      </c>
      <c r="B675" s="29" t="n">
        <v>46241.587025463</v>
      </c>
      <c r="C675" s="2" t="s">
        <v>194</v>
      </c>
      <c r="D675" s="2" t="s">
        <v>859</v>
      </c>
      <c r="E675" s="2" t="s">
        <v>78</v>
      </c>
      <c r="F675" s="2" t="s">
        <v>109</v>
      </c>
      <c r="G675" s="30" t="n">
        <v>52.3</v>
      </c>
      <c r="H675" s="11" t="n">
        <v>677.59</v>
      </c>
      <c r="I675" s="11" t="s">
        <v>350</v>
      </c>
      <c r="J675" s="11" t="n">
        <v>113.51</v>
      </c>
      <c r="K675" s="11" t="n">
        <v>112.3</v>
      </c>
      <c r="L675" s="11" t="n">
        <v>0.6776</v>
      </c>
      <c r="M675" s="11" t="n">
        <v>1.3552</v>
      </c>
      <c r="N675" s="11" t="n">
        <v>1</v>
      </c>
      <c r="O675" s="11" t="n">
        <v>4.5</v>
      </c>
      <c r="P675" s="11" t="n">
        <v>3.18</v>
      </c>
      <c r="Q675" s="11" t="n">
        <v>23.85</v>
      </c>
      <c r="R675" s="11" t="n">
        <f aca="false">SUM(K675:Q675)</f>
        <v>146.8628</v>
      </c>
      <c r="S675" s="11" t="n">
        <f aca="false">R675/(1-Resumo!$C$6)</f>
        <v>166.889545454545</v>
      </c>
      <c r="T675" s="11" t="n">
        <f aca="false">S675-J675</f>
        <v>53.3795454545454</v>
      </c>
      <c r="U675" s="12" t="n">
        <f aca="false">IFERROR(S675/J675-1,0)</f>
        <v>0.470262932380807</v>
      </c>
      <c r="V675" s="2" t="str">
        <f aca="false">IF(S675&lt;J675,"SIM","NÃO")</f>
        <v>NÃO</v>
      </c>
      <c r="W675" s="2" t="n">
        <v>5</v>
      </c>
      <c r="X675" s="2" t="s">
        <v>156</v>
      </c>
    </row>
    <row r="676" customFormat="false" ht="15" hidden="false" customHeight="false" outlineLevel="0" collapsed="false">
      <c r="A676" s="2" t="n">
        <v>372962915</v>
      </c>
      <c r="B676" s="29" t="n">
        <v>46241.6154166667</v>
      </c>
      <c r="C676" s="2" t="s">
        <v>153</v>
      </c>
      <c r="D676" s="2" t="s">
        <v>860</v>
      </c>
      <c r="E676" s="2" t="s">
        <v>80</v>
      </c>
      <c r="F676" s="2" t="s">
        <v>109</v>
      </c>
      <c r="G676" s="30" t="n">
        <v>56.7</v>
      </c>
      <c r="H676" s="11" t="n">
        <v>799.99</v>
      </c>
      <c r="I676" s="11" t="s">
        <v>155</v>
      </c>
      <c r="J676" s="11" t="n">
        <v>129.11</v>
      </c>
      <c r="K676" s="11" t="n">
        <v>112.3</v>
      </c>
      <c r="L676" s="11" t="n">
        <v>0.8</v>
      </c>
      <c r="M676" s="11" t="n">
        <v>1.6</v>
      </c>
      <c r="N676" s="11" t="n">
        <v>1</v>
      </c>
      <c r="O676" s="11" t="n">
        <v>4.5</v>
      </c>
      <c r="P676" s="11" t="n">
        <v>3.42</v>
      </c>
      <c r="Q676" s="11" t="n">
        <v>25.65</v>
      </c>
      <c r="R676" s="11" t="n">
        <f aca="false">SUM(K676:Q676)</f>
        <v>149.27</v>
      </c>
      <c r="S676" s="11" t="n">
        <f aca="false">R676/(1-Resumo!$C$6)</f>
        <v>169.625</v>
      </c>
      <c r="T676" s="11" t="n">
        <f aca="false">S676-J676</f>
        <v>40.515</v>
      </c>
      <c r="U676" s="12" t="n">
        <f aca="false">IFERROR(S676/J676-1,0)</f>
        <v>0.313802184184029</v>
      </c>
      <c r="V676" s="2" t="str">
        <f aca="false">IF(S676&lt;J676,"SIM","NÃO")</f>
        <v>NÃO</v>
      </c>
      <c r="W676" s="2" t="n">
        <v>5</v>
      </c>
      <c r="X676" s="2" t="s">
        <v>156</v>
      </c>
    </row>
    <row r="677" customFormat="false" ht="15" hidden="false" customHeight="false" outlineLevel="0" collapsed="false">
      <c r="A677" s="2" t="n">
        <v>372963562</v>
      </c>
      <c r="B677" s="29" t="n">
        <v>46241.616712963</v>
      </c>
      <c r="C677" s="2" t="s">
        <v>153</v>
      </c>
      <c r="D677" s="2" t="s">
        <v>282</v>
      </c>
      <c r="E677" s="2" t="s">
        <v>283</v>
      </c>
      <c r="F677" s="2" t="s">
        <v>108</v>
      </c>
      <c r="G677" s="30" t="n">
        <v>46.8</v>
      </c>
      <c r="H677" s="11" t="n">
        <v>599.99</v>
      </c>
      <c r="I677" s="11" t="s">
        <v>350</v>
      </c>
      <c r="J677" s="11" t="n">
        <v>131.78</v>
      </c>
      <c r="K677" s="11" t="n">
        <v>152.54</v>
      </c>
      <c r="L677" s="11" t="n">
        <v>0.6</v>
      </c>
      <c r="M677" s="11" t="n">
        <v>1.2</v>
      </c>
      <c r="N677" s="11" t="n">
        <v>1</v>
      </c>
      <c r="O677" s="11" t="n">
        <v>4.5</v>
      </c>
      <c r="P677" s="11" t="n">
        <v>2.82</v>
      </c>
      <c r="Q677" s="11" t="n">
        <v>21.15</v>
      </c>
      <c r="R677" s="11" t="n">
        <f aca="false">SUM(K677:Q677)</f>
        <v>183.81</v>
      </c>
      <c r="S677" s="11" t="n">
        <f aca="false">R677/(1-Resumo!$C$6)</f>
        <v>208.875</v>
      </c>
      <c r="T677" s="11" t="n">
        <f aca="false">S677-J677</f>
        <v>77.095</v>
      </c>
      <c r="U677" s="12" t="n">
        <f aca="false">IFERROR(S677/J677-1,0)</f>
        <v>0.585028077098194</v>
      </c>
      <c r="V677" s="2" t="str">
        <f aca="false">IF(S677&lt;J677,"SIM","NÃO")</f>
        <v>NÃO</v>
      </c>
      <c r="W677" s="2" t="n">
        <v>11</v>
      </c>
      <c r="X677" s="2" t="s">
        <v>161</v>
      </c>
    </row>
    <row r="678" customFormat="false" ht="15" hidden="false" customHeight="false" outlineLevel="0" collapsed="false">
      <c r="A678" s="2" t="n">
        <v>372962608</v>
      </c>
      <c r="B678" s="29" t="n">
        <v>46241.6208101852</v>
      </c>
      <c r="C678" s="2" t="s">
        <v>191</v>
      </c>
      <c r="D678" s="2" t="s">
        <v>861</v>
      </c>
      <c r="E678" s="2" t="s">
        <v>79</v>
      </c>
      <c r="F678" s="2" t="s">
        <v>106</v>
      </c>
      <c r="G678" s="30" t="n">
        <v>35</v>
      </c>
      <c r="H678" s="11" t="n">
        <v>383.99</v>
      </c>
      <c r="I678" s="11" t="s">
        <v>350</v>
      </c>
      <c r="J678" s="11" t="n">
        <v>103.15</v>
      </c>
      <c r="K678" s="11" t="n">
        <v>100.58</v>
      </c>
      <c r="L678" s="11" t="n">
        <v>0.384</v>
      </c>
      <c r="M678" s="11" t="n">
        <v>0.768</v>
      </c>
      <c r="N678" s="11" t="n">
        <v>1</v>
      </c>
      <c r="O678" s="11" t="n">
        <v>4.5</v>
      </c>
      <c r="P678" s="11" t="n">
        <v>2.1</v>
      </c>
      <c r="Q678" s="11" t="n">
        <v>15.75</v>
      </c>
      <c r="R678" s="11" t="n">
        <f aca="false">SUM(K678:Q678)</f>
        <v>125.082</v>
      </c>
      <c r="S678" s="11" t="n">
        <f aca="false">R678/(1-Resumo!$C$6)</f>
        <v>142.138636363636</v>
      </c>
      <c r="T678" s="11" t="n">
        <f aca="false">S678-J678</f>
        <v>38.9886363636363</v>
      </c>
      <c r="U678" s="12" t="n">
        <f aca="false">IFERROR(S678/J678-1,0)</f>
        <v>0.377979993830696</v>
      </c>
      <c r="V678" s="2" t="str">
        <f aca="false">IF(S678&lt;J678,"SIM","NÃO")</f>
        <v>NÃO</v>
      </c>
      <c r="W678" s="2" t="n">
        <v>7</v>
      </c>
      <c r="X678" s="2" t="s">
        <v>156</v>
      </c>
    </row>
    <row r="679" customFormat="false" ht="15" hidden="false" customHeight="false" outlineLevel="0" collapsed="false">
      <c r="A679" s="2" t="n">
        <v>373024060</v>
      </c>
      <c r="B679" s="29" t="n">
        <v>46241.733900463</v>
      </c>
      <c r="C679" s="2" t="s">
        <v>178</v>
      </c>
      <c r="D679" s="2" t="s">
        <v>794</v>
      </c>
      <c r="E679" s="2" t="s">
        <v>78</v>
      </c>
      <c r="F679" s="2" t="s">
        <v>106</v>
      </c>
      <c r="G679" s="30" t="n">
        <v>31.9</v>
      </c>
      <c r="H679" s="11" t="n">
        <v>659.99</v>
      </c>
      <c r="I679" s="11" t="s">
        <v>155</v>
      </c>
      <c r="J679" s="11" t="n">
        <v>83.49</v>
      </c>
      <c r="K679" s="11" t="n">
        <v>82.21</v>
      </c>
      <c r="L679" s="11" t="n">
        <v>0.66</v>
      </c>
      <c r="M679" s="11" t="n">
        <v>1.32</v>
      </c>
      <c r="N679" s="11" t="n">
        <v>1</v>
      </c>
      <c r="O679" s="11" t="n">
        <v>4.5</v>
      </c>
      <c r="P679" s="11" t="n">
        <v>1.92</v>
      </c>
      <c r="Q679" s="11" t="n">
        <v>14.4</v>
      </c>
      <c r="R679" s="11" t="n">
        <f aca="false">SUM(K679:Q679)</f>
        <v>106.01</v>
      </c>
      <c r="S679" s="11" t="n">
        <f aca="false">R679/(1-Resumo!$C$6)</f>
        <v>120.465909090909</v>
      </c>
      <c r="T679" s="11" t="n">
        <f aca="false">S679-J679</f>
        <v>36.9759090909091</v>
      </c>
      <c r="U679" s="12" t="n">
        <f aca="false">IFERROR(S679/J679-1,0)</f>
        <v>0.442878297890874</v>
      </c>
      <c r="V679" s="2" t="str">
        <f aca="false">IF(S679&lt;J679,"SIM","NÃO")</f>
        <v>NÃO</v>
      </c>
      <c r="W679" s="2" t="n">
        <v>5</v>
      </c>
      <c r="X679" s="2" t="s">
        <v>156</v>
      </c>
    </row>
    <row r="680" customFormat="false" ht="15" hidden="false" customHeight="false" outlineLevel="0" collapsed="false">
      <c r="A680" s="2" t="n">
        <v>373031745</v>
      </c>
      <c r="B680" s="29" t="n">
        <v>46241.7476967593</v>
      </c>
      <c r="C680" s="2" t="s">
        <v>194</v>
      </c>
      <c r="D680" s="2" t="s">
        <v>810</v>
      </c>
      <c r="E680" s="2" t="s">
        <v>78</v>
      </c>
      <c r="F680" s="2" t="s">
        <v>106</v>
      </c>
      <c r="G680" s="30" t="n">
        <v>33.4</v>
      </c>
      <c r="H680" s="11" t="n">
        <v>373.27</v>
      </c>
      <c r="I680" s="11" t="s">
        <v>155</v>
      </c>
      <c r="J680" s="11" t="n">
        <v>82.13</v>
      </c>
      <c r="K680" s="11" t="n">
        <v>82.21</v>
      </c>
      <c r="L680" s="11" t="n">
        <v>0.3733</v>
      </c>
      <c r="M680" s="11" t="n">
        <v>0.7465</v>
      </c>
      <c r="N680" s="11" t="n">
        <v>1</v>
      </c>
      <c r="O680" s="11" t="n">
        <v>4.5</v>
      </c>
      <c r="P680" s="11" t="n">
        <v>2.04</v>
      </c>
      <c r="Q680" s="11" t="n">
        <v>15.3</v>
      </c>
      <c r="R680" s="11" t="n">
        <f aca="false">SUM(K680:Q680)</f>
        <v>106.1698</v>
      </c>
      <c r="S680" s="11" t="n">
        <f aca="false">R680/(1-Resumo!$C$6)</f>
        <v>120.6475</v>
      </c>
      <c r="T680" s="11" t="n">
        <f aca="false">S680-J680</f>
        <v>38.5175</v>
      </c>
      <c r="U680" s="12" t="n">
        <f aca="false">IFERROR(S680/J680-1,0)</f>
        <v>0.468982101546329</v>
      </c>
      <c r="V680" s="2" t="str">
        <f aca="false">IF(S680&lt;J680,"SIM","NÃO")</f>
        <v>NÃO</v>
      </c>
      <c r="W680" s="2" t="n">
        <v>5</v>
      </c>
      <c r="X680" s="2" t="s">
        <v>156</v>
      </c>
    </row>
    <row r="681" customFormat="false" ht="15" hidden="false" customHeight="false" outlineLevel="0" collapsed="false">
      <c r="A681" s="2" t="n">
        <v>373039675</v>
      </c>
      <c r="B681" s="29" t="n">
        <v>46241.7621875</v>
      </c>
      <c r="C681" s="2" t="s">
        <v>158</v>
      </c>
      <c r="D681" s="2" t="s">
        <v>862</v>
      </c>
      <c r="E681" s="2" t="s">
        <v>78</v>
      </c>
      <c r="F681" s="2" t="s">
        <v>109</v>
      </c>
      <c r="G681" s="30" t="n">
        <v>51.3</v>
      </c>
      <c r="H681" s="11" t="n">
        <v>570</v>
      </c>
      <c r="I681" s="11" t="s">
        <v>155</v>
      </c>
      <c r="J681" s="11" t="n">
        <v>113.87</v>
      </c>
      <c r="K681" s="11" t="n">
        <v>112.3</v>
      </c>
      <c r="L681" s="11" t="n">
        <v>0.57</v>
      </c>
      <c r="M681" s="11" t="n">
        <v>1.14</v>
      </c>
      <c r="N681" s="11" t="n">
        <v>1</v>
      </c>
      <c r="O681" s="11" t="n">
        <v>4.5</v>
      </c>
      <c r="P681" s="11" t="n">
        <v>3.12</v>
      </c>
      <c r="Q681" s="11" t="n">
        <v>23.4</v>
      </c>
      <c r="R681" s="11" t="n">
        <f aca="false">SUM(K681:Q681)</f>
        <v>146.03</v>
      </c>
      <c r="S681" s="11" t="n">
        <f aca="false">R681/(1-Resumo!$C$6)</f>
        <v>165.943181818182</v>
      </c>
      <c r="T681" s="11" t="n">
        <f aca="false">S681-J681</f>
        <v>52.0731818181818</v>
      </c>
      <c r="U681" s="12" t="n">
        <f aca="false">IFERROR(S681/J681-1,0)</f>
        <v>0.457303783421286</v>
      </c>
      <c r="V681" s="2" t="str">
        <f aca="false">IF(S681&lt;J681,"SIM","NÃO")</f>
        <v>NÃO</v>
      </c>
      <c r="W681" s="2" t="n">
        <v>5</v>
      </c>
      <c r="X681" s="2" t="s">
        <v>156</v>
      </c>
    </row>
    <row r="682" customFormat="false" ht="15" hidden="false" customHeight="false" outlineLevel="0" collapsed="false">
      <c r="A682" s="2" t="n">
        <v>373053770</v>
      </c>
      <c r="B682" s="29" t="n">
        <v>46241.7917708333</v>
      </c>
      <c r="C682" s="2" t="s">
        <v>191</v>
      </c>
      <c r="D682" s="2" t="s">
        <v>863</v>
      </c>
      <c r="E682" s="2" t="s">
        <v>84</v>
      </c>
      <c r="F682" s="2" t="s">
        <v>108</v>
      </c>
      <c r="G682" s="30" t="n">
        <v>46.8</v>
      </c>
      <c r="H682" s="11" t="n">
        <v>474.4</v>
      </c>
      <c r="I682" s="11" t="s">
        <v>350</v>
      </c>
      <c r="J682" s="11" t="n">
        <v>117.17</v>
      </c>
      <c r="K682" s="11" t="n">
        <v>93.97</v>
      </c>
      <c r="L682" s="11" t="n">
        <v>0.4744</v>
      </c>
      <c r="M682" s="11" t="n">
        <v>0.9488</v>
      </c>
      <c r="N682" s="11" t="n">
        <v>1</v>
      </c>
      <c r="O682" s="11" t="n">
        <v>4.5</v>
      </c>
      <c r="P682" s="11" t="n">
        <v>2.82</v>
      </c>
      <c r="Q682" s="11" t="n">
        <v>21.15</v>
      </c>
      <c r="R682" s="11" t="n">
        <f aca="false">SUM(K682:Q682)</f>
        <v>124.8632</v>
      </c>
      <c r="S682" s="11" t="n">
        <f aca="false">R682/(1-Resumo!$C$6)</f>
        <v>141.89</v>
      </c>
      <c r="T682" s="11" t="n">
        <f aca="false">S682-J682</f>
        <v>24.72</v>
      </c>
      <c r="U682" s="12" t="n">
        <f aca="false">IFERROR(S682/J682-1,0)</f>
        <v>0.210975505675514</v>
      </c>
      <c r="V682" s="2" t="str">
        <f aca="false">IF(S682&lt;J682,"SIM","NÃO")</f>
        <v>NÃO</v>
      </c>
      <c r="W682" s="2" t="n">
        <v>5</v>
      </c>
      <c r="X682" s="2" t="s">
        <v>156</v>
      </c>
    </row>
    <row r="683" customFormat="false" ht="15" hidden="false" customHeight="false" outlineLevel="0" collapsed="false">
      <c r="A683" s="2" t="n">
        <v>373054252</v>
      </c>
      <c r="B683" s="29" t="n">
        <v>46241.7918171296</v>
      </c>
      <c r="C683" s="2" t="s">
        <v>153</v>
      </c>
      <c r="D683" s="2" t="s">
        <v>864</v>
      </c>
      <c r="E683" s="2" t="s">
        <v>87</v>
      </c>
      <c r="F683" s="2" t="s">
        <v>107</v>
      </c>
      <c r="G683" s="30" t="n">
        <v>39</v>
      </c>
      <c r="H683" s="11" t="n">
        <v>539.99</v>
      </c>
      <c r="I683" s="11" t="s">
        <v>350</v>
      </c>
      <c r="J683" s="11" t="n">
        <v>124.3</v>
      </c>
      <c r="K683" s="11" t="n">
        <v>124.38</v>
      </c>
      <c r="L683" s="11" t="n">
        <v>0.54</v>
      </c>
      <c r="M683" s="11" t="n">
        <v>1.08</v>
      </c>
      <c r="N683" s="11" t="n">
        <v>1</v>
      </c>
      <c r="O683" s="11" t="n">
        <v>4.5</v>
      </c>
      <c r="P683" s="11" t="n">
        <v>2.34</v>
      </c>
      <c r="Q683" s="11" t="n">
        <v>17.55</v>
      </c>
      <c r="R683" s="11" t="n">
        <f aca="false">SUM(K683:Q683)</f>
        <v>151.39</v>
      </c>
      <c r="S683" s="11" t="n">
        <f aca="false">R683/(1-Resumo!$C$6)</f>
        <v>172.034090909091</v>
      </c>
      <c r="T683" s="11" t="n">
        <f aca="false">S683-J683</f>
        <v>47.7340909090909</v>
      </c>
      <c r="U683" s="12" t="n">
        <f aca="false">IFERROR(S683/J683-1,0)</f>
        <v>0.38402325751481</v>
      </c>
      <c r="V683" s="2" t="str">
        <f aca="false">IF(S683&lt;J683,"SIM","NÃO")</f>
        <v>NÃO</v>
      </c>
      <c r="W683" s="2" t="n">
        <v>10</v>
      </c>
      <c r="X683" s="2" t="s">
        <v>156</v>
      </c>
    </row>
    <row r="684" customFormat="false" ht="15" hidden="false" customHeight="false" outlineLevel="0" collapsed="false">
      <c r="A684" s="2" t="n">
        <v>373075766</v>
      </c>
      <c r="B684" s="29" t="n">
        <v>46241.8343981481</v>
      </c>
      <c r="C684" s="2" t="s">
        <v>153</v>
      </c>
      <c r="D684" s="2" t="s">
        <v>865</v>
      </c>
      <c r="E684" s="2" t="s">
        <v>79</v>
      </c>
      <c r="F684" s="2" t="s">
        <v>105</v>
      </c>
      <c r="G684" s="30" t="n">
        <v>19.5</v>
      </c>
      <c r="H684" s="11" t="n">
        <v>359.99</v>
      </c>
      <c r="I684" s="11" t="s">
        <v>350</v>
      </c>
      <c r="J684" s="11" t="n">
        <v>77.09</v>
      </c>
      <c r="K684" s="11" t="n">
        <v>57.47</v>
      </c>
      <c r="L684" s="11" t="n">
        <v>0.36</v>
      </c>
      <c r="M684" s="11" t="n">
        <v>0.72</v>
      </c>
      <c r="N684" s="11" t="n">
        <v>1</v>
      </c>
      <c r="O684" s="11" t="n">
        <v>4.5</v>
      </c>
      <c r="P684" s="11" t="n">
        <v>1.2</v>
      </c>
      <c r="Q684" s="11" t="n">
        <v>9</v>
      </c>
      <c r="R684" s="11" t="n">
        <f aca="false">SUM(K684:Q684)</f>
        <v>74.25</v>
      </c>
      <c r="S684" s="11" t="n">
        <f aca="false">R684/(1-Resumo!$C$6)</f>
        <v>84.375</v>
      </c>
      <c r="T684" s="11" t="n">
        <f aca="false">S684-J684</f>
        <v>7.285</v>
      </c>
      <c r="U684" s="12" t="n">
        <f aca="false">IFERROR(S684/J684-1,0)</f>
        <v>0.0944999351407445</v>
      </c>
      <c r="V684" s="2" t="str">
        <f aca="false">IF(S684&lt;J684,"SIM","NÃO")</f>
        <v>NÃO</v>
      </c>
      <c r="W684" s="2" t="n">
        <v>7</v>
      </c>
      <c r="X684" s="2" t="s">
        <v>156</v>
      </c>
    </row>
    <row r="685" customFormat="false" ht="15" hidden="false" customHeight="false" outlineLevel="0" collapsed="false">
      <c r="A685" s="2" t="n">
        <v>373130532</v>
      </c>
      <c r="B685" s="29" t="n">
        <v>46241.973599537</v>
      </c>
      <c r="C685" s="2" t="s">
        <v>178</v>
      </c>
      <c r="D685" s="2" t="s">
        <v>866</v>
      </c>
      <c r="E685" s="2" t="s">
        <v>78</v>
      </c>
      <c r="F685" s="2" t="s">
        <v>109</v>
      </c>
      <c r="G685" s="30" t="n">
        <v>58.6</v>
      </c>
      <c r="H685" s="11" t="n">
        <v>799.99</v>
      </c>
      <c r="I685" s="11" t="s">
        <v>155</v>
      </c>
      <c r="J685" s="11" t="n">
        <v>114.99</v>
      </c>
      <c r="K685" s="11" t="n">
        <v>112.3</v>
      </c>
      <c r="L685" s="11" t="n">
        <v>0.8</v>
      </c>
      <c r="M685" s="11" t="n">
        <v>1.6</v>
      </c>
      <c r="N685" s="11" t="n">
        <v>1</v>
      </c>
      <c r="O685" s="11" t="n">
        <v>4.5</v>
      </c>
      <c r="P685" s="11" t="n">
        <v>3.54</v>
      </c>
      <c r="Q685" s="11" t="n">
        <v>26.55</v>
      </c>
      <c r="R685" s="11" t="n">
        <f aca="false">SUM(K685:Q685)</f>
        <v>150.29</v>
      </c>
      <c r="S685" s="11" t="n">
        <f aca="false">R685/(1-Resumo!$C$6)</f>
        <v>170.784090909091</v>
      </c>
      <c r="T685" s="11" t="n">
        <f aca="false">S685-J685</f>
        <v>55.7940909090909</v>
      </c>
      <c r="U685" s="12" t="n">
        <f aca="false">IFERROR(S685/J685-1,0)</f>
        <v>0.485208199922523</v>
      </c>
      <c r="V685" s="2" t="str">
        <f aca="false">IF(S685&lt;J685,"SIM","NÃO")</f>
        <v>NÃO</v>
      </c>
      <c r="W685" s="2" t="n">
        <v>5</v>
      </c>
      <c r="X685" s="2" t="s">
        <v>156</v>
      </c>
    </row>
    <row r="686" customFormat="false" ht="15" hidden="false" customHeight="false" outlineLevel="0" collapsed="false">
      <c r="A686" s="2" t="n">
        <v>373148369</v>
      </c>
      <c r="B686" s="29" t="n">
        <v>46242.0012962963</v>
      </c>
      <c r="C686" s="2" t="s">
        <v>153</v>
      </c>
      <c r="D686" s="2" t="s">
        <v>867</v>
      </c>
      <c r="E686" s="2" t="s">
        <v>83</v>
      </c>
      <c r="F686" s="2" t="s">
        <v>106</v>
      </c>
      <c r="G686" s="30" t="n">
        <v>22.4</v>
      </c>
      <c r="H686" s="11" t="n">
        <v>487.6</v>
      </c>
      <c r="I686" s="11" t="s">
        <v>350</v>
      </c>
      <c r="J686" s="11" t="n">
        <v>105.25</v>
      </c>
      <c r="K686" s="11" t="n">
        <v>138.29</v>
      </c>
      <c r="L686" s="11" t="n">
        <v>0.4876</v>
      </c>
      <c r="M686" s="11" t="n">
        <v>0.9752</v>
      </c>
      <c r="N686" s="11" t="n">
        <v>1</v>
      </c>
      <c r="O686" s="11" t="n">
        <v>4.5</v>
      </c>
      <c r="P686" s="11" t="n">
        <v>1.38</v>
      </c>
      <c r="Q686" s="11" t="n">
        <v>10.35</v>
      </c>
      <c r="R686" s="11" t="n">
        <f aca="false">SUM(K686:Q686)</f>
        <v>156.9828</v>
      </c>
      <c r="S686" s="11" t="n">
        <f aca="false">R686/(1-Resumo!$C$6)</f>
        <v>178.389545454545</v>
      </c>
      <c r="T686" s="11" t="n">
        <f aca="false">S686-J686</f>
        <v>73.1395454545454</v>
      </c>
      <c r="U686" s="12" t="n">
        <f aca="false">IFERROR(S686/J686-1,0)</f>
        <v>0.694912545886418</v>
      </c>
      <c r="V686" s="2" t="str">
        <f aca="false">IF(S686&lt;J686,"SIM","NÃO")</f>
        <v>NÃO</v>
      </c>
      <c r="W686" s="2" t="n">
        <v>11</v>
      </c>
      <c r="X686" s="2" t="s">
        <v>156</v>
      </c>
    </row>
    <row r="687" customFormat="false" ht="15" hidden="false" customHeight="false" outlineLevel="0" collapsed="false">
      <c r="A687" s="2" t="n">
        <v>373149800</v>
      </c>
      <c r="B687" s="29" t="n">
        <v>46242.0028935185</v>
      </c>
      <c r="C687" s="2" t="s">
        <v>153</v>
      </c>
      <c r="D687" s="2" t="s">
        <v>868</v>
      </c>
      <c r="E687" s="2" t="s">
        <v>86</v>
      </c>
      <c r="F687" s="2" t="s">
        <v>105</v>
      </c>
      <c r="G687" s="30" t="n">
        <v>19.5</v>
      </c>
      <c r="H687" s="11" t="n">
        <v>351</v>
      </c>
      <c r="I687" s="11" t="s">
        <v>350</v>
      </c>
      <c r="J687" s="11" t="n">
        <v>77.05</v>
      </c>
      <c r="K687" s="11" t="n">
        <v>46.98</v>
      </c>
      <c r="L687" s="11" t="n">
        <v>0.351</v>
      </c>
      <c r="M687" s="11" t="n">
        <v>0.702</v>
      </c>
      <c r="N687" s="11" t="n">
        <v>1</v>
      </c>
      <c r="O687" s="11" t="n">
        <v>4.5</v>
      </c>
      <c r="P687" s="11" t="n">
        <v>1.2</v>
      </c>
      <c r="Q687" s="11" t="n">
        <v>9</v>
      </c>
      <c r="R687" s="11" t="n">
        <f aca="false">SUM(K687:Q687)</f>
        <v>63.733</v>
      </c>
      <c r="S687" s="11" t="n">
        <f aca="false">R687/(1-Resumo!$C$6)</f>
        <v>72.4238636363636</v>
      </c>
      <c r="T687" s="11" t="n">
        <f aca="false">S687-J687</f>
        <v>-4.62613636363636</v>
      </c>
      <c r="U687" s="12" t="n">
        <f aca="false">IFERROR(S687/J687-1,0)</f>
        <v>-0.0600407055630936</v>
      </c>
      <c r="V687" s="2" t="str">
        <f aca="false">IF(S687&lt;J687,"SIM","NÃO")</f>
        <v>SIM</v>
      </c>
      <c r="W687" s="2" t="n">
        <v>5</v>
      </c>
      <c r="X687" s="2" t="s">
        <v>156</v>
      </c>
    </row>
    <row r="688" customFormat="false" ht="15" hidden="false" customHeight="false" outlineLevel="0" collapsed="false">
      <c r="A688" s="2" t="n">
        <v>373150701</v>
      </c>
      <c r="B688" s="29" t="n">
        <v>46242.0042476852</v>
      </c>
      <c r="C688" s="2" t="s">
        <v>153</v>
      </c>
      <c r="D688" s="2" t="s">
        <v>869</v>
      </c>
      <c r="E688" s="2" t="s">
        <v>84</v>
      </c>
      <c r="F688" s="2" t="s">
        <v>109</v>
      </c>
      <c r="G688" s="30" t="n">
        <v>52.3</v>
      </c>
      <c r="H688" s="11" t="n">
        <v>616.99</v>
      </c>
      <c r="I688" s="11" t="s">
        <v>350</v>
      </c>
      <c r="J688" s="11" t="n">
        <v>127.31</v>
      </c>
      <c r="K688" s="11" t="n">
        <v>112.3</v>
      </c>
      <c r="L688" s="11" t="n">
        <v>0.617</v>
      </c>
      <c r="M688" s="11" t="n">
        <v>1.234</v>
      </c>
      <c r="N688" s="11" t="n">
        <v>1</v>
      </c>
      <c r="O688" s="11" t="n">
        <v>4.5</v>
      </c>
      <c r="P688" s="11" t="n">
        <v>3.18</v>
      </c>
      <c r="Q688" s="11" t="n">
        <v>23.85</v>
      </c>
      <c r="R688" s="11" t="n">
        <f aca="false">SUM(K688:Q688)</f>
        <v>146.681</v>
      </c>
      <c r="S688" s="11" t="n">
        <f aca="false">R688/(1-Resumo!$C$6)</f>
        <v>166.682954545455</v>
      </c>
      <c r="T688" s="11" t="n">
        <f aca="false">S688-J688</f>
        <v>39.3729545454546</v>
      </c>
      <c r="U688" s="12" t="n">
        <f aca="false">IFERROR(S688/J688-1,0)</f>
        <v>0.309268357123985</v>
      </c>
      <c r="V688" s="2" t="str">
        <f aca="false">IF(S688&lt;J688,"SIM","NÃO")</f>
        <v>NÃO</v>
      </c>
      <c r="W688" s="2" t="n">
        <v>5</v>
      </c>
      <c r="X688" s="2" t="s">
        <v>156</v>
      </c>
    </row>
    <row r="689" customFormat="false" ht="15" hidden="false" customHeight="false" outlineLevel="0" collapsed="false">
      <c r="A689" s="2" t="n">
        <v>373151042</v>
      </c>
      <c r="B689" s="29" t="n">
        <v>46242.0045023148</v>
      </c>
      <c r="C689" s="2" t="s">
        <v>153</v>
      </c>
      <c r="D689" s="2" t="s">
        <v>313</v>
      </c>
      <c r="E689" s="2" t="s">
        <v>79</v>
      </c>
      <c r="F689" s="2" t="s">
        <v>109</v>
      </c>
      <c r="G689" s="30" t="n">
        <v>55</v>
      </c>
      <c r="H689" s="11" t="n">
        <v>759.98</v>
      </c>
      <c r="I689" s="11" t="s">
        <v>350</v>
      </c>
      <c r="J689" s="11" t="n">
        <v>129.01</v>
      </c>
      <c r="K689" s="11" t="n">
        <v>128.14</v>
      </c>
      <c r="L689" s="11" t="n">
        <v>0.76</v>
      </c>
      <c r="M689" s="11" t="n">
        <v>1.52</v>
      </c>
      <c r="N689" s="11" t="n">
        <v>1</v>
      </c>
      <c r="O689" s="11" t="n">
        <v>4.5</v>
      </c>
      <c r="P689" s="11" t="n">
        <v>3.3</v>
      </c>
      <c r="Q689" s="11" t="n">
        <v>24.75</v>
      </c>
      <c r="R689" s="11" t="n">
        <f aca="false">SUM(K689:Q689)</f>
        <v>163.97</v>
      </c>
      <c r="S689" s="11" t="n">
        <f aca="false">R689/(1-Resumo!$C$6)</f>
        <v>186.329545454545</v>
      </c>
      <c r="T689" s="11" t="n">
        <f aca="false">S689-J689</f>
        <v>57.3195454545455</v>
      </c>
      <c r="U689" s="12" t="n">
        <f aca="false">IFERROR(S689/J689-1,0)</f>
        <v>0.444303119560852</v>
      </c>
      <c r="V689" s="2" t="str">
        <f aca="false">IF(S689&lt;J689,"SIM","NÃO")</f>
        <v>NÃO</v>
      </c>
      <c r="W689" s="2" t="n">
        <v>7</v>
      </c>
      <c r="X689" s="2" t="s">
        <v>156</v>
      </c>
    </row>
    <row r="690" customFormat="false" ht="15" hidden="false" customHeight="false" outlineLevel="0" collapsed="false">
      <c r="A690" s="2" t="n">
        <v>373154387</v>
      </c>
      <c r="B690" s="29" t="n">
        <v>46242.0080324074</v>
      </c>
      <c r="C690" s="2" t="s">
        <v>153</v>
      </c>
      <c r="D690" s="2" t="s">
        <v>870</v>
      </c>
      <c r="E690" s="2" t="s">
        <v>86</v>
      </c>
      <c r="F690" s="2" t="s">
        <v>107</v>
      </c>
      <c r="G690" s="30" t="n">
        <v>39</v>
      </c>
      <c r="H690" s="11" t="n">
        <v>759.98</v>
      </c>
      <c r="I690" s="11" t="s">
        <v>350</v>
      </c>
      <c r="J690" s="11" t="n">
        <v>116.11</v>
      </c>
      <c r="K690" s="11" t="n">
        <v>93.97</v>
      </c>
      <c r="L690" s="11" t="n">
        <v>0.76</v>
      </c>
      <c r="M690" s="11" t="n">
        <v>1.52</v>
      </c>
      <c r="N690" s="11" t="n">
        <v>1</v>
      </c>
      <c r="O690" s="11" t="n">
        <v>4.5</v>
      </c>
      <c r="P690" s="11" t="n">
        <v>2.34</v>
      </c>
      <c r="Q690" s="11" t="n">
        <v>17.55</v>
      </c>
      <c r="R690" s="11" t="n">
        <f aca="false">SUM(K690:Q690)</f>
        <v>121.64</v>
      </c>
      <c r="S690" s="11" t="n">
        <f aca="false">R690/(1-Resumo!$C$6)</f>
        <v>138.227272727273</v>
      </c>
      <c r="T690" s="11" t="n">
        <f aca="false">S690-J690</f>
        <v>22.1172727272727</v>
      </c>
      <c r="U690" s="12" t="n">
        <f aca="false">IFERROR(S690/J690-1,0)</f>
        <v>0.190485511388104</v>
      </c>
      <c r="V690" s="2" t="str">
        <f aca="false">IF(S690&lt;J690,"SIM","NÃO")</f>
        <v>NÃO</v>
      </c>
      <c r="W690" s="2" t="n">
        <v>5</v>
      </c>
      <c r="X690" s="2" t="s">
        <v>156</v>
      </c>
    </row>
    <row r="691" customFormat="false" ht="15" hidden="false" customHeight="false" outlineLevel="0" collapsed="false">
      <c r="A691" s="2" t="n">
        <v>373163300</v>
      </c>
      <c r="B691" s="29" t="n">
        <v>46242.0198032407</v>
      </c>
      <c r="C691" s="2" t="s">
        <v>153</v>
      </c>
      <c r="D691" s="2" t="s">
        <v>871</v>
      </c>
      <c r="E691" s="2" t="s">
        <v>78</v>
      </c>
      <c r="F691" s="2" t="s">
        <v>107</v>
      </c>
      <c r="G691" s="30" t="n">
        <v>37.6</v>
      </c>
      <c r="H691" s="11" t="n">
        <v>378.99</v>
      </c>
      <c r="I691" s="11" t="s">
        <v>155</v>
      </c>
      <c r="J691" s="11" t="n">
        <v>91.68</v>
      </c>
      <c r="K691" s="11" t="n">
        <v>93.97</v>
      </c>
      <c r="L691" s="11" t="n">
        <v>0.379</v>
      </c>
      <c r="M691" s="11" t="n">
        <v>0.758</v>
      </c>
      <c r="N691" s="11" t="n">
        <v>1</v>
      </c>
      <c r="O691" s="11" t="n">
        <v>4.5</v>
      </c>
      <c r="P691" s="11" t="n">
        <v>2.28</v>
      </c>
      <c r="Q691" s="11" t="n">
        <v>17.1</v>
      </c>
      <c r="R691" s="11" t="n">
        <f aca="false">SUM(K691:Q691)</f>
        <v>119.987</v>
      </c>
      <c r="S691" s="11" t="n">
        <f aca="false">R691/(1-Resumo!$C$6)</f>
        <v>136.348863636364</v>
      </c>
      <c r="T691" s="11" t="n">
        <f aca="false">S691-J691</f>
        <v>44.6688636363636</v>
      </c>
      <c r="U691" s="12" t="n">
        <f aca="false">IFERROR(S691/J691-1,0)</f>
        <v>0.487225825003966</v>
      </c>
      <c r="V691" s="2" t="str">
        <f aca="false">IF(S691&lt;J691,"SIM","NÃO")</f>
        <v>NÃO</v>
      </c>
      <c r="W691" s="2" t="n">
        <v>5</v>
      </c>
      <c r="X691" s="2" t="s">
        <v>156</v>
      </c>
    </row>
    <row r="692" customFormat="false" ht="15" hidden="false" customHeight="false" outlineLevel="0" collapsed="false">
      <c r="A692" s="2" t="n">
        <v>373164643</v>
      </c>
      <c r="B692" s="29" t="n">
        <v>46242.022037037</v>
      </c>
      <c r="C692" s="2" t="s">
        <v>153</v>
      </c>
      <c r="D692" s="2" t="s">
        <v>872</v>
      </c>
      <c r="E692" s="2" t="s">
        <v>79</v>
      </c>
      <c r="F692" s="2" t="s">
        <v>109</v>
      </c>
      <c r="G692" s="30" t="n">
        <v>59.9</v>
      </c>
      <c r="H692" s="11" t="n">
        <v>874</v>
      </c>
      <c r="I692" s="11" t="s">
        <v>350</v>
      </c>
      <c r="J692" s="11" t="n">
        <v>132.11</v>
      </c>
      <c r="K692" s="11" t="n">
        <v>128.14</v>
      </c>
      <c r="L692" s="11" t="n">
        <v>0.874</v>
      </c>
      <c r="M692" s="11" t="n">
        <v>1.748</v>
      </c>
      <c r="N692" s="11" t="n">
        <v>1</v>
      </c>
      <c r="O692" s="11" t="n">
        <v>4.5</v>
      </c>
      <c r="P692" s="11" t="n">
        <v>3.6</v>
      </c>
      <c r="Q692" s="11" t="n">
        <v>27</v>
      </c>
      <c r="R692" s="11" t="n">
        <f aca="false">SUM(K692:Q692)</f>
        <v>166.862</v>
      </c>
      <c r="S692" s="11" t="n">
        <f aca="false">R692/(1-Resumo!$C$6)</f>
        <v>189.615909090909</v>
      </c>
      <c r="T692" s="11" t="n">
        <f aca="false">S692-J692</f>
        <v>57.5059090909091</v>
      </c>
      <c r="U692" s="12" t="n">
        <f aca="false">IFERROR(S692/J692-1,0)</f>
        <v>0.435288086374302</v>
      </c>
      <c r="V692" s="2" t="str">
        <f aca="false">IF(S692&lt;J692,"SIM","NÃO")</f>
        <v>NÃO</v>
      </c>
      <c r="W692" s="2" t="n">
        <v>7</v>
      </c>
      <c r="X692" s="2" t="s">
        <v>156</v>
      </c>
    </row>
    <row r="693" customFormat="false" ht="15" hidden="false" customHeight="false" outlineLevel="0" collapsed="false">
      <c r="A693" s="2" t="n">
        <v>373159571</v>
      </c>
      <c r="B693" s="29" t="n">
        <v>46242.0246759259</v>
      </c>
      <c r="C693" s="2" t="s">
        <v>178</v>
      </c>
      <c r="D693" s="2" t="s">
        <v>873</v>
      </c>
      <c r="E693" s="2" t="s">
        <v>78</v>
      </c>
      <c r="F693" s="2" t="s">
        <v>106</v>
      </c>
      <c r="G693" s="30" t="n">
        <v>22.6</v>
      </c>
      <c r="H693" s="11" t="n">
        <v>559.99</v>
      </c>
      <c r="I693" s="11" t="s">
        <v>350</v>
      </c>
      <c r="J693" s="11" t="n">
        <v>78.89</v>
      </c>
      <c r="K693" s="11" t="n">
        <v>82.21</v>
      </c>
      <c r="L693" s="11" t="n">
        <v>0.56</v>
      </c>
      <c r="M693" s="11" t="n">
        <v>1.12</v>
      </c>
      <c r="N693" s="11" t="n">
        <v>1</v>
      </c>
      <c r="O693" s="11" t="n">
        <v>4.5</v>
      </c>
      <c r="P693" s="11" t="n">
        <v>1.38</v>
      </c>
      <c r="Q693" s="11" t="n">
        <v>10.35</v>
      </c>
      <c r="R693" s="11" t="n">
        <f aca="false">SUM(K693:Q693)</f>
        <v>101.12</v>
      </c>
      <c r="S693" s="11" t="n">
        <f aca="false">R693/(1-Resumo!$C$6)</f>
        <v>114.909090909091</v>
      </c>
      <c r="T693" s="11" t="n">
        <f aca="false">S693-J693</f>
        <v>36.0190909090909</v>
      </c>
      <c r="U693" s="12" t="n">
        <f aca="false">IFERROR(S693/J693-1,0)</f>
        <v>0.456573594994181</v>
      </c>
      <c r="V693" s="2" t="str">
        <f aca="false">IF(S693&lt;J693,"SIM","NÃO")</f>
        <v>NÃO</v>
      </c>
      <c r="W693" s="2" t="n">
        <v>5</v>
      </c>
      <c r="X693" s="2" t="s">
        <v>156</v>
      </c>
    </row>
    <row r="694" customFormat="false" ht="15" hidden="false" customHeight="false" outlineLevel="0" collapsed="false">
      <c r="A694" s="2" t="n">
        <v>373169165</v>
      </c>
      <c r="B694" s="29" t="n">
        <v>46242.0295949074</v>
      </c>
      <c r="C694" s="2" t="s">
        <v>153</v>
      </c>
      <c r="D694" s="2" t="s">
        <v>874</v>
      </c>
      <c r="E694" s="2" t="s">
        <v>80</v>
      </c>
      <c r="F694" s="2" t="s">
        <v>110</v>
      </c>
      <c r="G694" s="30" t="n">
        <v>63</v>
      </c>
      <c r="H694" s="11" t="n">
        <v>789.99</v>
      </c>
      <c r="I694" s="11" t="s">
        <v>155</v>
      </c>
      <c r="J694" s="11" t="n">
        <v>140.22</v>
      </c>
      <c r="K694" s="11" t="n">
        <v>131.02</v>
      </c>
      <c r="L694" s="11" t="n">
        <v>0.79</v>
      </c>
      <c r="M694" s="11" t="n">
        <v>1.58</v>
      </c>
      <c r="N694" s="11" t="n">
        <v>1</v>
      </c>
      <c r="O694" s="11" t="n">
        <v>4.5</v>
      </c>
      <c r="P694" s="11" t="n">
        <v>3.78</v>
      </c>
      <c r="Q694" s="11" t="n">
        <v>28.35</v>
      </c>
      <c r="R694" s="11" t="n">
        <f aca="false">SUM(K694:Q694)</f>
        <v>171.02</v>
      </c>
      <c r="S694" s="11" t="n">
        <f aca="false">R694/(1-Resumo!$C$6)</f>
        <v>194.340909090909</v>
      </c>
      <c r="T694" s="11" t="n">
        <f aca="false">S694-J694</f>
        <v>54.1209090909091</v>
      </c>
      <c r="U694" s="12" t="n">
        <f aca="false">IFERROR(S694/J694-1,0)</f>
        <v>0.385971395599124</v>
      </c>
      <c r="V694" s="2" t="str">
        <f aca="false">IF(S694&lt;J694,"SIM","NÃO")</f>
        <v>NÃO</v>
      </c>
      <c r="W694" s="2" t="n">
        <v>5</v>
      </c>
      <c r="X694" s="2" t="s">
        <v>156</v>
      </c>
    </row>
    <row r="695" customFormat="false" ht="15" hidden="false" customHeight="false" outlineLevel="0" collapsed="false">
      <c r="A695" s="2" t="n">
        <v>373169425</v>
      </c>
      <c r="B695" s="29" t="n">
        <v>46242.029849537</v>
      </c>
      <c r="C695" s="2" t="s">
        <v>158</v>
      </c>
      <c r="D695" s="2" t="s">
        <v>875</v>
      </c>
      <c r="E695" s="2" t="s">
        <v>160</v>
      </c>
      <c r="F695" s="2" t="s">
        <v>110</v>
      </c>
      <c r="G695" s="30" t="n">
        <v>66.8</v>
      </c>
      <c r="H695" s="11" t="n">
        <v>609.99</v>
      </c>
      <c r="I695" s="11" t="s">
        <v>350</v>
      </c>
      <c r="J695" s="11" t="n">
        <v>140.75</v>
      </c>
      <c r="K695" s="11" t="n">
        <v>131.02</v>
      </c>
      <c r="L695" s="11" t="n">
        <v>0.61</v>
      </c>
      <c r="M695" s="11" t="n">
        <v>1.22</v>
      </c>
      <c r="N695" s="11" t="n">
        <v>1</v>
      </c>
      <c r="O695" s="11" t="n">
        <v>4.5</v>
      </c>
      <c r="P695" s="11" t="n">
        <v>4.02</v>
      </c>
      <c r="Q695" s="11" t="n">
        <v>30.15</v>
      </c>
      <c r="R695" s="11" t="n">
        <f aca="false">SUM(K695:Q695)</f>
        <v>172.52</v>
      </c>
      <c r="S695" s="11" t="n">
        <f aca="false">R695/(1-Resumo!$C$6)</f>
        <v>196.045454545455</v>
      </c>
      <c r="T695" s="11" t="n">
        <f aca="false">S695-J695</f>
        <v>55.2954545454546</v>
      </c>
      <c r="U695" s="12" t="n">
        <f aca="false">IFERROR(S695/J695-1,0)</f>
        <v>0.3928629097368</v>
      </c>
      <c r="V695" s="2" t="str">
        <f aca="false">IF(S695&lt;J695,"SIM","NÃO")</f>
        <v>NÃO</v>
      </c>
      <c r="W695" s="2" t="n">
        <v>5</v>
      </c>
      <c r="X695" s="2" t="s">
        <v>161</v>
      </c>
    </row>
    <row r="696" customFormat="false" ht="15" hidden="false" customHeight="false" outlineLevel="0" collapsed="false">
      <c r="A696" s="2" t="n">
        <v>373175341</v>
      </c>
      <c r="B696" s="29" t="n">
        <v>46242.0413078704</v>
      </c>
      <c r="C696" s="2" t="s">
        <v>153</v>
      </c>
      <c r="D696" s="2" t="s">
        <v>876</v>
      </c>
      <c r="E696" s="2" t="s">
        <v>78</v>
      </c>
      <c r="F696" s="2" t="s">
        <v>106</v>
      </c>
      <c r="G696" s="30" t="n">
        <v>20.9</v>
      </c>
      <c r="H696" s="11" t="n">
        <v>450</v>
      </c>
      <c r="I696" s="11" t="s">
        <v>350</v>
      </c>
      <c r="J696" s="11" t="n">
        <v>77.34</v>
      </c>
      <c r="K696" s="11" t="n">
        <v>82.21</v>
      </c>
      <c r="L696" s="11" t="n">
        <v>0.45</v>
      </c>
      <c r="M696" s="11" t="n">
        <v>0.9</v>
      </c>
      <c r="N696" s="11" t="n">
        <v>1</v>
      </c>
      <c r="O696" s="11" t="n">
        <v>4.5</v>
      </c>
      <c r="P696" s="11" t="n">
        <v>1.26</v>
      </c>
      <c r="Q696" s="11" t="n">
        <v>9.45</v>
      </c>
      <c r="R696" s="11" t="n">
        <f aca="false">SUM(K696:Q696)</f>
        <v>99.77</v>
      </c>
      <c r="S696" s="11" t="n">
        <f aca="false">R696/(1-Resumo!$C$6)</f>
        <v>113.375</v>
      </c>
      <c r="T696" s="11" t="n">
        <f aca="false">S696-J696</f>
        <v>36.035</v>
      </c>
      <c r="U696" s="12" t="n">
        <f aca="false">IFERROR(S696/J696-1,0)</f>
        <v>0.4659296612361</v>
      </c>
      <c r="V696" s="2" t="str">
        <f aca="false">IF(S696&lt;J696,"SIM","NÃO")</f>
        <v>NÃO</v>
      </c>
      <c r="W696" s="2" t="n">
        <v>5</v>
      </c>
      <c r="X696" s="2" t="s">
        <v>156</v>
      </c>
    </row>
    <row r="697" customFormat="false" ht="15" hidden="false" customHeight="false" outlineLevel="0" collapsed="false">
      <c r="A697" s="2" t="n">
        <v>373195863</v>
      </c>
      <c r="B697" s="29" t="n">
        <v>46242.1006365741</v>
      </c>
      <c r="C697" s="2" t="s">
        <v>153</v>
      </c>
      <c r="D697" s="2" t="s">
        <v>877</v>
      </c>
      <c r="E697" s="2" t="s">
        <v>84</v>
      </c>
      <c r="F697" s="2" t="s">
        <v>107</v>
      </c>
      <c r="G697" s="30" t="n">
        <v>37.2</v>
      </c>
      <c r="H697" s="11" t="n">
        <v>360.99</v>
      </c>
      <c r="I697" s="11" t="s">
        <v>350</v>
      </c>
      <c r="J697" s="11" t="n">
        <v>113.69</v>
      </c>
      <c r="K697" s="11" t="n">
        <v>93.97</v>
      </c>
      <c r="L697" s="11" t="n">
        <v>0.361</v>
      </c>
      <c r="M697" s="11" t="n">
        <v>0.722</v>
      </c>
      <c r="N697" s="11" t="n">
        <v>1</v>
      </c>
      <c r="O697" s="11" t="n">
        <v>4.5</v>
      </c>
      <c r="P697" s="11" t="n">
        <v>2.28</v>
      </c>
      <c r="Q697" s="11" t="n">
        <v>17.1</v>
      </c>
      <c r="R697" s="11" t="n">
        <f aca="false">SUM(K697:Q697)</f>
        <v>119.933</v>
      </c>
      <c r="S697" s="11" t="n">
        <f aca="false">R697/(1-Resumo!$C$6)</f>
        <v>136.2875</v>
      </c>
      <c r="T697" s="11" t="n">
        <f aca="false">S697-J697</f>
        <v>22.5975</v>
      </c>
      <c r="U697" s="12" t="n">
        <f aca="false">IFERROR(S697/J697-1,0)</f>
        <v>0.19876418330548</v>
      </c>
      <c r="V697" s="2" t="str">
        <f aca="false">IF(S697&lt;J697,"SIM","NÃO")</f>
        <v>NÃO</v>
      </c>
      <c r="W697" s="2" t="n">
        <v>5</v>
      </c>
      <c r="X697" s="2" t="s">
        <v>156</v>
      </c>
    </row>
    <row r="698" customFormat="false" ht="15" hidden="false" customHeight="false" outlineLevel="0" collapsed="false">
      <c r="A698" s="2" t="n">
        <v>373241704</v>
      </c>
      <c r="B698" s="29" t="n">
        <v>46242.2783217593</v>
      </c>
      <c r="C698" s="2" t="s">
        <v>153</v>
      </c>
      <c r="D698" s="2" t="s">
        <v>878</v>
      </c>
      <c r="E698" s="2" t="s">
        <v>78</v>
      </c>
      <c r="F698" s="2" t="s">
        <v>108</v>
      </c>
      <c r="G698" s="30" t="n">
        <v>44.8</v>
      </c>
      <c r="H698" s="11" t="n">
        <v>589.99</v>
      </c>
      <c r="I698" s="11" t="s">
        <v>350</v>
      </c>
      <c r="J698" s="11" t="n">
        <v>103.27</v>
      </c>
      <c r="K698" s="11" t="n">
        <v>93.97</v>
      </c>
      <c r="L698" s="11" t="n">
        <v>0.59</v>
      </c>
      <c r="M698" s="11" t="n">
        <v>1.18</v>
      </c>
      <c r="N698" s="11" t="n">
        <v>1</v>
      </c>
      <c r="O698" s="11" t="n">
        <v>4.5</v>
      </c>
      <c r="P698" s="11" t="n">
        <v>2.7</v>
      </c>
      <c r="Q698" s="11" t="n">
        <v>20.25</v>
      </c>
      <c r="R698" s="11" t="n">
        <f aca="false">SUM(K698:Q698)</f>
        <v>124.19</v>
      </c>
      <c r="S698" s="11" t="n">
        <f aca="false">R698/(1-Resumo!$C$6)</f>
        <v>141.125</v>
      </c>
      <c r="T698" s="11" t="n">
        <f aca="false">S698-J698</f>
        <v>37.855</v>
      </c>
      <c r="U698" s="12" t="n">
        <f aca="false">IFERROR(S698/J698-1,0)</f>
        <v>0.366563377553985</v>
      </c>
      <c r="V698" s="2" t="str">
        <f aca="false">IF(S698&lt;J698,"SIM","NÃO")</f>
        <v>NÃO</v>
      </c>
      <c r="W698" s="2" t="n">
        <v>5</v>
      </c>
      <c r="X698" s="2" t="s">
        <v>156</v>
      </c>
    </row>
    <row r="699" customFormat="false" ht="15" hidden="false" customHeight="false" outlineLevel="0" collapsed="false">
      <c r="A699" s="2" t="n">
        <v>373243491</v>
      </c>
      <c r="B699" s="29" t="n">
        <v>46242.2845023148</v>
      </c>
      <c r="C699" s="2" t="s">
        <v>153</v>
      </c>
      <c r="D699" s="2" t="s">
        <v>879</v>
      </c>
      <c r="E699" s="2" t="s">
        <v>79</v>
      </c>
      <c r="F699" s="2" t="s">
        <v>106</v>
      </c>
      <c r="G699" s="30" t="n">
        <v>20.9</v>
      </c>
      <c r="H699" s="11" t="n">
        <v>441</v>
      </c>
      <c r="I699" s="11" t="s">
        <v>205</v>
      </c>
      <c r="J699" s="11" t="n">
        <v>86.03</v>
      </c>
      <c r="K699" s="11" t="n">
        <v>100.58</v>
      </c>
      <c r="L699" s="11" t="n">
        <v>0.441</v>
      </c>
      <c r="M699" s="11" t="n">
        <v>0.882</v>
      </c>
      <c r="N699" s="11" t="n">
        <v>1</v>
      </c>
      <c r="O699" s="11" t="n">
        <v>4.5</v>
      </c>
      <c r="P699" s="11" t="n">
        <v>1.26</v>
      </c>
      <c r="Q699" s="11" t="n">
        <v>9.45</v>
      </c>
      <c r="R699" s="11" t="n">
        <f aca="false">SUM(K699:Q699)</f>
        <v>118.113</v>
      </c>
      <c r="S699" s="11" t="n">
        <f aca="false">R699/(1-Resumo!$C$6)</f>
        <v>134.219318181818</v>
      </c>
      <c r="T699" s="11" t="n">
        <f aca="false">S699-J699</f>
        <v>48.1893181818182</v>
      </c>
      <c r="U699" s="12" t="n">
        <f aca="false">IFERROR(S699/J699-1,0)</f>
        <v>0.560145509494574</v>
      </c>
      <c r="V699" s="2" t="str">
        <f aca="false">IF(S699&lt;J699,"SIM","NÃO")</f>
        <v>NÃO</v>
      </c>
      <c r="W699" s="2" t="n">
        <v>7</v>
      </c>
      <c r="X699" s="2" t="s">
        <v>156</v>
      </c>
    </row>
    <row r="700" customFormat="false" ht="15" hidden="false" customHeight="false" outlineLevel="0" collapsed="false">
      <c r="A700" s="2" t="n">
        <v>373278210</v>
      </c>
      <c r="B700" s="29" t="n">
        <v>46242.373599537</v>
      </c>
      <c r="C700" s="2" t="s">
        <v>153</v>
      </c>
      <c r="D700" s="2" t="s">
        <v>880</v>
      </c>
      <c r="E700" s="2" t="s">
        <v>84</v>
      </c>
      <c r="F700" s="2" t="s">
        <v>105</v>
      </c>
      <c r="G700" s="30" t="n">
        <v>19.5</v>
      </c>
      <c r="H700" s="11" t="n">
        <v>351</v>
      </c>
      <c r="I700" s="11" t="s">
        <v>350</v>
      </c>
      <c r="J700" s="11" t="n">
        <v>77.05</v>
      </c>
      <c r="K700" s="11" t="n">
        <v>46.98</v>
      </c>
      <c r="L700" s="11" t="n">
        <v>0.351</v>
      </c>
      <c r="M700" s="11" t="n">
        <v>0.702</v>
      </c>
      <c r="N700" s="11" t="n">
        <v>1</v>
      </c>
      <c r="O700" s="11" t="n">
        <v>4.5</v>
      </c>
      <c r="P700" s="11" t="n">
        <v>1.2</v>
      </c>
      <c r="Q700" s="11" t="n">
        <v>9</v>
      </c>
      <c r="R700" s="11" t="n">
        <f aca="false">SUM(K700:Q700)</f>
        <v>63.733</v>
      </c>
      <c r="S700" s="11" t="n">
        <f aca="false">R700/(1-Resumo!$C$6)</f>
        <v>72.4238636363636</v>
      </c>
      <c r="T700" s="11" t="n">
        <f aca="false">S700-J700</f>
        <v>-4.62613636363636</v>
      </c>
      <c r="U700" s="12" t="n">
        <f aca="false">IFERROR(S700/J700-1,0)</f>
        <v>-0.0600407055630936</v>
      </c>
      <c r="V700" s="2" t="str">
        <f aca="false">IF(S700&lt;J700,"SIM","NÃO")</f>
        <v>SIM</v>
      </c>
      <c r="W700" s="2" t="n">
        <v>5</v>
      </c>
      <c r="X700" s="2" t="s">
        <v>156</v>
      </c>
    </row>
    <row r="701" customFormat="false" ht="15" hidden="false" customHeight="false" outlineLevel="0" collapsed="false">
      <c r="A701" s="2" t="n">
        <v>373278878</v>
      </c>
      <c r="B701" s="29" t="n">
        <v>46242.3751157407</v>
      </c>
      <c r="C701" s="2" t="s">
        <v>153</v>
      </c>
      <c r="D701" s="2" t="s">
        <v>881</v>
      </c>
      <c r="E701" s="2" t="s">
        <v>342</v>
      </c>
      <c r="F701" s="2" t="s">
        <v>111</v>
      </c>
      <c r="G701" s="30" t="n">
        <v>73.9</v>
      </c>
      <c r="H701" s="11" t="n">
        <v>959.99</v>
      </c>
      <c r="I701" s="11" t="s">
        <v>350</v>
      </c>
      <c r="J701" s="11" t="n">
        <v>168.99</v>
      </c>
      <c r="K701" s="11" t="n">
        <v>166.05</v>
      </c>
      <c r="L701" s="11" t="n">
        <v>0.96</v>
      </c>
      <c r="M701" s="11" t="n">
        <v>1.92</v>
      </c>
      <c r="N701" s="11" t="n">
        <v>1</v>
      </c>
      <c r="O701" s="11" t="n">
        <v>4.5</v>
      </c>
      <c r="P701" s="11" t="n">
        <v>4.44</v>
      </c>
      <c r="Q701" s="11" t="n">
        <v>33.3</v>
      </c>
      <c r="R701" s="11" t="n">
        <f aca="false">SUM(K701:Q701)</f>
        <v>212.17</v>
      </c>
      <c r="S701" s="11" t="n">
        <f aca="false">R701/(1-Resumo!$C$6)</f>
        <v>241.102272727273</v>
      </c>
      <c r="T701" s="11" t="n">
        <f aca="false">S701-J701</f>
        <v>72.1122727272727</v>
      </c>
      <c r="U701" s="12" t="n">
        <f aca="false">IFERROR(S701/J701-1,0)</f>
        <v>0.42672508862816</v>
      </c>
      <c r="V701" s="2" t="str">
        <f aca="false">IF(S701&lt;J701,"SIM","NÃO")</f>
        <v>NÃO</v>
      </c>
      <c r="W701" s="2" t="n">
        <v>10</v>
      </c>
      <c r="X701" s="2" t="s">
        <v>161</v>
      </c>
    </row>
    <row r="702" customFormat="false" ht="15" hidden="false" customHeight="false" outlineLevel="0" collapsed="false">
      <c r="A702" s="2" t="n">
        <v>373280208</v>
      </c>
      <c r="B702" s="29" t="n">
        <v>46242.3771412037</v>
      </c>
      <c r="C702" s="2" t="s">
        <v>153</v>
      </c>
      <c r="D702" s="2" t="s">
        <v>882</v>
      </c>
      <c r="E702" s="2" t="s">
        <v>78</v>
      </c>
      <c r="F702" s="2" t="s">
        <v>106</v>
      </c>
      <c r="G702" s="30" t="n">
        <v>22.4</v>
      </c>
      <c r="H702" s="11" t="n">
        <v>423</v>
      </c>
      <c r="I702" s="11" t="s">
        <v>155</v>
      </c>
      <c r="J702" s="11" t="n">
        <v>82.36</v>
      </c>
      <c r="K702" s="11" t="n">
        <v>82.21</v>
      </c>
      <c r="L702" s="11" t="n">
        <v>0.423</v>
      </c>
      <c r="M702" s="11" t="n">
        <v>0.846</v>
      </c>
      <c r="N702" s="11" t="n">
        <v>1</v>
      </c>
      <c r="O702" s="11" t="n">
        <v>4.5</v>
      </c>
      <c r="P702" s="11" t="n">
        <v>1.38</v>
      </c>
      <c r="Q702" s="11" t="n">
        <v>10.35</v>
      </c>
      <c r="R702" s="11" t="n">
        <f aca="false">SUM(K702:Q702)</f>
        <v>100.709</v>
      </c>
      <c r="S702" s="11" t="n">
        <f aca="false">R702/(1-Resumo!$C$6)</f>
        <v>114.442045454545</v>
      </c>
      <c r="T702" s="11" t="n">
        <f aca="false">S702-J702</f>
        <v>32.0820454545454</v>
      </c>
      <c r="U702" s="12" t="n">
        <f aca="false">IFERROR(S702/J702-1,0)</f>
        <v>0.389534306150382</v>
      </c>
      <c r="V702" s="2" t="str">
        <f aca="false">IF(S702&lt;J702,"SIM","NÃO")</f>
        <v>NÃO</v>
      </c>
      <c r="W702" s="2" t="n">
        <v>5</v>
      </c>
      <c r="X702" s="2" t="s">
        <v>156</v>
      </c>
    </row>
    <row r="703" customFormat="false" ht="15" hidden="false" customHeight="false" outlineLevel="0" collapsed="false">
      <c r="A703" s="2" t="n">
        <v>373284205</v>
      </c>
      <c r="B703" s="29" t="n">
        <v>46242.3829398148</v>
      </c>
      <c r="C703" s="2" t="s">
        <v>158</v>
      </c>
      <c r="D703" s="2" t="s">
        <v>282</v>
      </c>
      <c r="E703" s="2" t="s">
        <v>283</v>
      </c>
      <c r="F703" s="2" t="s">
        <v>114</v>
      </c>
      <c r="G703" s="30" t="n">
        <v>134.4</v>
      </c>
      <c r="H703" s="11" t="n">
        <v>1597.99</v>
      </c>
      <c r="I703" s="11" t="s">
        <v>350</v>
      </c>
      <c r="J703" s="11" t="n">
        <v>258.36</v>
      </c>
      <c r="K703" s="11" t="n">
        <v>264.84</v>
      </c>
      <c r="L703" s="11" t="n">
        <v>1.598</v>
      </c>
      <c r="M703" s="11" t="n">
        <v>3.196</v>
      </c>
      <c r="N703" s="11" t="n">
        <v>1</v>
      </c>
      <c r="O703" s="11" t="n">
        <v>9</v>
      </c>
      <c r="P703" s="11" t="n">
        <v>8.1</v>
      </c>
      <c r="Q703" s="11" t="n">
        <v>60.75</v>
      </c>
      <c r="R703" s="11" t="n">
        <f aca="false">SUM(K703:Q703)</f>
        <v>348.484</v>
      </c>
      <c r="S703" s="11" t="n">
        <f aca="false">R703/(1-Resumo!$C$6)</f>
        <v>396.004545454545</v>
      </c>
      <c r="T703" s="11" t="n">
        <f aca="false">S703-J703</f>
        <v>137.644545454545</v>
      </c>
      <c r="U703" s="12" t="n">
        <f aca="false">IFERROR(S703/J703-1,0)</f>
        <v>0.532762600458838</v>
      </c>
      <c r="V703" s="2" t="str">
        <f aca="false">IF(S703&lt;J703,"SIM","NÃO")</f>
        <v>NÃO</v>
      </c>
      <c r="W703" s="2" t="n">
        <v>11</v>
      </c>
      <c r="X703" s="2" t="s">
        <v>161</v>
      </c>
    </row>
    <row r="704" customFormat="false" ht="15" hidden="false" customHeight="false" outlineLevel="0" collapsed="false">
      <c r="A704" s="2" t="n">
        <v>373294770</v>
      </c>
      <c r="B704" s="29" t="n">
        <v>46242.3999189815</v>
      </c>
      <c r="C704" s="2" t="s">
        <v>153</v>
      </c>
      <c r="D704" s="2" t="s">
        <v>883</v>
      </c>
      <c r="E704" s="2" t="s">
        <v>78</v>
      </c>
      <c r="F704" s="2" t="s">
        <v>106</v>
      </c>
      <c r="G704" s="30" t="n">
        <v>22.4</v>
      </c>
      <c r="H704" s="11" t="n">
        <v>423</v>
      </c>
      <c r="I704" s="11" t="s">
        <v>350</v>
      </c>
      <c r="J704" s="11" t="n">
        <v>78.23</v>
      </c>
      <c r="K704" s="11" t="n">
        <v>82.21</v>
      </c>
      <c r="L704" s="11" t="n">
        <v>0.423</v>
      </c>
      <c r="M704" s="11" t="n">
        <v>0.846</v>
      </c>
      <c r="N704" s="11" t="n">
        <v>1</v>
      </c>
      <c r="O704" s="11" t="n">
        <v>4.5</v>
      </c>
      <c r="P704" s="11" t="n">
        <v>1.38</v>
      </c>
      <c r="Q704" s="11" t="n">
        <v>10.35</v>
      </c>
      <c r="R704" s="11" t="n">
        <f aca="false">SUM(K704:Q704)</f>
        <v>100.709</v>
      </c>
      <c r="S704" s="11" t="n">
        <f aca="false">R704/(1-Resumo!$C$6)</f>
        <v>114.442045454545</v>
      </c>
      <c r="T704" s="11" t="n">
        <f aca="false">S704-J704</f>
        <v>36.2120454545454</v>
      </c>
      <c r="U704" s="12" t="n">
        <f aca="false">IFERROR(S704/J704-1,0)</f>
        <v>0.462892054896401</v>
      </c>
      <c r="V704" s="2" t="str">
        <f aca="false">IF(S704&lt;J704,"SIM","NÃO")</f>
        <v>NÃO</v>
      </c>
      <c r="W704" s="2" t="n">
        <v>5</v>
      </c>
      <c r="X704" s="2" t="s">
        <v>156</v>
      </c>
    </row>
    <row r="705" customFormat="false" ht="15" hidden="false" customHeight="false" outlineLevel="0" collapsed="false">
      <c r="A705" s="2" t="n">
        <v>373307889</v>
      </c>
      <c r="B705" s="29" t="n">
        <v>46242.4213194445</v>
      </c>
      <c r="C705" s="2" t="s">
        <v>153</v>
      </c>
      <c r="D705" s="2" t="s">
        <v>884</v>
      </c>
      <c r="E705" s="2" t="s">
        <v>78</v>
      </c>
      <c r="F705" s="2" t="s">
        <v>106</v>
      </c>
      <c r="G705" s="30" t="n">
        <v>20.9</v>
      </c>
      <c r="H705" s="11" t="n">
        <v>441</v>
      </c>
      <c r="I705" s="11" t="s">
        <v>155</v>
      </c>
      <c r="J705" s="11" t="n">
        <v>82.43</v>
      </c>
      <c r="K705" s="11" t="n">
        <v>82.21</v>
      </c>
      <c r="L705" s="11" t="n">
        <v>0.441</v>
      </c>
      <c r="M705" s="11" t="n">
        <v>0.882</v>
      </c>
      <c r="N705" s="11" t="n">
        <v>1</v>
      </c>
      <c r="O705" s="11" t="n">
        <v>4.5</v>
      </c>
      <c r="P705" s="11" t="n">
        <v>1.26</v>
      </c>
      <c r="Q705" s="11" t="n">
        <v>9.45</v>
      </c>
      <c r="R705" s="11" t="n">
        <f aca="false">SUM(K705:Q705)</f>
        <v>99.743</v>
      </c>
      <c r="S705" s="11" t="n">
        <f aca="false">R705/(1-Resumo!$C$6)</f>
        <v>113.344318181818</v>
      </c>
      <c r="T705" s="11" t="n">
        <f aca="false">S705-J705</f>
        <v>30.9143181818182</v>
      </c>
      <c r="U705" s="12" t="n">
        <f aca="false">IFERROR(S705/J705-1,0)</f>
        <v>0.375037221664663</v>
      </c>
      <c r="V705" s="2" t="str">
        <f aca="false">IF(S705&lt;J705,"SIM","NÃO")</f>
        <v>NÃO</v>
      </c>
      <c r="W705" s="2" t="n">
        <v>5</v>
      </c>
      <c r="X705" s="2" t="s">
        <v>156</v>
      </c>
    </row>
    <row r="706" customFormat="false" ht="15" hidden="false" customHeight="false" outlineLevel="0" collapsed="false">
      <c r="A706" s="2" t="n">
        <v>373314023</v>
      </c>
      <c r="B706" s="29" t="n">
        <v>46242.4307407407</v>
      </c>
      <c r="C706" s="2" t="s">
        <v>153</v>
      </c>
      <c r="D706" s="2" t="s">
        <v>885</v>
      </c>
      <c r="E706" s="2" t="s">
        <v>78</v>
      </c>
      <c r="F706" s="2" t="s">
        <v>108</v>
      </c>
      <c r="G706" s="30" t="n">
        <v>44.5</v>
      </c>
      <c r="H706" s="11" t="n">
        <v>799.99</v>
      </c>
      <c r="I706" s="11" t="s">
        <v>155</v>
      </c>
      <c r="J706" s="11" t="n">
        <v>104.42</v>
      </c>
      <c r="K706" s="11" t="n">
        <v>93.97</v>
      </c>
      <c r="L706" s="11" t="n">
        <v>0.8</v>
      </c>
      <c r="M706" s="11" t="n">
        <v>1.6</v>
      </c>
      <c r="N706" s="11" t="n">
        <v>1</v>
      </c>
      <c r="O706" s="11" t="n">
        <v>4.5</v>
      </c>
      <c r="P706" s="11" t="n">
        <v>2.7</v>
      </c>
      <c r="Q706" s="11" t="n">
        <v>20.25</v>
      </c>
      <c r="R706" s="11" t="n">
        <f aca="false">SUM(K706:Q706)</f>
        <v>124.82</v>
      </c>
      <c r="S706" s="11" t="n">
        <f aca="false">R706/(1-Resumo!$C$6)</f>
        <v>141.840909090909</v>
      </c>
      <c r="T706" s="11" t="n">
        <f aca="false">S706-J706</f>
        <v>37.4209090909091</v>
      </c>
      <c r="U706" s="12" t="n">
        <f aca="false">IFERROR(S706/J706-1,0)</f>
        <v>0.358369173442914</v>
      </c>
      <c r="V706" s="2" t="str">
        <f aca="false">IF(S706&lt;J706,"SIM","NÃO")</f>
        <v>NÃO</v>
      </c>
      <c r="W706" s="2" t="n">
        <v>5</v>
      </c>
      <c r="X706" s="2" t="s">
        <v>156</v>
      </c>
    </row>
    <row r="707" customFormat="false" ht="15" hidden="false" customHeight="false" outlineLevel="0" collapsed="false">
      <c r="A707" s="2" t="n">
        <v>373320545</v>
      </c>
      <c r="B707" s="29" t="n">
        <v>46242.4407523148</v>
      </c>
      <c r="C707" s="2" t="s">
        <v>153</v>
      </c>
      <c r="D707" s="2" t="s">
        <v>457</v>
      </c>
      <c r="E707" s="2" t="s">
        <v>78</v>
      </c>
      <c r="F707" s="2" t="s">
        <v>106</v>
      </c>
      <c r="G707" s="30" t="n">
        <v>20.9</v>
      </c>
      <c r="H707" s="11" t="n">
        <v>441</v>
      </c>
      <c r="I707" s="11" t="s">
        <v>155</v>
      </c>
      <c r="J707" s="11" t="n">
        <v>82.43</v>
      </c>
      <c r="K707" s="11" t="n">
        <v>82.21</v>
      </c>
      <c r="L707" s="11" t="n">
        <v>0.441</v>
      </c>
      <c r="M707" s="11" t="n">
        <v>0.882</v>
      </c>
      <c r="N707" s="11" t="n">
        <v>1</v>
      </c>
      <c r="O707" s="11" t="n">
        <v>4.5</v>
      </c>
      <c r="P707" s="11" t="n">
        <v>1.26</v>
      </c>
      <c r="Q707" s="11" t="n">
        <v>9.45</v>
      </c>
      <c r="R707" s="11" t="n">
        <f aca="false">SUM(K707:Q707)</f>
        <v>99.743</v>
      </c>
      <c r="S707" s="11" t="n">
        <f aca="false">R707/(1-Resumo!$C$6)</f>
        <v>113.344318181818</v>
      </c>
      <c r="T707" s="11" t="n">
        <f aca="false">S707-J707</f>
        <v>30.9143181818182</v>
      </c>
      <c r="U707" s="12" t="n">
        <f aca="false">IFERROR(S707/J707-1,0)</f>
        <v>0.375037221664663</v>
      </c>
      <c r="V707" s="2" t="str">
        <f aca="false">IF(S707&lt;J707,"SIM","NÃO")</f>
        <v>NÃO</v>
      </c>
      <c r="W707" s="2" t="n">
        <v>5</v>
      </c>
      <c r="X707" s="2" t="s">
        <v>156</v>
      </c>
    </row>
    <row r="708" customFormat="false" ht="15" hidden="false" customHeight="false" outlineLevel="0" collapsed="false">
      <c r="A708" s="2" t="n">
        <v>373321632</v>
      </c>
      <c r="B708" s="29" t="n">
        <v>46242.441875</v>
      </c>
      <c r="C708" s="2" t="s">
        <v>153</v>
      </c>
      <c r="D708" s="2" t="s">
        <v>773</v>
      </c>
      <c r="E708" s="2" t="s">
        <v>774</v>
      </c>
      <c r="F708" s="2" t="s">
        <v>106</v>
      </c>
      <c r="G708" s="30" t="n">
        <v>31.9</v>
      </c>
      <c r="H708" s="11" t="n">
        <v>533.6</v>
      </c>
      <c r="I708" s="11" t="s">
        <v>350</v>
      </c>
      <c r="J708" s="11" t="n">
        <v>110.08</v>
      </c>
      <c r="K708" s="11" t="n">
        <v>120.78</v>
      </c>
      <c r="L708" s="11" t="n">
        <v>0.5336</v>
      </c>
      <c r="M708" s="11" t="n">
        <v>1.0672</v>
      </c>
      <c r="N708" s="11" t="n">
        <v>1</v>
      </c>
      <c r="O708" s="11" t="n">
        <v>4.5</v>
      </c>
      <c r="P708" s="11" t="n">
        <v>1.92</v>
      </c>
      <c r="Q708" s="11" t="n">
        <v>14.4</v>
      </c>
      <c r="R708" s="11" t="n">
        <f aca="false">SUM(K708:Q708)</f>
        <v>144.2008</v>
      </c>
      <c r="S708" s="11" t="n">
        <f aca="false">R708/(1-Resumo!$C$6)</f>
        <v>163.864545454545</v>
      </c>
      <c r="T708" s="11" t="n">
        <f aca="false">S708-J708</f>
        <v>53.7845454545455</v>
      </c>
      <c r="U708" s="12" t="n">
        <f aca="false">IFERROR(S708/J708-1,0)</f>
        <v>0.488595071353066</v>
      </c>
      <c r="V708" s="2" t="str">
        <f aca="false">IF(S708&lt;J708,"SIM","NÃO")</f>
        <v>NÃO</v>
      </c>
      <c r="W708" s="2" t="n">
        <v>10</v>
      </c>
      <c r="X708" s="2" t="s">
        <v>161</v>
      </c>
    </row>
    <row r="709" customFormat="false" ht="15" hidden="false" customHeight="false" outlineLevel="0" collapsed="false">
      <c r="A709" s="2" t="n">
        <v>373321462</v>
      </c>
      <c r="B709" s="29" t="n">
        <v>46242.4480902778</v>
      </c>
      <c r="C709" s="2" t="s">
        <v>194</v>
      </c>
      <c r="D709" s="2" t="s">
        <v>810</v>
      </c>
      <c r="E709" s="2" t="s">
        <v>78</v>
      </c>
      <c r="F709" s="2" t="s">
        <v>109</v>
      </c>
      <c r="G709" s="30" t="n">
        <v>60</v>
      </c>
      <c r="H709" s="11" t="n">
        <v>797.62</v>
      </c>
      <c r="I709" s="11" t="s">
        <v>155</v>
      </c>
      <c r="J709" s="11" t="n">
        <v>114.99</v>
      </c>
      <c r="K709" s="11" t="n">
        <v>112.3</v>
      </c>
      <c r="L709" s="11" t="n">
        <v>0.7976</v>
      </c>
      <c r="M709" s="11" t="n">
        <v>1.5952</v>
      </c>
      <c r="N709" s="11" t="n">
        <v>1</v>
      </c>
      <c r="O709" s="11" t="n">
        <v>4.5</v>
      </c>
      <c r="P709" s="11" t="n">
        <v>3.6</v>
      </c>
      <c r="Q709" s="11" t="n">
        <v>27</v>
      </c>
      <c r="R709" s="11" t="n">
        <f aca="false">SUM(K709:Q709)</f>
        <v>150.7928</v>
      </c>
      <c r="S709" s="11" t="n">
        <f aca="false">R709/(1-Resumo!$C$6)</f>
        <v>171.355454545455</v>
      </c>
      <c r="T709" s="11" t="n">
        <f aca="false">S709-J709</f>
        <v>56.3654545454545</v>
      </c>
      <c r="U709" s="12" t="n">
        <f aca="false">IFERROR(S709/J709-1,0)</f>
        <v>0.49017701143973</v>
      </c>
      <c r="V709" s="2" t="str">
        <f aca="false">IF(S709&lt;J709,"SIM","NÃO")</f>
        <v>NÃO</v>
      </c>
      <c r="W709" s="2" t="n">
        <v>5</v>
      </c>
      <c r="X709" s="2" t="s">
        <v>156</v>
      </c>
    </row>
    <row r="710" customFormat="false" ht="15" hidden="false" customHeight="false" outlineLevel="0" collapsed="false">
      <c r="A710" s="2" t="n">
        <v>373327129</v>
      </c>
      <c r="B710" s="29" t="n">
        <v>46242.4501967593</v>
      </c>
      <c r="C710" s="2" t="s">
        <v>153</v>
      </c>
      <c r="D710" s="2" t="s">
        <v>886</v>
      </c>
      <c r="E710" s="2" t="s">
        <v>78</v>
      </c>
      <c r="F710" s="2" t="s">
        <v>108</v>
      </c>
      <c r="G710" s="30" t="n">
        <v>43.5</v>
      </c>
      <c r="H710" s="11" t="n">
        <v>690.99</v>
      </c>
      <c r="I710" s="11" t="s">
        <v>155</v>
      </c>
      <c r="J710" s="11" t="n">
        <v>103.9</v>
      </c>
      <c r="K710" s="11" t="n">
        <v>93.97</v>
      </c>
      <c r="L710" s="11" t="n">
        <v>0.691</v>
      </c>
      <c r="M710" s="11" t="n">
        <v>1.382</v>
      </c>
      <c r="N710" s="11" t="n">
        <v>1</v>
      </c>
      <c r="O710" s="11" t="n">
        <v>4.5</v>
      </c>
      <c r="P710" s="11" t="n">
        <v>2.64</v>
      </c>
      <c r="Q710" s="11" t="n">
        <v>19.8</v>
      </c>
      <c r="R710" s="11" t="n">
        <f aca="false">SUM(K710:Q710)</f>
        <v>123.983</v>
      </c>
      <c r="S710" s="11" t="n">
        <f aca="false">R710/(1-Resumo!$C$6)</f>
        <v>140.889772727273</v>
      </c>
      <c r="T710" s="11" t="n">
        <f aca="false">S710-J710</f>
        <v>36.9897727272727</v>
      </c>
      <c r="U710" s="12" t="n">
        <f aca="false">IFERROR(S710/J710-1,0)</f>
        <v>0.35601321200455</v>
      </c>
      <c r="V710" s="2" t="str">
        <f aca="false">IF(S710&lt;J710,"SIM","NÃO")</f>
        <v>NÃO</v>
      </c>
      <c r="W710" s="2" t="n">
        <v>5</v>
      </c>
      <c r="X710" s="2" t="s">
        <v>156</v>
      </c>
    </row>
    <row r="711" customFormat="false" ht="15" hidden="false" customHeight="false" outlineLevel="0" collapsed="false">
      <c r="A711" s="2" t="n">
        <v>373327944</v>
      </c>
      <c r="B711" s="29" t="n">
        <v>46242.4514467593</v>
      </c>
      <c r="C711" s="2" t="s">
        <v>153</v>
      </c>
      <c r="D711" s="2" t="s">
        <v>887</v>
      </c>
      <c r="E711" s="2" t="s">
        <v>82</v>
      </c>
      <c r="F711" s="2" t="s">
        <v>106</v>
      </c>
      <c r="G711" s="30" t="n">
        <v>31.9</v>
      </c>
      <c r="H711" s="11" t="n">
        <v>533.6</v>
      </c>
      <c r="I711" s="11" t="s">
        <v>155</v>
      </c>
      <c r="J711" s="11" t="n">
        <v>101.95</v>
      </c>
      <c r="K711" s="11" t="n">
        <v>100.58</v>
      </c>
      <c r="L711" s="11" t="n">
        <v>0.5336</v>
      </c>
      <c r="M711" s="11" t="n">
        <v>1.0672</v>
      </c>
      <c r="N711" s="11" t="n">
        <v>1</v>
      </c>
      <c r="O711" s="11" t="n">
        <v>4.5</v>
      </c>
      <c r="P711" s="11" t="n">
        <v>1.92</v>
      </c>
      <c r="Q711" s="11" t="n">
        <v>14.4</v>
      </c>
      <c r="R711" s="11" t="n">
        <f aca="false">SUM(K711:Q711)</f>
        <v>124.0008</v>
      </c>
      <c r="S711" s="11" t="n">
        <f aca="false">R711/(1-Resumo!$C$6)</f>
        <v>140.91</v>
      </c>
      <c r="T711" s="11" t="n">
        <f aca="false">S711-J711</f>
        <v>38.96</v>
      </c>
      <c r="U711" s="12" t="n">
        <f aca="false">IFERROR(S711/J711-1,0)</f>
        <v>0.382148111819519</v>
      </c>
      <c r="V711" s="2" t="str">
        <f aca="false">IF(S711&lt;J711,"SIM","NÃO")</f>
        <v>NÃO</v>
      </c>
      <c r="W711" s="2" t="n">
        <v>7</v>
      </c>
      <c r="X711" s="2" t="s">
        <v>156</v>
      </c>
    </row>
    <row r="712" customFormat="false" ht="15" hidden="false" customHeight="false" outlineLevel="0" collapsed="false">
      <c r="A712" s="2" t="n">
        <v>373336033</v>
      </c>
      <c r="B712" s="29" t="n">
        <v>46242.4638888889</v>
      </c>
      <c r="C712" s="2" t="s">
        <v>153</v>
      </c>
      <c r="D712" s="2" t="s">
        <v>888</v>
      </c>
      <c r="E712" s="2" t="s">
        <v>81</v>
      </c>
      <c r="F712" s="2" t="s">
        <v>111</v>
      </c>
      <c r="G712" s="30" t="n">
        <v>71.9</v>
      </c>
      <c r="H712" s="11" t="n">
        <v>793.68</v>
      </c>
      <c r="I712" s="11" t="s">
        <v>155</v>
      </c>
      <c r="J712" s="11" t="n">
        <v>151.81</v>
      </c>
      <c r="K712" s="11" t="n">
        <v>134.39</v>
      </c>
      <c r="L712" s="11" t="n">
        <v>0.7937</v>
      </c>
      <c r="M712" s="11" t="n">
        <v>1.5874</v>
      </c>
      <c r="N712" s="11" t="n">
        <v>1</v>
      </c>
      <c r="O712" s="11" t="n">
        <v>4.5</v>
      </c>
      <c r="P712" s="11" t="n">
        <v>4.32</v>
      </c>
      <c r="Q712" s="11" t="n">
        <v>32.4</v>
      </c>
      <c r="R712" s="11" t="n">
        <f aca="false">SUM(K712:Q712)</f>
        <v>178.9911</v>
      </c>
      <c r="S712" s="11" t="n">
        <f aca="false">R712/(1-Resumo!$C$6)</f>
        <v>203.398977272727</v>
      </c>
      <c r="T712" s="11" t="n">
        <f aca="false">S712-J712</f>
        <v>51.5889772727273</v>
      </c>
      <c r="U712" s="12" t="n">
        <f aca="false">IFERROR(S712/J712-1,0)</f>
        <v>0.339825948703822</v>
      </c>
      <c r="V712" s="2" t="str">
        <f aca="false">IF(S712&lt;J712,"SIM","NÃO")</f>
        <v>NÃO</v>
      </c>
      <c r="W712" s="2" t="n">
        <v>5</v>
      </c>
      <c r="X712" s="2" t="s">
        <v>156</v>
      </c>
    </row>
    <row r="713" customFormat="false" ht="15" hidden="false" customHeight="false" outlineLevel="0" collapsed="false">
      <c r="A713" s="2" t="n">
        <v>373265347</v>
      </c>
      <c r="B713" s="29" t="n">
        <v>46242.4688078704</v>
      </c>
      <c r="C713" s="2" t="s">
        <v>194</v>
      </c>
      <c r="D713" s="2" t="s">
        <v>889</v>
      </c>
      <c r="E713" s="2" t="s">
        <v>203</v>
      </c>
      <c r="F713" s="2" t="s">
        <v>109</v>
      </c>
      <c r="G713" s="30" t="n">
        <v>52.3</v>
      </c>
      <c r="H713" s="11" t="n">
        <v>689.99</v>
      </c>
      <c r="I713" s="11" t="s">
        <v>350</v>
      </c>
      <c r="J713" s="11" t="n">
        <v>141.97</v>
      </c>
      <c r="K713" s="11" t="n">
        <v>122.3</v>
      </c>
      <c r="L713" s="11" t="n">
        <v>0.69</v>
      </c>
      <c r="M713" s="11" t="n">
        <v>1.38</v>
      </c>
      <c r="N713" s="11" t="n">
        <v>1</v>
      </c>
      <c r="O713" s="11" t="n">
        <v>4.5</v>
      </c>
      <c r="P713" s="11" t="n">
        <v>3.18</v>
      </c>
      <c r="Q713" s="11" t="n">
        <v>23.85</v>
      </c>
      <c r="R713" s="11" t="n">
        <f aca="false">SUM(K713:Q713)</f>
        <v>156.9</v>
      </c>
      <c r="S713" s="11" t="n">
        <f aca="false">R713/(1-Resumo!$C$6)</f>
        <v>178.295454545455</v>
      </c>
      <c r="T713" s="11" t="n">
        <f aca="false">S713-J713</f>
        <v>36.3254545454546</v>
      </c>
      <c r="U713" s="12" t="n">
        <f aca="false">IFERROR(S713/J713-1,0)</f>
        <v>0.255867116612345</v>
      </c>
      <c r="V713" s="2" t="str">
        <f aca="false">IF(S713&lt;J713,"SIM","NÃO")</f>
        <v>NÃO</v>
      </c>
      <c r="W713" s="2" t="n">
        <v>5</v>
      </c>
      <c r="X713" s="2" t="s">
        <v>161</v>
      </c>
    </row>
    <row r="714" customFormat="false" ht="15" hidden="false" customHeight="false" outlineLevel="0" collapsed="false">
      <c r="A714" s="2" t="n">
        <v>373340068</v>
      </c>
      <c r="B714" s="29" t="n">
        <v>46242.4702662037</v>
      </c>
      <c r="C714" s="2" t="s">
        <v>153</v>
      </c>
      <c r="D714" s="2" t="s">
        <v>890</v>
      </c>
      <c r="E714" s="2" t="s">
        <v>84</v>
      </c>
      <c r="F714" s="2" t="s">
        <v>108</v>
      </c>
      <c r="G714" s="30" t="n">
        <v>48.3</v>
      </c>
      <c r="H714" s="11" t="n">
        <v>429.99</v>
      </c>
      <c r="I714" s="11" t="s">
        <v>350</v>
      </c>
      <c r="J714" s="11" t="n">
        <v>117.97</v>
      </c>
      <c r="K714" s="11" t="n">
        <v>93.97</v>
      </c>
      <c r="L714" s="11" t="n">
        <v>0.43</v>
      </c>
      <c r="M714" s="11" t="n">
        <v>0.86</v>
      </c>
      <c r="N714" s="11" t="n">
        <v>1</v>
      </c>
      <c r="O714" s="11" t="n">
        <v>4.5</v>
      </c>
      <c r="P714" s="11" t="n">
        <v>2.94</v>
      </c>
      <c r="Q714" s="11" t="n">
        <v>22.05</v>
      </c>
      <c r="R714" s="11" t="n">
        <f aca="false">SUM(K714:Q714)</f>
        <v>125.75</v>
      </c>
      <c r="S714" s="11" t="n">
        <f aca="false">R714/(1-Resumo!$C$6)</f>
        <v>142.897727272727</v>
      </c>
      <c r="T714" s="11" t="n">
        <f aca="false">S714-J714</f>
        <v>24.9277272727273</v>
      </c>
      <c r="U714" s="12" t="n">
        <f aca="false">IFERROR(S714/J714-1,0)</f>
        <v>0.21130564781493</v>
      </c>
      <c r="V714" s="2" t="str">
        <f aca="false">IF(S714&lt;J714,"SIM","NÃO")</f>
        <v>NÃO</v>
      </c>
      <c r="W714" s="2" t="n">
        <v>5</v>
      </c>
      <c r="X714" s="2" t="s">
        <v>156</v>
      </c>
    </row>
    <row r="715" customFormat="false" ht="15" hidden="false" customHeight="false" outlineLevel="0" collapsed="false">
      <c r="A715" s="2" t="n">
        <v>373340591</v>
      </c>
      <c r="B715" s="29" t="n">
        <v>46242.471412037</v>
      </c>
      <c r="C715" s="2" t="s">
        <v>153</v>
      </c>
      <c r="D715" s="2" t="s">
        <v>891</v>
      </c>
      <c r="E715" s="2" t="s">
        <v>93</v>
      </c>
      <c r="F715" s="2" t="s">
        <v>106</v>
      </c>
      <c r="G715" s="30" t="n">
        <v>31.9</v>
      </c>
      <c r="H715" s="11" t="n">
        <v>533.6</v>
      </c>
      <c r="I715" s="11" t="s">
        <v>350</v>
      </c>
      <c r="J715" s="11" t="n">
        <v>110.08</v>
      </c>
      <c r="K715" s="11" t="n">
        <v>100.58</v>
      </c>
      <c r="L715" s="11" t="n">
        <v>0.5336</v>
      </c>
      <c r="M715" s="11" t="n">
        <v>1.0672</v>
      </c>
      <c r="N715" s="11" t="n">
        <v>1</v>
      </c>
      <c r="O715" s="11" t="n">
        <v>4.5</v>
      </c>
      <c r="P715" s="11" t="n">
        <v>1.92</v>
      </c>
      <c r="Q715" s="11" t="n">
        <v>14.4</v>
      </c>
      <c r="R715" s="11" t="n">
        <f aca="false">SUM(K715:Q715)</f>
        <v>124.0008</v>
      </c>
      <c r="S715" s="11" t="n">
        <f aca="false">R715/(1-Resumo!$C$6)</f>
        <v>140.91</v>
      </c>
      <c r="T715" s="11" t="n">
        <f aca="false">S715-J715</f>
        <v>30.83</v>
      </c>
      <c r="U715" s="12" t="n">
        <f aca="false">IFERROR(S715/J715-1,0)</f>
        <v>0.280069040697674</v>
      </c>
      <c r="V715" s="2" t="str">
        <f aca="false">IF(S715&lt;J715,"SIM","NÃO")</f>
        <v>NÃO</v>
      </c>
      <c r="W715" s="2" t="n">
        <v>7</v>
      </c>
      <c r="X715" s="2" t="s">
        <v>156</v>
      </c>
    </row>
    <row r="716" customFormat="false" ht="15" hidden="false" customHeight="false" outlineLevel="0" collapsed="false">
      <c r="A716" s="2" t="n">
        <v>373341339</v>
      </c>
      <c r="B716" s="29" t="n">
        <v>46242.4723726852</v>
      </c>
      <c r="C716" s="2" t="s">
        <v>153</v>
      </c>
      <c r="D716" s="2" t="s">
        <v>892</v>
      </c>
      <c r="E716" s="2" t="s">
        <v>78</v>
      </c>
      <c r="F716" s="2" t="s">
        <v>108</v>
      </c>
      <c r="G716" s="30" t="n">
        <v>45.5</v>
      </c>
      <c r="H716" s="11" t="n">
        <v>515.2</v>
      </c>
      <c r="I716" s="11" t="s">
        <v>155</v>
      </c>
      <c r="J716" s="11" t="n">
        <v>103.06</v>
      </c>
      <c r="K716" s="11" t="n">
        <v>93.97</v>
      </c>
      <c r="L716" s="11" t="n">
        <v>0.5152</v>
      </c>
      <c r="M716" s="11" t="n">
        <v>1.0304</v>
      </c>
      <c r="N716" s="11" t="n">
        <v>1</v>
      </c>
      <c r="O716" s="11" t="n">
        <v>4.5</v>
      </c>
      <c r="P716" s="11" t="n">
        <v>2.76</v>
      </c>
      <c r="Q716" s="11" t="n">
        <v>20.7</v>
      </c>
      <c r="R716" s="11" t="n">
        <f aca="false">SUM(K716:Q716)</f>
        <v>124.4756</v>
      </c>
      <c r="S716" s="11" t="n">
        <f aca="false">R716/(1-Resumo!$C$6)</f>
        <v>141.449545454545</v>
      </c>
      <c r="T716" s="11" t="n">
        <f aca="false">S716-J716</f>
        <v>38.3895454545454</v>
      </c>
      <c r="U716" s="12" t="n">
        <f aca="false">IFERROR(S716/J716-1,0)</f>
        <v>0.372497044969391</v>
      </c>
      <c r="V716" s="2" t="str">
        <f aca="false">IF(S716&lt;J716,"SIM","NÃO")</f>
        <v>NÃO</v>
      </c>
      <c r="W716" s="2" t="n">
        <v>5</v>
      </c>
      <c r="X716" s="2" t="s">
        <v>156</v>
      </c>
    </row>
    <row r="717" customFormat="false" ht="15" hidden="false" customHeight="false" outlineLevel="0" collapsed="false">
      <c r="A717" s="2" t="n">
        <v>373424595</v>
      </c>
      <c r="B717" s="29" t="n">
        <v>46242.4732638889</v>
      </c>
      <c r="C717" s="2" t="s">
        <v>158</v>
      </c>
      <c r="D717" s="2" t="s">
        <v>893</v>
      </c>
      <c r="E717" s="2" t="s">
        <v>91</v>
      </c>
      <c r="F717" s="2" t="s">
        <v>108</v>
      </c>
      <c r="G717" s="30" t="n">
        <v>48.6</v>
      </c>
      <c r="H717" s="11" t="n">
        <v>629.99</v>
      </c>
      <c r="I717" s="11" t="s">
        <v>350</v>
      </c>
      <c r="J717" s="11" t="n">
        <v>132.94</v>
      </c>
      <c r="K717" s="11" t="n">
        <v>129.29</v>
      </c>
      <c r="L717" s="11" t="n">
        <v>0.63</v>
      </c>
      <c r="M717" s="11" t="n">
        <v>1.26</v>
      </c>
      <c r="N717" s="11" t="n">
        <v>1</v>
      </c>
      <c r="O717" s="11" t="n">
        <v>4.5</v>
      </c>
      <c r="P717" s="11" t="n">
        <v>2.94</v>
      </c>
      <c r="Q717" s="11" t="n">
        <v>22.05</v>
      </c>
      <c r="R717" s="11" t="n">
        <f aca="false">SUM(K717:Q717)</f>
        <v>161.67</v>
      </c>
      <c r="S717" s="11" t="n">
        <f aca="false">R717/(1-Resumo!$C$6)</f>
        <v>183.715909090909</v>
      </c>
      <c r="T717" s="11" t="n">
        <f aca="false">S717-J717</f>
        <v>50.7759090909091</v>
      </c>
      <c r="U717" s="12" t="n">
        <f aca="false">IFERROR(S717/J717-1,0)</f>
        <v>0.381946059056034</v>
      </c>
      <c r="V717" s="2" t="str">
        <f aca="false">IF(S717&lt;J717,"SIM","NÃO")</f>
        <v>NÃO</v>
      </c>
      <c r="W717" s="2" t="n">
        <v>10</v>
      </c>
      <c r="X717" s="2" t="s">
        <v>156</v>
      </c>
    </row>
    <row r="718" customFormat="false" ht="15" hidden="false" customHeight="false" outlineLevel="0" collapsed="false">
      <c r="A718" s="2" t="n">
        <v>373344067</v>
      </c>
      <c r="B718" s="29" t="n">
        <v>46242.4767592593</v>
      </c>
      <c r="C718" s="2" t="s">
        <v>153</v>
      </c>
      <c r="D718" s="2" t="s">
        <v>894</v>
      </c>
      <c r="E718" s="2" t="s">
        <v>212</v>
      </c>
      <c r="F718" s="2" t="s">
        <v>110</v>
      </c>
      <c r="G718" s="30" t="n">
        <v>63.9</v>
      </c>
      <c r="H718" s="11" t="n">
        <v>717.6</v>
      </c>
      <c r="I718" s="11" t="s">
        <v>350</v>
      </c>
      <c r="J718" s="11" t="n">
        <v>155.25</v>
      </c>
      <c r="K718" s="11" t="n">
        <v>141.02</v>
      </c>
      <c r="L718" s="11" t="n">
        <v>0.7176</v>
      </c>
      <c r="M718" s="11" t="n">
        <v>1.4352</v>
      </c>
      <c r="N718" s="11" t="n">
        <v>1</v>
      </c>
      <c r="O718" s="11" t="n">
        <v>4.5</v>
      </c>
      <c r="P718" s="11" t="n">
        <v>3.84</v>
      </c>
      <c r="Q718" s="11" t="n">
        <v>28.8</v>
      </c>
      <c r="R718" s="11" t="n">
        <f aca="false">SUM(K718:Q718)</f>
        <v>181.3128</v>
      </c>
      <c r="S718" s="11" t="n">
        <f aca="false">R718/(1-Resumo!$C$6)</f>
        <v>206.037272727273</v>
      </c>
      <c r="T718" s="11" t="n">
        <f aca="false">S718-J718</f>
        <v>50.7872727272728</v>
      </c>
      <c r="U718" s="12" t="n">
        <f aca="false">IFERROR(S718/J718-1,0)</f>
        <v>0.327132191480018</v>
      </c>
      <c r="V718" s="2" t="str">
        <f aca="false">IF(S718&lt;J718,"SIM","NÃO")</f>
        <v>NÃO</v>
      </c>
      <c r="W718" s="2" t="n">
        <v>5</v>
      </c>
      <c r="X718" s="2" t="s">
        <v>161</v>
      </c>
    </row>
    <row r="719" customFormat="false" ht="15" hidden="false" customHeight="false" outlineLevel="0" collapsed="false">
      <c r="A719" s="2" t="n">
        <v>373365588</v>
      </c>
      <c r="B719" s="29" t="n">
        <v>46242.5097685185</v>
      </c>
      <c r="C719" s="2" t="s">
        <v>153</v>
      </c>
      <c r="D719" s="2" t="s">
        <v>895</v>
      </c>
      <c r="E719" s="2" t="s">
        <v>78</v>
      </c>
      <c r="F719" s="2" t="s">
        <v>107</v>
      </c>
      <c r="G719" s="30" t="n">
        <v>36.8</v>
      </c>
      <c r="H719" s="11" t="n">
        <v>439.99</v>
      </c>
      <c r="I719" s="11" t="s">
        <v>155</v>
      </c>
      <c r="J719" s="11" t="n">
        <v>91.97</v>
      </c>
      <c r="K719" s="11" t="n">
        <v>93.97</v>
      </c>
      <c r="L719" s="11" t="n">
        <v>0.44</v>
      </c>
      <c r="M719" s="11" t="n">
        <v>0.88</v>
      </c>
      <c r="N719" s="11" t="n">
        <v>1</v>
      </c>
      <c r="O719" s="11" t="n">
        <v>4.5</v>
      </c>
      <c r="P719" s="11" t="n">
        <v>2.22</v>
      </c>
      <c r="Q719" s="11" t="n">
        <v>16.65</v>
      </c>
      <c r="R719" s="11" t="n">
        <f aca="false">SUM(K719:Q719)</f>
        <v>119.66</v>
      </c>
      <c r="S719" s="11" t="n">
        <f aca="false">R719/(1-Resumo!$C$6)</f>
        <v>135.977272727273</v>
      </c>
      <c r="T719" s="11" t="n">
        <f aca="false">S719-J719</f>
        <v>44.0072727272727</v>
      </c>
      <c r="U719" s="12" t="n">
        <f aca="false">IFERROR(S719/J719-1,0)</f>
        <v>0.47849595223739</v>
      </c>
      <c r="V719" s="2" t="str">
        <f aca="false">IF(S719&lt;J719,"SIM","NÃO")</f>
        <v>NÃO</v>
      </c>
      <c r="W719" s="2" t="n">
        <v>5</v>
      </c>
      <c r="X719" s="2" t="s">
        <v>156</v>
      </c>
    </row>
    <row r="720" customFormat="false" ht="15" hidden="false" customHeight="false" outlineLevel="0" collapsed="false">
      <c r="A720" s="2" t="n">
        <v>373388420</v>
      </c>
      <c r="B720" s="29" t="n">
        <v>46242.5427662037</v>
      </c>
      <c r="C720" s="2" t="s">
        <v>153</v>
      </c>
      <c r="D720" s="2" t="s">
        <v>896</v>
      </c>
      <c r="E720" s="2" t="s">
        <v>78</v>
      </c>
      <c r="F720" s="2" t="s">
        <v>109</v>
      </c>
      <c r="G720" s="30" t="n">
        <v>52.3</v>
      </c>
      <c r="H720" s="11" t="n">
        <v>616.99</v>
      </c>
      <c r="I720" s="11" t="s">
        <v>155</v>
      </c>
      <c r="J720" s="11" t="n">
        <v>114.09</v>
      </c>
      <c r="K720" s="11" t="n">
        <v>112.3</v>
      </c>
      <c r="L720" s="11" t="n">
        <v>0.617</v>
      </c>
      <c r="M720" s="11" t="n">
        <v>1.234</v>
      </c>
      <c r="N720" s="11" t="n">
        <v>1</v>
      </c>
      <c r="O720" s="11" t="n">
        <v>4.5</v>
      </c>
      <c r="P720" s="11" t="n">
        <v>3.18</v>
      </c>
      <c r="Q720" s="11" t="n">
        <v>23.85</v>
      </c>
      <c r="R720" s="11" t="n">
        <f aca="false">SUM(K720:Q720)</f>
        <v>146.681</v>
      </c>
      <c r="S720" s="11" t="n">
        <f aca="false">R720/(1-Resumo!$C$6)</f>
        <v>166.682954545455</v>
      </c>
      <c r="T720" s="11" t="n">
        <f aca="false">S720-J720</f>
        <v>52.5929545454545</v>
      </c>
      <c r="U720" s="12" t="n">
        <f aca="false">IFERROR(S720/J720-1,0)</f>
        <v>0.460977776715352</v>
      </c>
      <c r="V720" s="2" t="str">
        <f aca="false">IF(S720&lt;J720,"SIM","NÃO")</f>
        <v>NÃO</v>
      </c>
      <c r="W720" s="2" t="n">
        <v>5</v>
      </c>
      <c r="X720" s="2" t="s">
        <v>156</v>
      </c>
    </row>
    <row r="721" customFormat="false" ht="15" hidden="false" customHeight="false" outlineLevel="0" collapsed="false">
      <c r="A721" s="2" t="n">
        <v>373389646</v>
      </c>
      <c r="B721" s="29" t="n">
        <v>46242.5444328704</v>
      </c>
      <c r="C721" s="2" t="s">
        <v>158</v>
      </c>
      <c r="D721" s="2" t="s">
        <v>897</v>
      </c>
      <c r="E721" s="2" t="s">
        <v>78</v>
      </c>
      <c r="F721" s="2" t="s">
        <v>112</v>
      </c>
      <c r="G721" s="30" t="n">
        <v>97.2</v>
      </c>
      <c r="H721" s="11" t="n">
        <v>1202.15</v>
      </c>
      <c r="I721" s="11" t="s">
        <v>155</v>
      </c>
      <c r="J721" s="11" t="n">
        <v>164.84</v>
      </c>
      <c r="K721" s="11" t="n">
        <v>167.99</v>
      </c>
      <c r="L721" s="11" t="n">
        <v>1.2022</v>
      </c>
      <c r="M721" s="11" t="n">
        <v>2.4043</v>
      </c>
      <c r="N721" s="11" t="n">
        <v>1</v>
      </c>
      <c r="O721" s="11" t="n">
        <v>4.5</v>
      </c>
      <c r="P721" s="11" t="n">
        <v>5.88</v>
      </c>
      <c r="Q721" s="11" t="n">
        <v>44.1</v>
      </c>
      <c r="R721" s="11" t="n">
        <f aca="false">SUM(K721:Q721)</f>
        <v>227.0765</v>
      </c>
      <c r="S721" s="11" t="n">
        <f aca="false">R721/(1-Resumo!$C$6)</f>
        <v>258.041477272727</v>
      </c>
      <c r="T721" s="11" t="n">
        <f aca="false">S721-J721</f>
        <v>93.2014772727273</v>
      </c>
      <c r="U721" s="12" t="n">
        <f aca="false">IFERROR(S721/J721-1,0)</f>
        <v>0.565405710220379</v>
      </c>
      <c r="V721" s="2" t="str">
        <f aca="false">IF(S721&lt;J721,"SIM","NÃO")</f>
        <v>NÃO</v>
      </c>
      <c r="W721" s="2" t="n">
        <v>5</v>
      </c>
      <c r="X721" s="2" t="s">
        <v>156</v>
      </c>
    </row>
    <row r="722" customFormat="false" ht="15" hidden="false" customHeight="false" outlineLevel="0" collapsed="false">
      <c r="A722" s="2" t="n">
        <v>373392193</v>
      </c>
      <c r="B722" s="29" t="n">
        <v>46242.5481712963</v>
      </c>
      <c r="C722" s="2" t="s">
        <v>153</v>
      </c>
      <c r="D722" s="2" t="s">
        <v>898</v>
      </c>
      <c r="E722" s="2" t="s">
        <v>78</v>
      </c>
      <c r="F722" s="2" t="s">
        <v>109</v>
      </c>
      <c r="G722" s="30" t="n">
        <v>59.9</v>
      </c>
      <c r="H722" s="11" t="n">
        <v>874</v>
      </c>
      <c r="I722" s="11" t="s">
        <v>350</v>
      </c>
      <c r="J722" s="11" t="n">
        <v>118.05</v>
      </c>
      <c r="K722" s="11" t="n">
        <v>112.3</v>
      </c>
      <c r="L722" s="11" t="n">
        <v>0.874</v>
      </c>
      <c r="M722" s="11" t="n">
        <v>1.748</v>
      </c>
      <c r="N722" s="11" t="n">
        <v>1</v>
      </c>
      <c r="O722" s="11" t="n">
        <v>4.5</v>
      </c>
      <c r="P722" s="11" t="n">
        <v>3.6</v>
      </c>
      <c r="Q722" s="11" t="n">
        <v>27</v>
      </c>
      <c r="R722" s="11" t="n">
        <f aca="false">SUM(K722:Q722)</f>
        <v>151.022</v>
      </c>
      <c r="S722" s="11" t="n">
        <f aca="false">R722/(1-Resumo!$C$6)</f>
        <v>171.615909090909</v>
      </c>
      <c r="T722" s="11" t="n">
        <f aca="false">S722-J722</f>
        <v>53.5659090909091</v>
      </c>
      <c r="U722" s="12" t="n">
        <f aca="false">IFERROR(S722/J722-1,0)</f>
        <v>0.453756112587116</v>
      </c>
      <c r="V722" s="2" t="str">
        <f aca="false">IF(S722&lt;J722,"SIM","NÃO")</f>
        <v>NÃO</v>
      </c>
      <c r="W722" s="2" t="n">
        <v>5</v>
      </c>
      <c r="X722" s="2" t="s">
        <v>156</v>
      </c>
    </row>
    <row r="723" customFormat="false" ht="15" hidden="false" customHeight="false" outlineLevel="0" collapsed="false">
      <c r="A723" s="2" t="n">
        <v>373393072</v>
      </c>
      <c r="B723" s="29" t="n">
        <v>46242.549375</v>
      </c>
      <c r="C723" s="2" t="s">
        <v>153</v>
      </c>
      <c r="D723" s="2" t="s">
        <v>899</v>
      </c>
      <c r="E723" s="2" t="s">
        <v>80</v>
      </c>
      <c r="F723" s="2" t="s">
        <v>109</v>
      </c>
      <c r="G723" s="30" t="n">
        <v>52.3</v>
      </c>
      <c r="H723" s="11" t="n">
        <v>616.99</v>
      </c>
      <c r="I723" s="11" t="s">
        <v>155</v>
      </c>
      <c r="J723" s="11" t="n">
        <v>128.23</v>
      </c>
      <c r="K723" s="11" t="n">
        <v>112.3</v>
      </c>
      <c r="L723" s="11" t="n">
        <v>0.617</v>
      </c>
      <c r="M723" s="11" t="n">
        <v>1.234</v>
      </c>
      <c r="N723" s="11" t="n">
        <v>1</v>
      </c>
      <c r="O723" s="11" t="n">
        <v>4.5</v>
      </c>
      <c r="P723" s="11" t="n">
        <v>3.18</v>
      </c>
      <c r="Q723" s="11" t="n">
        <v>23.85</v>
      </c>
      <c r="R723" s="11" t="n">
        <f aca="false">SUM(K723:Q723)</f>
        <v>146.681</v>
      </c>
      <c r="S723" s="11" t="n">
        <f aca="false">R723/(1-Resumo!$C$6)</f>
        <v>166.682954545455</v>
      </c>
      <c r="T723" s="11" t="n">
        <f aca="false">S723-J723</f>
        <v>38.4529545454546</v>
      </c>
      <c r="U723" s="12" t="n">
        <f aca="false">IFERROR(S723/J723-1,0)</f>
        <v>0.299874869729818</v>
      </c>
      <c r="V723" s="2" t="str">
        <f aca="false">IF(S723&lt;J723,"SIM","NÃO")</f>
        <v>NÃO</v>
      </c>
      <c r="W723" s="2" t="n">
        <v>5</v>
      </c>
      <c r="X723" s="2" t="s">
        <v>156</v>
      </c>
    </row>
    <row r="724" customFormat="false" ht="15" hidden="false" customHeight="false" outlineLevel="0" collapsed="false">
      <c r="A724" s="2" t="n">
        <v>373404951</v>
      </c>
      <c r="B724" s="29" t="n">
        <v>46242.5674652778</v>
      </c>
      <c r="C724" s="2" t="s">
        <v>158</v>
      </c>
      <c r="D724" s="2" t="s">
        <v>900</v>
      </c>
      <c r="E724" s="2" t="s">
        <v>78</v>
      </c>
      <c r="F724" s="2" t="s">
        <v>106</v>
      </c>
      <c r="G724" s="30" t="n">
        <v>21.75</v>
      </c>
      <c r="H724" s="11" t="n">
        <v>284.43</v>
      </c>
      <c r="I724" s="11" t="s">
        <v>350</v>
      </c>
      <c r="J724" s="11" t="n">
        <v>77.06</v>
      </c>
      <c r="K724" s="11" t="n">
        <v>82.21</v>
      </c>
      <c r="L724" s="11" t="n">
        <v>0.2844</v>
      </c>
      <c r="M724" s="11" t="n">
        <v>0.5689</v>
      </c>
      <c r="N724" s="11" t="n">
        <v>1</v>
      </c>
      <c r="O724" s="11" t="n">
        <v>4.5</v>
      </c>
      <c r="P724" s="11" t="n">
        <v>1.32</v>
      </c>
      <c r="Q724" s="11" t="n">
        <v>9.9</v>
      </c>
      <c r="R724" s="11" t="n">
        <f aca="false">SUM(K724:Q724)</f>
        <v>99.7833</v>
      </c>
      <c r="S724" s="11" t="n">
        <f aca="false">R724/(1-Resumo!$C$6)</f>
        <v>113.390113636364</v>
      </c>
      <c r="T724" s="11" t="n">
        <f aca="false">S724-J724</f>
        <v>36.3301136363636</v>
      </c>
      <c r="U724" s="12" t="n">
        <f aca="false">IFERROR(S724/J724-1,0)</f>
        <v>0.471452292192624</v>
      </c>
      <c r="V724" s="2" t="str">
        <f aca="false">IF(S724&lt;J724,"SIM","NÃO")</f>
        <v>NÃO</v>
      </c>
      <c r="W724" s="2" t="n">
        <v>5</v>
      </c>
      <c r="X724" s="2" t="s">
        <v>156</v>
      </c>
    </row>
    <row r="725" customFormat="false" ht="15" hidden="false" customHeight="false" outlineLevel="0" collapsed="false">
      <c r="A725" s="2" t="n">
        <v>373413730</v>
      </c>
      <c r="B725" s="29" t="n">
        <v>46242.5809722222</v>
      </c>
      <c r="C725" s="2" t="s">
        <v>153</v>
      </c>
      <c r="D725" s="2" t="s">
        <v>901</v>
      </c>
      <c r="E725" s="2" t="s">
        <v>79</v>
      </c>
      <c r="F725" s="2" t="s">
        <v>114</v>
      </c>
      <c r="G725" s="30" t="n">
        <v>127.8</v>
      </c>
      <c r="H725" s="11" t="n">
        <v>1387.09</v>
      </c>
      <c r="I725" s="11" t="s">
        <v>350</v>
      </c>
      <c r="J725" s="11" t="n">
        <v>237.15</v>
      </c>
      <c r="K725" s="11" t="n">
        <v>249.03</v>
      </c>
      <c r="L725" s="11" t="n">
        <v>1.3871</v>
      </c>
      <c r="M725" s="11" t="n">
        <v>2.7742</v>
      </c>
      <c r="N725" s="11" t="n">
        <v>1</v>
      </c>
      <c r="O725" s="11" t="n">
        <v>9</v>
      </c>
      <c r="P725" s="11" t="n">
        <v>7.68</v>
      </c>
      <c r="Q725" s="11" t="n">
        <v>57.6</v>
      </c>
      <c r="R725" s="11" t="n">
        <f aca="false">SUM(K725:Q725)</f>
        <v>328.4713</v>
      </c>
      <c r="S725" s="11" t="n">
        <f aca="false">R725/(1-Resumo!$C$6)</f>
        <v>373.262840909091</v>
      </c>
      <c r="T725" s="11" t="n">
        <f aca="false">S725-J725</f>
        <v>136.112840909091</v>
      </c>
      <c r="U725" s="12" t="n">
        <f aca="false">IFERROR(S725/J725-1,0)</f>
        <v>0.573952523335825</v>
      </c>
      <c r="V725" s="2" t="str">
        <f aca="false">IF(S725&lt;J725,"SIM","NÃO")</f>
        <v>NÃO</v>
      </c>
      <c r="W725" s="2" t="n">
        <v>7</v>
      </c>
      <c r="X725" s="2" t="s">
        <v>156</v>
      </c>
    </row>
    <row r="726" customFormat="false" ht="15" hidden="false" customHeight="false" outlineLevel="0" collapsed="false">
      <c r="A726" s="2" t="n">
        <v>373414117</v>
      </c>
      <c r="B726" s="29" t="n">
        <v>46242.5817476852</v>
      </c>
      <c r="C726" s="2" t="s">
        <v>153</v>
      </c>
      <c r="D726" s="2" t="s">
        <v>902</v>
      </c>
      <c r="E726" s="2" t="s">
        <v>78</v>
      </c>
      <c r="F726" s="2" t="s">
        <v>106</v>
      </c>
      <c r="G726" s="30" t="n">
        <v>20.9</v>
      </c>
      <c r="H726" s="11" t="n">
        <v>441</v>
      </c>
      <c r="I726" s="11" t="s">
        <v>350</v>
      </c>
      <c r="J726" s="11" t="n">
        <v>77.3</v>
      </c>
      <c r="K726" s="11" t="n">
        <v>82.21</v>
      </c>
      <c r="L726" s="11" t="n">
        <v>0.441</v>
      </c>
      <c r="M726" s="11" t="n">
        <v>0.882</v>
      </c>
      <c r="N726" s="11" t="n">
        <v>1</v>
      </c>
      <c r="O726" s="11" t="n">
        <v>4.5</v>
      </c>
      <c r="P726" s="11" t="n">
        <v>1.26</v>
      </c>
      <c r="Q726" s="11" t="n">
        <v>9.45</v>
      </c>
      <c r="R726" s="11" t="n">
        <f aca="false">SUM(K726:Q726)</f>
        <v>99.743</v>
      </c>
      <c r="S726" s="11" t="n">
        <f aca="false">R726/(1-Resumo!$C$6)</f>
        <v>113.344318181818</v>
      </c>
      <c r="T726" s="11" t="n">
        <f aca="false">S726-J726</f>
        <v>36.0443181818182</v>
      </c>
      <c r="U726" s="12" t="n">
        <f aca="false">IFERROR(S726/J726-1,0)</f>
        <v>0.466291308949782</v>
      </c>
      <c r="V726" s="2" t="str">
        <f aca="false">IF(S726&lt;J726,"SIM","NÃO")</f>
        <v>NÃO</v>
      </c>
      <c r="W726" s="2" t="n">
        <v>5</v>
      </c>
      <c r="X726" s="2" t="s">
        <v>156</v>
      </c>
    </row>
    <row r="727" customFormat="false" ht="15" hidden="false" customHeight="false" outlineLevel="0" collapsed="false">
      <c r="A727" s="2" t="n">
        <v>373421050</v>
      </c>
      <c r="B727" s="29" t="n">
        <v>46242.5925925926</v>
      </c>
      <c r="C727" s="2" t="s">
        <v>158</v>
      </c>
      <c r="D727" s="2" t="s">
        <v>903</v>
      </c>
      <c r="E727" s="2" t="s">
        <v>212</v>
      </c>
      <c r="F727" s="2" t="s">
        <v>113</v>
      </c>
      <c r="G727" s="30" t="n">
        <v>117</v>
      </c>
      <c r="H727" s="11" t="n">
        <v>1167</v>
      </c>
      <c r="I727" s="11" t="s">
        <v>350</v>
      </c>
      <c r="J727" s="11" t="n">
        <v>218.98</v>
      </c>
      <c r="K727" s="11" t="n">
        <v>211.59</v>
      </c>
      <c r="L727" s="11" t="n">
        <v>1.167</v>
      </c>
      <c r="M727" s="11" t="n">
        <v>2.334</v>
      </c>
      <c r="N727" s="11" t="n">
        <v>1</v>
      </c>
      <c r="O727" s="11" t="n">
        <v>9</v>
      </c>
      <c r="P727" s="11" t="n">
        <v>7.02</v>
      </c>
      <c r="Q727" s="11" t="n">
        <v>52.65</v>
      </c>
      <c r="R727" s="11" t="n">
        <f aca="false">SUM(K727:Q727)</f>
        <v>284.761</v>
      </c>
      <c r="S727" s="11" t="n">
        <f aca="false">R727/(1-Resumo!$C$6)</f>
        <v>323.592045454545</v>
      </c>
      <c r="T727" s="11" t="n">
        <f aca="false">S727-J727</f>
        <v>104.612045454545</v>
      </c>
      <c r="U727" s="12" t="n">
        <f aca="false">IFERROR(S727/J727-1,0)</f>
        <v>0.477724200632685</v>
      </c>
      <c r="V727" s="2" t="str">
        <f aca="false">IF(S727&lt;J727,"SIM","NÃO")</f>
        <v>NÃO</v>
      </c>
      <c r="W727" s="2" t="n">
        <v>5</v>
      </c>
      <c r="X727" s="2" t="s">
        <v>161</v>
      </c>
    </row>
    <row r="728" customFormat="false" ht="15" hidden="false" customHeight="false" outlineLevel="0" collapsed="false">
      <c r="A728" s="2" t="n">
        <v>373422414</v>
      </c>
      <c r="B728" s="29" t="n">
        <v>46242.5946527778</v>
      </c>
      <c r="C728" s="2" t="s">
        <v>158</v>
      </c>
      <c r="D728" s="2" t="s">
        <v>904</v>
      </c>
      <c r="E728" s="2" t="s">
        <v>90</v>
      </c>
      <c r="F728" s="2" t="s">
        <v>108</v>
      </c>
      <c r="G728" s="30" t="n">
        <v>44.6</v>
      </c>
      <c r="H728" s="11" t="n">
        <v>513.9</v>
      </c>
      <c r="I728" s="11" t="s">
        <v>350</v>
      </c>
      <c r="J728" s="11" t="n">
        <v>130.35</v>
      </c>
      <c r="K728" s="11" t="n">
        <v>114.95</v>
      </c>
      <c r="L728" s="11" t="n">
        <v>0.5139</v>
      </c>
      <c r="M728" s="11" t="n">
        <v>1.0278</v>
      </c>
      <c r="N728" s="11" t="n">
        <v>1</v>
      </c>
      <c r="O728" s="11" t="n">
        <v>4.5</v>
      </c>
      <c r="P728" s="11" t="n">
        <v>2.7</v>
      </c>
      <c r="Q728" s="11" t="n">
        <v>20.25</v>
      </c>
      <c r="R728" s="11" t="n">
        <f aca="false">SUM(K728:Q728)</f>
        <v>144.9417</v>
      </c>
      <c r="S728" s="11" t="n">
        <f aca="false">R728/(1-Resumo!$C$6)</f>
        <v>164.706477272727</v>
      </c>
      <c r="T728" s="11" t="n">
        <f aca="false">S728-J728</f>
        <v>34.3564772727273</v>
      </c>
      <c r="U728" s="12" t="n">
        <f aca="false">IFERROR(S728/J728-1,0)</f>
        <v>0.263570980228057</v>
      </c>
      <c r="V728" s="2" t="str">
        <f aca="false">IF(S728&lt;J728,"SIM","NÃO")</f>
        <v>NÃO</v>
      </c>
      <c r="W728" s="2" t="n">
        <v>7</v>
      </c>
      <c r="X728" s="2" t="s">
        <v>156</v>
      </c>
    </row>
    <row r="729" customFormat="false" ht="15" hidden="false" customHeight="false" outlineLevel="0" collapsed="false">
      <c r="A729" s="2" t="n">
        <v>373424370</v>
      </c>
      <c r="B729" s="29" t="n">
        <v>46242.5980324074</v>
      </c>
      <c r="C729" s="2" t="s">
        <v>153</v>
      </c>
      <c r="D729" s="2" t="s">
        <v>905</v>
      </c>
      <c r="E729" s="2" t="s">
        <v>90</v>
      </c>
      <c r="F729" s="2" t="s">
        <v>109</v>
      </c>
      <c r="G729" s="30" t="n">
        <v>52.3</v>
      </c>
      <c r="H729" s="11" t="n">
        <v>616.99</v>
      </c>
      <c r="I729" s="11" t="s">
        <v>350</v>
      </c>
      <c r="J729" s="11" t="n">
        <v>141.63</v>
      </c>
      <c r="K729" s="11" t="n">
        <v>128.14</v>
      </c>
      <c r="L729" s="11" t="n">
        <v>0.617</v>
      </c>
      <c r="M729" s="11" t="n">
        <v>1.234</v>
      </c>
      <c r="N729" s="11" t="n">
        <v>1</v>
      </c>
      <c r="O729" s="11" t="n">
        <v>4.5</v>
      </c>
      <c r="P729" s="11" t="n">
        <v>3.18</v>
      </c>
      <c r="Q729" s="11" t="n">
        <v>23.85</v>
      </c>
      <c r="R729" s="11" t="n">
        <f aca="false">SUM(K729:Q729)</f>
        <v>162.521</v>
      </c>
      <c r="S729" s="11" t="n">
        <f aca="false">R729/(1-Resumo!$C$6)</f>
        <v>184.682954545455</v>
      </c>
      <c r="T729" s="11" t="n">
        <f aca="false">S729-J729</f>
        <v>43.0529545454545</v>
      </c>
      <c r="U729" s="12" t="n">
        <f aca="false">IFERROR(S729/J729-1,0)</f>
        <v>0.303981886220819</v>
      </c>
      <c r="V729" s="2" t="str">
        <f aca="false">IF(S729&lt;J729,"SIM","NÃO")</f>
        <v>NÃO</v>
      </c>
      <c r="W729" s="2" t="n">
        <v>7</v>
      </c>
      <c r="X729" s="2" t="s">
        <v>156</v>
      </c>
    </row>
    <row r="730" customFormat="false" ht="15" hidden="false" customHeight="false" outlineLevel="0" collapsed="false">
      <c r="A730" s="2" t="n">
        <v>373434452</v>
      </c>
      <c r="B730" s="29" t="n">
        <v>46242.6135185185</v>
      </c>
      <c r="C730" s="2" t="s">
        <v>153</v>
      </c>
      <c r="D730" s="2" t="s">
        <v>906</v>
      </c>
      <c r="E730" s="2" t="s">
        <v>164</v>
      </c>
      <c r="F730" s="2" t="s">
        <v>107</v>
      </c>
      <c r="G730" s="30" t="n">
        <v>37.5</v>
      </c>
      <c r="H730" s="11" t="n">
        <v>459.99</v>
      </c>
      <c r="I730" s="11" t="s">
        <v>350</v>
      </c>
      <c r="J730" s="11" t="n">
        <v>114.17</v>
      </c>
      <c r="K730" s="11" t="n">
        <v>93.97</v>
      </c>
      <c r="L730" s="11" t="n">
        <v>0.46</v>
      </c>
      <c r="M730" s="11" t="n">
        <v>0.92</v>
      </c>
      <c r="N730" s="11" t="n">
        <v>1</v>
      </c>
      <c r="O730" s="11" t="n">
        <v>4.5</v>
      </c>
      <c r="P730" s="11" t="n">
        <v>2.28</v>
      </c>
      <c r="Q730" s="11" t="n">
        <v>17.1</v>
      </c>
      <c r="R730" s="11" t="n">
        <f aca="false">SUM(K730:Q730)</f>
        <v>120.23</v>
      </c>
      <c r="S730" s="11" t="n">
        <f aca="false">R730/(1-Resumo!$C$6)</f>
        <v>136.625</v>
      </c>
      <c r="T730" s="11" t="n">
        <f aca="false">S730-J730</f>
        <v>22.455</v>
      </c>
      <c r="U730" s="12" t="n">
        <f aca="false">IFERROR(S730/J730-1,0)</f>
        <v>0.196680388893755</v>
      </c>
      <c r="V730" s="2" t="str">
        <f aca="false">IF(S730&lt;J730,"SIM","NÃO")</f>
        <v>NÃO</v>
      </c>
      <c r="W730" s="2" t="n">
        <v>5</v>
      </c>
      <c r="X730" s="2" t="s">
        <v>161</v>
      </c>
    </row>
    <row r="731" customFormat="false" ht="15" hidden="false" customHeight="false" outlineLevel="0" collapsed="false">
      <c r="A731" s="2" t="n">
        <v>373442071</v>
      </c>
      <c r="B731" s="29" t="n">
        <v>46242.6252662037</v>
      </c>
      <c r="C731" s="2" t="s">
        <v>158</v>
      </c>
      <c r="D731" s="2" t="s">
        <v>907</v>
      </c>
      <c r="E731" s="2" t="s">
        <v>78</v>
      </c>
      <c r="F731" s="2" t="s">
        <v>109</v>
      </c>
      <c r="G731" s="30" t="n">
        <v>54</v>
      </c>
      <c r="H731" s="11" t="n">
        <v>892</v>
      </c>
      <c r="I731" s="11" t="s">
        <v>155</v>
      </c>
      <c r="J731" s="11" t="n">
        <v>115.41</v>
      </c>
      <c r="K731" s="11" t="n">
        <v>112.3</v>
      </c>
      <c r="L731" s="11" t="n">
        <v>0.892</v>
      </c>
      <c r="M731" s="11" t="n">
        <v>1.784</v>
      </c>
      <c r="N731" s="11" t="n">
        <v>1</v>
      </c>
      <c r="O731" s="11" t="n">
        <v>4.5</v>
      </c>
      <c r="P731" s="11" t="n">
        <v>3.24</v>
      </c>
      <c r="Q731" s="11" t="n">
        <v>24.3</v>
      </c>
      <c r="R731" s="11" t="n">
        <f aca="false">SUM(K731:Q731)</f>
        <v>148.016</v>
      </c>
      <c r="S731" s="11" t="n">
        <f aca="false">R731/(1-Resumo!$C$6)</f>
        <v>168.2</v>
      </c>
      <c r="T731" s="11" t="n">
        <f aca="false">S731-J731</f>
        <v>52.79</v>
      </c>
      <c r="U731" s="12" t="n">
        <f aca="false">IFERROR(S731/J731-1,0)</f>
        <v>0.457412702538775</v>
      </c>
      <c r="V731" s="2" t="str">
        <f aca="false">IF(S731&lt;J731,"SIM","NÃO")</f>
        <v>NÃO</v>
      </c>
      <c r="W731" s="2" t="n">
        <v>5</v>
      </c>
      <c r="X731" s="2" t="s">
        <v>156</v>
      </c>
    </row>
    <row r="732" customFormat="false" ht="15" hidden="false" customHeight="false" outlineLevel="0" collapsed="false">
      <c r="A732" s="2" t="n">
        <v>373449576</v>
      </c>
      <c r="B732" s="29" t="n">
        <v>46242.638599537</v>
      </c>
      <c r="C732" s="2" t="s">
        <v>153</v>
      </c>
      <c r="D732" s="2" t="s">
        <v>908</v>
      </c>
      <c r="E732" s="2" t="s">
        <v>78</v>
      </c>
      <c r="F732" s="2" t="s">
        <v>105</v>
      </c>
      <c r="G732" s="30" t="n">
        <v>19.9</v>
      </c>
      <c r="H732" s="11" t="n">
        <v>299.99</v>
      </c>
      <c r="I732" s="11" t="s">
        <v>155</v>
      </c>
      <c r="J732" s="11" t="n">
        <v>64.66</v>
      </c>
      <c r="K732" s="11" t="n">
        <v>46.98</v>
      </c>
      <c r="L732" s="11" t="n">
        <v>0.3</v>
      </c>
      <c r="M732" s="11" t="n">
        <v>0.6</v>
      </c>
      <c r="N732" s="11" t="n">
        <v>1</v>
      </c>
      <c r="O732" s="11" t="n">
        <v>4.5</v>
      </c>
      <c r="P732" s="11" t="n">
        <v>1.2</v>
      </c>
      <c r="Q732" s="11" t="n">
        <v>9</v>
      </c>
      <c r="R732" s="11" t="n">
        <f aca="false">SUM(K732:Q732)</f>
        <v>63.58</v>
      </c>
      <c r="S732" s="11" t="n">
        <f aca="false">R732/(1-Resumo!$C$6)</f>
        <v>72.25</v>
      </c>
      <c r="T732" s="11" t="n">
        <f aca="false">S732-J732</f>
        <v>7.59</v>
      </c>
      <c r="U732" s="12" t="n">
        <f aca="false">IFERROR(S732/J732-1,0)</f>
        <v>0.117383235385091</v>
      </c>
      <c r="V732" s="2" t="str">
        <f aca="false">IF(S732&lt;J732,"SIM","NÃO")</f>
        <v>NÃO</v>
      </c>
      <c r="W732" s="2" t="n">
        <v>5</v>
      </c>
      <c r="X732" s="2" t="s">
        <v>156</v>
      </c>
    </row>
    <row r="733" customFormat="false" ht="15" hidden="false" customHeight="false" outlineLevel="0" collapsed="false">
      <c r="A733" s="2" t="n">
        <v>373451073</v>
      </c>
      <c r="B733" s="29" t="n">
        <v>46242.64125</v>
      </c>
      <c r="C733" s="2" t="s">
        <v>153</v>
      </c>
      <c r="D733" s="2" t="s">
        <v>909</v>
      </c>
      <c r="E733" s="2" t="s">
        <v>78</v>
      </c>
      <c r="F733" s="2" t="s">
        <v>109</v>
      </c>
      <c r="G733" s="30" t="n">
        <v>60</v>
      </c>
      <c r="H733" s="11" t="n">
        <v>828</v>
      </c>
      <c r="I733" s="11" t="s">
        <v>155</v>
      </c>
      <c r="J733" s="11" t="n">
        <v>115.12</v>
      </c>
      <c r="K733" s="11" t="n">
        <v>112.3</v>
      </c>
      <c r="L733" s="11" t="n">
        <v>0.828</v>
      </c>
      <c r="M733" s="11" t="n">
        <v>1.656</v>
      </c>
      <c r="N733" s="11" t="n">
        <v>1</v>
      </c>
      <c r="O733" s="11" t="n">
        <v>4.5</v>
      </c>
      <c r="P733" s="11" t="n">
        <v>3.6</v>
      </c>
      <c r="Q733" s="11" t="n">
        <v>27</v>
      </c>
      <c r="R733" s="11" t="n">
        <f aca="false">SUM(K733:Q733)</f>
        <v>150.884</v>
      </c>
      <c r="S733" s="11" t="n">
        <f aca="false">R733/(1-Resumo!$C$6)</f>
        <v>171.459090909091</v>
      </c>
      <c r="T733" s="11" t="n">
        <f aca="false">S733-J733</f>
        <v>56.3390909090909</v>
      </c>
      <c r="U733" s="12" t="n">
        <f aca="false">IFERROR(S733/J733-1,0)</f>
        <v>0.489394465853813</v>
      </c>
      <c r="V733" s="2" t="str">
        <f aca="false">IF(S733&lt;J733,"SIM","NÃO")</f>
        <v>NÃO</v>
      </c>
      <c r="W733" s="2" t="n">
        <v>5</v>
      </c>
      <c r="X733" s="2" t="s">
        <v>156</v>
      </c>
    </row>
    <row r="734" customFormat="false" ht="15" hidden="false" customHeight="false" outlineLevel="0" collapsed="false">
      <c r="A734" s="2" t="n">
        <v>373451868</v>
      </c>
      <c r="B734" s="29" t="n">
        <v>46242.6427430556</v>
      </c>
      <c r="C734" s="2" t="s">
        <v>153</v>
      </c>
      <c r="D734" s="2" t="s">
        <v>910</v>
      </c>
      <c r="E734" s="2" t="s">
        <v>78</v>
      </c>
      <c r="F734" s="2" t="s">
        <v>105</v>
      </c>
      <c r="G734" s="30" t="n">
        <v>17.2</v>
      </c>
      <c r="H734" s="11" t="n">
        <v>249.99</v>
      </c>
      <c r="I734" s="11" t="s">
        <v>350</v>
      </c>
      <c r="J734" s="11" t="n">
        <v>64.95</v>
      </c>
      <c r="K734" s="11" t="n">
        <v>46.98</v>
      </c>
      <c r="L734" s="11" t="n">
        <v>0.25</v>
      </c>
      <c r="M734" s="11" t="n">
        <v>0.5</v>
      </c>
      <c r="N734" s="11" t="n">
        <v>1</v>
      </c>
      <c r="O734" s="11" t="n">
        <v>4.5</v>
      </c>
      <c r="P734" s="11" t="n">
        <v>1.08</v>
      </c>
      <c r="Q734" s="11" t="n">
        <v>8.1</v>
      </c>
      <c r="R734" s="11" t="n">
        <f aca="false">SUM(K734:Q734)</f>
        <v>62.41</v>
      </c>
      <c r="S734" s="11" t="n">
        <f aca="false">R734/(1-Resumo!$C$6)</f>
        <v>70.9204545454546</v>
      </c>
      <c r="T734" s="11" t="n">
        <f aca="false">S734-J734</f>
        <v>5.97045454545454</v>
      </c>
      <c r="U734" s="12" t="n">
        <f aca="false">IFERROR(S734/J734-1,0)</f>
        <v>0.0919238575127721</v>
      </c>
      <c r="V734" s="2" t="str">
        <f aca="false">IF(S734&lt;J734,"SIM","NÃO")</f>
        <v>NÃO</v>
      </c>
      <c r="W734" s="2" t="n">
        <v>5</v>
      </c>
      <c r="X734" s="2" t="s">
        <v>156</v>
      </c>
    </row>
    <row r="735" customFormat="false" ht="15" hidden="false" customHeight="false" outlineLevel="0" collapsed="false">
      <c r="A735" s="2" t="n">
        <v>373454518</v>
      </c>
      <c r="B735" s="29" t="n">
        <v>46242.6472685185</v>
      </c>
      <c r="C735" s="2" t="s">
        <v>158</v>
      </c>
      <c r="D735" s="2" t="s">
        <v>911</v>
      </c>
      <c r="E735" s="2" t="s">
        <v>78</v>
      </c>
      <c r="F735" s="2" t="s">
        <v>114</v>
      </c>
      <c r="G735" s="30" t="n">
        <v>124.2</v>
      </c>
      <c r="H735" s="11" t="n">
        <v>1597.99</v>
      </c>
      <c r="I735" s="11" t="s">
        <v>350</v>
      </c>
      <c r="J735" s="11" t="n">
        <v>226.37</v>
      </c>
      <c r="K735" s="11" t="n">
        <v>239.25</v>
      </c>
      <c r="L735" s="11" t="n">
        <v>1.598</v>
      </c>
      <c r="M735" s="11" t="n">
        <v>3.196</v>
      </c>
      <c r="N735" s="11" t="n">
        <v>1</v>
      </c>
      <c r="O735" s="11" t="n">
        <v>9</v>
      </c>
      <c r="P735" s="11" t="n">
        <v>7.5</v>
      </c>
      <c r="Q735" s="11" t="n">
        <v>56.25</v>
      </c>
      <c r="R735" s="11" t="n">
        <f aca="false">SUM(K735:Q735)</f>
        <v>317.794</v>
      </c>
      <c r="S735" s="11" t="n">
        <f aca="false">R735/(1-Resumo!$C$6)</f>
        <v>361.129545454545</v>
      </c>
      <c r="T735" s="11" t="n">
        <f aca="false">S735-J735</f>
        <v>134.759545454545</v>
      </c>
      <c r="U735" s="12" t="n">
        <f aca="false">IFERROR(S735/J735-1,0)</f>
        <v>0.595306557646974</v>
      </c>
      <c r="V735" s="2" t="str">
        <f aca="false">IF(S735&lt;J735,"SIM","NÃO")</f>
        <v>NÃO</v>
      </c>
      <c r="W735" s="2" t="n">
        <v>5</v>
      </c>
      <c r="X735" s="2" t="s">
        <v>156</v>
      </c>
    </row>
    <row r="736" customFormat="false" ht="15" hidden="false" customHeight="false" outlineLevel="0" collapsed="false">
      <c r="A736" s="2" t="n">
        <v>373458394</v>
      </c>
      <c r="B736" s="29" t="n">
        <v>46242.6541898148</v>
      </c>
      <c r="C736" s="2" t="s">
        <v>158</v>
      </c>
      <c r="D736" s="2" t="s">
        <v>912</v>
      </c>
      <c r="E736" s="2" t="s">
        <v>87</v>
      </c>
      <c r="F736" s="2" t="s">
        <v>113</v>
      </c>
      <c r="G736" s="30" t="n">
        <v>109.7</v>
      </c>
      <c r="H736" s="11" t="n">
        <v>1263.12</v>
      </c>
      <c r="I736" s="11" t="s">
        <v>350</v>
      </c>
      <c r="J736" s="11" t="n">
        <v>215.85</v>
      </c>
      <c r="K736" s="11" t="n">
        <v>236.82</v>
      </c>
      <c r="L736" s="11" t="n">
        <v>1.2631</v>
      </c>
      <c r="M736" s="11" t="n">
        <v>2.5262</v>
      </c>
      <c r="N736" s="11" t="n">
        <v>1</v>
      </c>
      <c r="O736" s="11" t="n">
        <v>9</v>
      </c>
      <c r="P736" s="11" t="n">
        <v>6.6</v>
      </c>
      <c r="Q736" s="11" t="n">
        <v>49.5</v>
      </c>
      <c r="R736" s="11" t="n">
        <f aca="false">SUM(K736:Q736)</f>
        <v>306.7093</v>
      </c>
      <c r="S736" s="11" t="n">
        <f aca="false">R736/(1-Resumo!$C$6)</f>
        <v>348.533295454545</v>
      </c>
      <c r="T736" s="11" t="n">
        <f aca="false">S736-J736</f>
        <v>132.683295454545</v>
      </c>
      <c r="U736" s="12" t="n">
        <f aca="false">IFERROR(S736/J736-1,0)</f>
        <v>0.614701391959905</v>
      </c>
      <c r="V736" s="2" t="str">
        <f aca="false">IF(S736&lt;J736,"SIM","NÃO")</f>
        <v>NÃO</v>
      </c>
      <c r="W736" s="2" t="n">
        <v>10</v>
      </c>
      <c r="X736" s="2" t="s">
        <v>156</v>
      </c>
    </row>
    <row r="737" customFormat="false" ht="15" hidden="false" customHeight="false" outlineLevel="0" collapsed="false">
      <c r="A737" s="2" t="n">
        <v>373458630</v>
      </c>
      <c r="B737" s="29" t="n">
        <v>46242.6546643519</v>
      </c>
      <c r="C737" s="2" t="s">
        <v>153</v>
      </c>
      <c r="D737" s="2" t="s">
        <v>913</v>
      </c>
      <c r="E737" s="2" t="s">
        <v>164</v>
      </c>
      <c r="F737" s="2" t="s">
        <v>110</v>
      </c>
      <c r="G737" s="30" t="n">
        <v>63.9</v>
      </c>
      <c r="H737" s="11" t="n">
        <v>717.6</v>
      </c>
      <c r="I737" s="11" t="s">
        <v>350</v>
      </c>
      <c r="J737" s="11" t="n">
        <v>139.74</v>
      </c>
      <c r="K737" s="11" t="n">
        <v>131.02</v>
      </c>
      <c r="L737" s="11" t="n">
        <v>0.7176</v>
      </c>
      <c r="M737" s="11" t="n">
        <v>1.4352</v>
      </c>
      <c r="N737" s="11" t="n">
        <v>1</v>
      </c>
      <c r="O737" s="11" t="n">
        <v>4.5</v>
      </c>
      <c r="P737" s="11" t="n">
        <v>3.84</v>
      </c>
      <c r="Q737" s="11" t="n">
        <v>28.8</v>
      </c>
      <c r="R737" s="11" t="n">
        <f aca="false">SUM(K737:Q737)</f>
        <v>171.3128</v>
      </c>
      <c r="S737" s="11" t="n">
        <f aca="false">R737/(1-Resumo!$C$6)</f>
        <v>194.673636363636</v>
      </c>
      <c r="T737" s="11" t="n">
        <f aca="false">S737-J737</f>
        <v>54.9336363636364</v>
      </c>
      <c r="U737" s="12" t="n">
        <f aca="false">IFERROR(S737/J737-1,0)</f>
        <v>0.39311318422525</v>
      </c>
      <c r="V737" s="2" t="str">
        <f aca="false">IF(S737&lt;J737,"SIM","NÃO")</f>
        <v>NÃO</v>
      </c>
      <c r="W737" s="2" t="n">
        <v>5</v>
      </c>
      <c r="X737" s="2" t="s">
        <v>161</v>
      </c>
    </row>
    <row r="738" customFormat="false" ht="15" hidden="false" customHeight="false" outlineLevel="0" collapsed="false">
      <c r="A738" s="2" t="n">
        <v>373458784</v>
      </c>
      <c r="B738" s="29" t="n">
        <v>46242.6550115741</v>
      </c>
      <c r="C738" s="2" t="s">
        <v>153</v>
      </c>
      <c r="D738" s="2" t="s">
        <v>914</v>
      </c>
      <c r="E738" s="2" t="s">
        <v>80</v>
      </c>
      <c r="F738" s="2" t="s">
        <v>109</v>
      </c>
      <c r="G738" s="30" t="n">
        <v>56.7</v>
      </c>
      <c r="H738" s="11" t="n">
        <v>690.99</v>
      </c>
      <c r="I738" s="11" t="s">
        <v>155</v>
      </c>
      <c r="J738" s="11" t="n">
        <v>128.59</v>
      </c>
      <c r="K738" s="11" t="n">
        <v>112.3</v>
      </c>
      <c r="L738" s="11" t="n">
        <v>0.691</v>
      </c>
      <c r="M738" s="11" t="n">
        <v>1.382</v>
      </c>
      <c r="N738" s="11" t="n">
        <v>1</v>
      </c>
      <c r="O738" s="11" t="n">
        <v>4.5</v>
      </c>
      <c r="P738" s="11" t="n">
        <v>3.42</v>
      </c>
      <c r="Q738" s="11" t="n">
        <v>25.65</v>
      </c>
      <c r="R738" s="11" t="n">
        <f aca="false">SUM(K738:Q738)</f>
        <v>148.943</v>
      </c>
      <c r="S738" s="11" t="n">
        <f aca="false">R738/(1-Resumo!$C$6)</f>
        <v>169.253409090909</v>
      </c>
      <c r="T738" s="11" t="n">
        <f aca="false">S738-J738</f>
        <v>40.6634090909091</v>
      </c>
      <c r="U738" s="12" t="n">
        <f aca="false">IFERROR(S738/J738-1,0)</f>
        <v>0.316225282610693</v>
      </c>
      <c r="V738" s="2" t="str">
        <f aca="false">IF(S738&lt;J738,"SIM","NÃO")</f>
        <v>NÃO</v>
      </c>
      <c r="W738" s="2" t="n">
        <v>5</v>
      </c>
      <c r="X738" s="2" t="s">
        <v>156</v>
      </c>
    </row>
    <row r="739" customFormat="false" ht="15" hidden="false" customHeight="false" outlineLevel="0" collapsed="false">
      <c r="A739" s="2" t="n">
        <v>373461126</v>
      </c>
      <c r="B739" s="29" t="n">
        <v>46242.6593171296</v>
      </c>
      <c r="C739" s="2" t="s">
        <v>153</v>
      </c>
      <c r="D739" s="2" t="s">
        <v>915</v>
      </c>
      <c r="E739" s="2" t="s">
        <v>83</v>
      </c>
      <c r="F739" s="2" t="s">
        <v>106</v>
      </c>
      <c r="G739" s="30" t="n">
        <v>33</v>
      </c>
      <c r="H739" s="11" t="n">
        <v>450.99</v>
      </c>
      <c r="I739" s="11" t="s">
        <v>350</v>
      </c>
      <c r="J739" s="11" t="n">
        <v>110.2</v>
      </c>
      <c r="K739" s="11" t="n">
        <v>138.29</v>
      </c>
      <c r="L739" s="11" t="n">
        <v>0.451</v>
      </c>
      <c r="M739" s="11" t="n">
        <v>0.902</v>
      </c>
      <c r="N739" s="11" t="n">
        <v>1</v>
      </c>
      <c r="O739" s="11" t="n">
        <v>4.5</v>
      </c>
      <c r="P739" s="11" t="n">
        <v>1.98</v>
      </c>
      <c r="Q739" s="11" t="n">
        <v>14.85</v>
      </c>
      <c r="R739" s="11" t="n">
        <f aca="false">SUM(K739:Q739)</f>
        <v>161.973</v>
      </c>
      <c r="S739" s="11" t="n">
        <f aca="false">R739/(1-Resumo!$C$6)</f>
        <v>184.060227272727</v>
      </c>
      <c r="T739" s="11" t="n">
        <f aca="false">S739-J739</f>
        <v>73.8602272727272</v>
      </c>
      <c r="U739" s="12" t="n">
        <f aca="false">IFERROR(S739/J739-1,0)</f>
        <v>0.670237997030193</v>
      </c>
      <c r="V739" s="2" t="str">
        <f aca="false">IF(S739&lt;J739,"SIM","NÃO")</f>
        <v>NÃO</v>
      </c>
      <c r="W739" s="2" t="n">
        <v>11</v>
      </c>
      <c r="X739" s="2" t="s">
        <v>156</v>
      </c>
    </row>
    <row r="740" customFormat="false" ht="15" hidden="false" customHeight="false" outlineLevel="0" collapsed="false">
      <c r="A740" s="2" t="n">
        <v>373464905</v>
      </c>
      <c r="B740" s="29" t="n">
        <v>46242.6662268519</v>
      </c>
      <c r="C740" s="2" t="s">
        <v>153</v>
      </c>
      <c r="D740" s="2" t="s">
        <v>916</v>
      </c>
      <c r="E740" s="2" t="s">
        <v>80</v>
      </c>
      <c r="F740" s="2" t="s">
        <v>109</v>
      </c>
      <c r="G740" s="30" t="n">
        <v>59.9</v>
      </c>
      <c r="H740" s="11" t="n">
        <v>874</v>
      </c>
      <c r="I740" s="11" t="s">
        <v>155</v>
      </c>
      <c r="J740" s="11" t="n">
        <v>129.48</v>
      </c>
      <c r="K740" s="11" t="n">
        <v>112.3</v>
      </c>
      <c r="L740" s="11" t="n">
        <v>0.874</v>
      </c>
      <c r="M740" s="11" t="n">
        <v>1.748</v>
      </c>
      <c r="N740" s="11" t="n">
        <v>1</v>
      </c>
      <c r="O740" s="11" t="n">
        <v>4.5</v>
      </c>
      <c r="P740" s="11" t="n">
        <v>3.6</v>
      </c>
      <c r="Q740" s="11" t="n">
        <v>27</v>
      </c>
      <c r="R740" s="11" t="n">
        <f aca="false">SUM(K740:Q740)</f>
        <v>151.022</v>
      </c>
      <c r="S740" s="11" t="n">
        <f aca="false">R740/(1-Resumo!$C$6)</f>
        <v>171.615909090909</v>
      </c>
      <c r="T740" s="11" t="n">
        <f aca="false">S740-J740</f>
        <v>42.1359090909091</v>
      </c>
      <c r="U740" s="12" t="n">
        <f aca="false">IFERROR(S740/J740-1,0)</f>
        <v>0.32542407391805</v>
      </c>
      <c r="V740" s="2" t="str">
        <f aca="false">IF(S740&lt;J740,"SIM","NÃO")</f>
        <v>NÃO</v>
      </c>
      <c r="W740" s="2" t="n">
        <v>5</v>
      </c>
      <c r="X740" s="2" t="s">
        <v>156</v>
      </c>
    </row>
    <row r="741" customFormat="false" ht="15" hidden="false" customHeight="false" outlineLevel="0" collapsed="false">
      <c r="A741" s="2" t="n">
        <v>373466821</v>
      </c>
      <c r="B741" s="29" t="n">
        <v>46242.6695023148</v>
      </c>
      <c r="C741" s="2" t="s">
        <v>153</v>
      </c>
      <c r="D741" s="2" t="s">
        <v>917</v>
      </c>
      <c r="E741" s="2" t="s">
        <v>97</v>
      </c>
      <c r="F741" s="2" t="s">
        <v>106</v>
      </c>
      <c r="G741" s="30" t="n">
        <v>33</v>
      </c>
      <c r="H741" s="11" t="n">
        <v>450.99</v>
      </c>
      <c r="I741" s="11" t="s">
        <v>350</v>
      </c>
      <c r="J741" s="11" t="n">
        <v>110.2</v>
      </c>
      <c r="K741" s="11" t="n">
        <v>114.95</v>
      </c>
      <c r="L741" s="11" t="n">
        <v>0.451</v>
      </c>
      <c r="M741" s="11" t="n">
        <v>0.902</v>
      </c>
      <c r="N741" s="11" t="n">
        <v>1</v>
      </c>
      <c r="O741" s="11" t="n">
        <v>4.5</v>
      </c>
      <c r="P741" s="11" t="n">
        <v>1.98</v>
      </c>
      <c r="Q741" s="11" t="n">
        <v>14.85</v>
      </c>
      <c r="R741" s="11" t="n">
        <f aca="false">SUM(K741:Q741)</f>
        <v>138.633</v>
      </c>
      <c r="S741" s="11" t="n">
        <f aca="false">R741/(1-Resumo!$C$6)</f>
        <v>157.5375</v>
      </c>
      <c r="T741" s="11" t="n">
        <f aca="false">S741-J741</f>
        <v>47.3375</v>
      </c>
      <c r="U741" s="12" t="n">
        <f aca="false">IFERROR(S741/J741-1,0)</f>
        <v>0.429559891107078</v>
      </c>
      <c r="V741" s="2" t="str">
        <f aca="false">IF(S741&lt;J741,"SIM","NÃO")</f>
        <v>NÃO</v>
      </c>
      <c r="W741" s="2" t="n">
        <v>10</v>
      </c>
      <c r="X741" s="2" t="s">
        <v>156</v>
      </c>
    </row>
    <row r="742" customFormat="false" ht="15" hidden="false" customHeight="false" outlineLevel="0" collapsed="false">
      <c r="A742" s="2" t="n">
        <v>373473173</v>
      </c>
      <c r="B742" s="29" t="n">
        <v>46242.6801041667</v>
      </c>
      <c r="C742" s="2" t="s">
        <v>153</v>
      </c>
      <c r="D742" s="2" t="s">
        <v>918</v>
      </c>
      <c r="E742" s="2" t="s">
        <v>78</v>
      </c>
      <c r="F742" s="2" t="s">
        <v>107</v>
      </c>
      <c r="G742" s="30" t="n">
        <v>37.2</v>
      </c>
      <c r="H742" s="11" t="n">
        <v>360.99</v>
      </c>
      <c r="I742" s="11" t="s">
        <v>155</v>
      </c>
      <c r="J742" s="11" t="n">
        <v>91.58</v>
      </c>
      <c r="K742" s="11" t="n">
        <v>93.97</v>
      </c>
      <c r="L742" s="11" t="n">
        <v>0.361</v>
      </c>
      <c r="M742" s="11" t="n">
        <v>0.722</v>
      </c>
      <c r="N742" s="11" t="n">
        <v>1</v>
      </c>
      <c r="O742" s="11" t="n">
        <v>4.5</v>
      </c>
      <c r="P742" s="11" t="n">
        <v>2.28</v>
      </c>
      <c r="Q742" s="11" t="n">
        <v>17.1</v>
      </c>
      <c r="R742" s="11" t="n">
        <f aca="false">SUM(K742:Q742)</f>
        <v>119.933</v>
      </c>
      <c r="S742" s="11" t="n">
        <f aca="false">R742/(1-Resumo!$C$6)</f>
        <v>136.2875</v>
      </c>
      <c r="T742" s="11" t="n">
        <f aca="false">S742-J742</f>
        <v>44.7075</v>
      </c>
      <c r="U742" s="12" t="n">
        <f aca="false">IFERROR(S742/J742-1,0)</f>
        <v>0.488179733566281</v>
      </c>
      <c r="V742" s="2" t="str">
        <f aca="false">IF(S742&lt;J742,"SIM","NÃO")</f>
        <v>NÃO</v>
      </c>
      <c r="W742" s="2" t="n">
        <v>5</v>
      </c>
      <c r="X742" s="2" t="s">
        <v>156</v>
      </c>
    </row>
    <row r="743" customFormat="false" ht="15" hidden="false" customHeight="false" outlineLevel="0" collapsed="false">
      <c r="A743" s="2" t="n">
        <v>373474766</v>
      </c>
      <c r="B743" s="29" t="n">
        <v>46242.6831018519</v>
      </c>
      <c r="C743" s="2" t="s">
        <v>153</v>
      </c>
      <c r="D743" s="2" t="s">
        <v>536</v>
      </c>
      <c r="E743" s="2" t="s">
        <v>537</v>
      </c>
      <c r="F743" s="2" t="s">
        <v>108</v>
      </c>
      <c r="G743" s="30" t="n">
        <v>48.3</v>
      </c>
      <c r="H743" s="11" t="n">
        <v>439.99</v>
      </c>
      <c r="I743" s="11" t="s">
        <v>350</v>
      </c>
      <c r="J743" s="11" t="n">
        <v>132.03</v>
      </c>
      <c r="K743" s="11" t="n">
        <v>152.54</v>
      </c>
      <c r="L743" s="11" t="n">
        <v>0.44</v>
      </c>
      <c r="M743" s="11" t="n">
        <v>0.88</v>
      </c>
      <c r="N743" s="11" t="n">
        <v>1</v>
      </c>
      <c r="O743" s="11" t="n">
        <v>4.5</v>
      </c>
      <c r="P743" s="11" t="n">
        <v>2.94</v>
      </c>
      <c r="Q743" s="11" t="n">
        <v>22.05</v>
      </c>
      <c r="R743" s="11" t="n">
        <f aca="false">SUM(K743:Q743)</f>
        <v>184.35</v>
      </c>
      <c r="S743" s="11" t="n">
        <f aca="false">R743/(1-Resumo!$C$6)</f>
        <v>209.488636363636</v>
      </c>
      <c r="T743" s="11" t="n">
        <f aca="false">S743-J743</f>
        <v>77.4586363636363</v>
      </c>
      <c r="U743" s="12" t="n">
        <f aca="false">IFERROR(S743/J743-1,0)</f>
        <v>0.586674516122369</v>
      </c>
      <c r="V743" s="2" t="str">
        <f aca="false">IF(S743&lt;J743,"SIM","NÃO")</f>
        <v>NÃO</v>
      </c>
      <c r="W743" s="2" t="n">
        <v>11</v>
      </c>
      <c r="X743" s="2" t="s">
        <v>161</v>
      </c>
    </row>
    <row r="744" customFormat="false" ht="15" hidden="false" customHeight="false" outlineLevel="0" collapsed="false">
      <c r="A744" s="2" t="n">
        <v>373475423</v>
      </c>
      <c r="B744" s="29" t="n">
        <v>46242.6841319444</v>
      </c>
      <c r="C744" s="2" t="s">
        <v>153</v>
      </c>
      <c r="D744" s="2" t="s">
        <v>919</v>
      </c>
      <c r="E744" s="2" t="s">
        <v>78</v>
      </c>
      <c r="F744" s="2" t="s">
        <v>107</v>
      </c>
      <c r="G744" s="30" t="n">
        <v>36.8</v>
      </c>
      <c r="H744" s="11" t="n">
        <v>396.99</v>
      </c>
      <c r="I744" s="11" t="s">
        <v>155</v>
      </c>
      <c r="J744" s="11" t="n">
        <v>91.75</v>
      </c>
      <c r="K744" s="11" t="n">
        <v>93.97</v>
      </c>
      <c r="L744" s="11" t="n">
        <v>0.397</v>
      </c>
      <c r="M744" s="11" t="n">
        <v>0.794</v>
      </c>
      <c r="N744" s="11" t="n">
        <v>1</v>
      </c>
      <c r="O744" s="11" t="n">
        <v>4.5</v>
      </c>
      <c r="P744" s="11" t="n">
        <v>2.22</v>
      </c>
      <c r="Q744" s="11" t="n">
        <v>16.65</v>
      </c>
      <c r="R744" s="11" t="n">
        <f aca="false">SUM(K744:Q744)</f>
        <v>119.531</v>
      </c>
      <c r="S744" s="11" t="n">
        <f aca="false">R744/(1-Resumo!$C$6)</f>
        <v>135.830681818182</v>
      </c>
      <c r="T744" s="11" t="n">
        <f aca="false">S744-J744</f>
        <v>44.0806818181818</v>
      </c>
      <c r="U744" s="12" t="n">
        <f aca="false">IFERROR(S744/J744-1,0)</f>
        <v>0.48044339856329</v>
      </c>
      <c r="V744" s="2" t="str">
        <f aca="false">IF(S744&lt;J744,"SIM","NÃO")</f>
        <v>NÃO</v>
      </c>
      <c r="W744" s="2" t="n">
        <v>5</v>
      </c>
      <c r="X744" s="2" t="s">
        <v>156</v>
      </c>
    </row>
    <row r="745" customFormat="false" ht="15" hidden="false" customHeight="false" outlineLevel="0" collapsed="false">
      <c r="A745" s="2" t="n">
        <v>373483813</v>
      </c>
      <c r="B745" s="29" t="n">
        <v>46242.6987615741</v>
      </c>
      <c r="C745" s="2" t="s">
        <v>153</v>
      </c>
      <c r="D745" s="2" t="s">
        <v>920</v>
      </c>
      <c r="E745" s="2" t="s">
        <v>78</v>
      </c>
      <c r="F745" s="2" t="s">
        <v>109</v>
      </c>
      <c r="G745" s="30" t="n">
        <v>52.3</v>
      </c>
      <c r="H745" s="11" t="n">
        <v>616.99</v>
      </c>
      <c r="I745" s="11" t="s">
        <v>155</v>
      </c>
      <c r="J745" s="11" t="n">
        <v>114.09</v>
      </c>
      <c r="K745" s="11" t="n">
        <v>112.3</v>
      </c>
      <c r="L745" s="11" t="n">
        <v>0.617</v>
      </c>
      <c r="M745" s="11" t="n">
        <v>1.234</v>
      </c>
      <c r="N745" s="11" t="n">
        <v>1</v>
      </c>
      <c r="O745" s="11" t="n">
        <v>4.5</v>
      </c>
      <c r="P745" s="11" t="n">
        <v>3.18</v>
      </c>
      <c r="Q745" s="11" t="n">
        <v>23.85</v>
      </c>
      <c r="R745" s="11" t="n">
        <f aca="false">SUM(K745:Q745)</f>
        <v>146.681</v>
      </c>
      <c r="S745" s="11" t="n">
        <f aca="false">R745/(1-Resumo!$C$6)</f>
        <v>166.682954545455</v>
      </c>
      <c r="T745" s="11" t="n">
        <f aca="false">S745-J745</f>
        <v>52.5929545454545</v>
      </c>
      <c r="U745" s="12" t="n">
        <f aca="false">IFERROR(S745/J745-1,0)</f>
        <v>0.460977776715352</v>
      </c>
      <c r="V745" s="2" t="str">
        <f aca="false">IF(S745&lt;J745,"SIM","NÃO")</f>
        <v>NÃO</v>
      </c>
      <c r="W745" s="2" t="n">
        <v>5</v>
      </c>
      <c r="X745" s="2" t="s">
        <v>156</v>
      </c>
    </row>
    <row r="746" customFormat="false" ht="15" hidden="false" customHeight="false" outlineLevel="0" collapsed="false">
      <c r="A746" s="2" t="n">
        <v>373484295</v>
      </c>
      <c r="B746" s="29" t="n">
        <v>46242.6994675926</v>
      </c>
      <c r="C746" s="2" t="s">
        <v>158</v>
      </c>
      <c r="D746" s="2" t="s">
        <v>921</v>
      </c>
      <c r="E746" s="2" t="s">
        <v>78</v>
      </c>
      <c r="F746" s="2" t="s">
        <v>114</v>
      </c>
      <c r="G746" s="30" t="n">
        <v>138</v>
      </c>
      <c r="H746" s="11" t="n">
        <v>1432.72</v>
      </c>
      <c r="I746" s="11" t="s">
        <v>155</v>
      </c>
      <c r="J746" s="11" t="n">
        <v>233.17</v>
      </c>
      <c r="K746" s="11" t="n">
        <v>239.25</v>
      </c>
      <c r="L746" s="11" t="n">
        <v>1.4327</v>
      </c>
      <c r="M746" s="11" t="n">
        <v>2.8654</v>
      </c>
      <c r="N746" s="11" t="n">
        <v>1</v>
      </c>
      <c r="O746" s="11" t="n">
        <v>9</v>
      </c>
      <c r="P746" s="11" t="n">
        <v>8.28</v>
      </c>
      <c r="Q746" s="11" t="n">
        <v>62.1</v>
      </c>
      <c r="R746" s="11" t="n">
        <f aca="false">SUM(K746:Q746)</f>
        <v>323.9281</v>
      </c>
      <c r="S746" s="11" t="n">
        <f aca="false">R746/(1-Resumo!$C$6)</f>
        <v>368.100113636364</v>
      </c>
      <c r="T746" s="11" t="n">
        <f aca="false">S746-J746</f>
        <v>134.930113636364</v>
      </c>
      <c r="U746" s="12" t="n">
        <f aca="false">IFERROR(S746/J746-1,0)</f>
        <v>0.57867698947705</v>
      </c>
      <c r="V746" s="2" t="str">
        <f aca="false">IF(S746&lt;J746,"SIM","NÃO")</f>
        <v>NÃO</v>
      </c>
      <c r="W746" s="2" t="n">
        <v>5</v>
      </c>
      <c r="X746" s="2" t="s">
        <v>156</v>
      </c>
    </row>
    <row r="747" customFormat="false" ht="15" hidden="false" customHeight="false" outlineLevel="0" collapsed="false">
      <c r="A747" s="2" t="n">
        <v>373484522</v>
      </c>
      <c r="B747" s="29" t="n">
        <v>46242.7001273148</v>
      </c>
      <c r="C747" s="2" t="s">
        <v>153</v>
      </c>
      <c r="D747" s="2" t="s">
        <v>922</v>
      </c>
      <c r="E747" s="2" t="s">
        <v>80</v>
      </c>
      <c r="F747" s="2" t="s">
        <v>110</v>
      </c>
      <c r="G747" s="30" t="n">
        <v>69.15</v>
      </c>
      <c r="H747" s="11" t="n">
        <v>829.99</v>
      </c>
      <c r="I747" s="11" t="s">
        <v>155</v>
      </c>
      <c r="J747" s="11" t="n">
        <v>140.41</v>
      </c>
      <c r="K747" s="11" t="n">
        <v>131.02</v>
      </c>
      <c r="L747" s="11" t="n">
        <v>0.83</v>
      </c>
      <c r="M747" s="11" t="n">
        <v>1.66</v>
      </c>
      <c r="N747" s="11" t="n">
        <v>1</v>
      </c>
      <c r="O747" s="11" t="n">
        <v>4.5</v>
      </c>
      <c r="P747" s="11" t="n">
        <v>4.2</v>
      </c>
      <c r="Q747" s="11" t="n">
        <v>31.5</v>
      </c>
      <c r="R747" s="11" t="n">
        <f aca="false">SUM(K747:Q747)</f>
        <v>174.71</v>
      </c>
      <c r="S747" s="11" t="n">
        <f aca="false">R747/(1-Resumo!$C$6)</f>
        <v>198.534090909091</v>
      </c>
      <c r="T747" s="11" t="n">
        <f aca="false">S747-J747</f>
        <v>58.1240909090909</v>
      </c>
      <c r="U747" s="12" t="n">
        <f aca="false">IFERROR(S747/J747-1,0)</f>
        <v>0.41395976717535</v>
      </c>
      <c r="V747" s="2" t="str">
        <f aca="false">IF(S747&lt;J747,"SIM","NÃO")</f>
        <v>NÃO</v>
      </c>
      <c r="W747" s="2" t="n">
        <v>5</v>
      </c>
      <c r="X747" s="2" t="s">
        <v>156</v>
      </c>
    </row>
    <row r="748" customFormat="false" ht="15" hidden="false" customHeight="false" outlineLevel="0" collapsed="false">
      <c r="A748" s="2" t="n">
        <v>373485051</v>
      </c>
      <c r="B748" s="29" t="n">
        <v>46242.7012037037</v>
      </c>
      <c r="C748" s="2" t="s">
        <v>158</v>
      </c>
      <c r="D748" s="2" t="s">
        <v>492</v>
      </c>
      <c r="E748" s="2" t="s">
        <v>493</v>
      </c>
      <c r="F748" s="2" t="s">
        <v>110</v>
      </c>
      <c r="G748" s="30" t="n">
        <v>69.15</v>
      </c>
      <c r="H748" s="11" t="n">
        <v>707</v>
      </c>
      <c r="I748" s="11" t="s">
        <v>350</v>
      </c>
      <c r="J748" s="11" t="n">
        <v>158.25</v>
      </c>
      <c r="K748" s="11" t="n">
        <v>166.05</v>
      </c>
      <c r="L748" s="11" t="n">
        <v>0.707</v>
      </c>
      <c r="M748" s="11" t="n">
        <v>1.414</v>
      </c>
      <c r="N748" s="11" t="n">
        <v>1</v>
      </c>
      <c r="O748" s="11" t="n">
        <v>4.5</v>
      </c>
      <c r="P748" s="11" t="n">
        <v>4.2</v>
      </c>
      <c r="Q748" s="11" t="n">
        <v>31.5</v>
      </c>
      <c r="R748" s="11" t="n">
        <f aca="false">SUM(K748:Q748)</f>
        <v>209.371</v>
      </c>
      <c r="S748" s="11" t="n">
        <f aca="false">R748/(1-Resumo!$C$6)</f>
        <v>237.921590909091</v>
      </c>
      <c r="T748" s="11" t="n">
        <f aca="false">S748-J748</f>
        <v>79.6715909090909</v>
      </c>
      <c r="U748" s="12" t="n">
        <f aca="false">IFERROR(S748/J748-1,0)</f>
        <v>0.503453970989516</v>
      </c>
      <c r="V748" s="2" t="str">
        <f aca="false">IF(S748&lt;J748,"SIM","NÃO")</f>
        <v>NÃO</v>
      </c>
      <c r="W748" s="2" t="n">
        <v>10</v>
      </c>
      <c r="X748" s="2" t="s">
        <v>161</v>
      </c>
    </row>
    <row r="749" customFormat="false" ht="15" hidden="false" customHeight="false" outlineLevel="0" collapsed="false">
      <c r="A749" s="2" t="n">
        <v>373488397</v>
      </c>
      <c r="B749" s="29" t="n">
        <v>46242.7071527778</v>
      </c>
      <c r="C749" s="2" t="s">
        <v>153</v>
      </c>
      <c r="D749" s="2" t="s">
        <v>923</v>
      </c>
      <c r="E749" s="2" t="s">
        <v>86</v>
      </c>
      <c r="F749" s="2" t="s">
        <v>110</v>
      </c>
      <c r="G749" s="30" t="n">
        <v>61.5</v>
      </c>
      <c r="H749" s="11" t="n">
        <v>708.4</v>
      </c>
      <c r="I749" s="11" t="s">
        <v>350</v>
      </c>
      <c r="J749" s="11" t="n">
        <v>138.67</v>
      </c>
      <c r="K749" s="11" t="n">
        <v>131.02</v>
      </c>
      <c r="L749" s="11" t="n">
        <v>0.7084</v>
      </c>
      <c r="M749" s="11" t="n">
        <v>1.4168</v>
      </c>
      <c r="N749" s="11" t="n">
        <v>1</v>
      </c>
      <c r="O749" s="11" t="n">
        <v>4.5</v>
      </c>
      <c r="P749" s="11" t="n">
        <v>3.72</v>
      </c>
      <c r="Q749" s="11" t="n">
        <v>27.9</v>
      </c>
      <c r="R749" s="11" t="n">
        <f aca="false">SUM(K749:Q749)</f>
        <v>170.2652</v>
      </c>
      <c r="S749" s="11" t="n">
        <f aca="false">R749/(1-Resumo!$C$6)</f>
        <v>193.483181818182</v>
      </c>
      <c r="T749" s="11" t="n">
        <f aca="false">S749-J749</f>
        <v>54.8131818181818</v>
      </c>
      <c r="U749" s="12" t="n">
        <f aca="false">IFERROR(S749/J749-1,0)</f>
        <v>0.395277867009316</v>
      </c>
      <c r="V749" s="2" t="str">
        <f aca="false">IF(S749&lt;J749,"SIM","NÃO")</f>
        <v>NÃO</v>
      </c>
      <c r="W749" s="2" t="n">
        <v>5</v>
      </c>
      <c r="X749" s="2" t="s">
        <v>156</v>
      </c>
    </row>
    <row r="750" customFormat="false" ht="15" hidden="false" customHeight="false" outlineLevel="0" collapsed="false">
      <c r="A750" s="2" t="n">
        <v>373495295</v>
      </c>
      <c r="B750" s="29" t="n">
        <v>46242.7202083333</v>
      </c>
      <c r="C750" s="2" t="s">
        <v>153</v>
      </c>
      <c r="D750" s="2" t="s">
        <v>924</v>
      </c>
      <c r="E750" s="2" t="s">
        <v>78</v>
      </c>
      <c r="F750" s="2" t="s">
        <v>106</v>
      </c>
      <c r="G750" s="30" t="n">
        <v>27</v>
      </c>
      <c r="H750" s="11" t="n">
        <v>297.99</v>
      </c>
      <c r="I750" s="11" t="s">
        <v>155</v>
      </c>
      <c r="J750" s="11" t="n">
        <v>81.76</v>
      </c>
      <c r="K750" s="11" t="n">
        <v>82.21</v>
      </c>
      <c r="L750" s="11" t="n">
        <v>0.298</v>
      </c>
      <c r="M750" s="11" t="n">
        <v>0.596</v>
      </c>
      <c r="N750" s="11" t="n">
        <v>1</v>
      </c>
      <c r="O750" s="11" t="n">
        <v>4.5</v>
      </c>
      <c r="P750" s="11" t="n">
        <v>1.62</v>
      </c>
      <c r="Q750" s="11" t="n">
        <v>12.15</v>
      </c>
      <c r="R750" s="11" t="n">
        <f aca="false">SUM(K750:Q750)</f>
        <v>102.374</v>
      </c>
      <c r="S750" s="11" t="n">
        <f aca="false">R750/(1-Resumo!$C$6)</f>
        <v>116.334090909091</v>
      </c>
      <c r="T750" s="11" t="n">
        <f aca="false">S750-J750</f>
        <v>34.5740909090909</v>
      </c>
      <c r="U750" s="12" t="n">
        <f aca="false">IFERROR(S750/J750-1,0)</f>
        <v>0.422872931862658</v>
      </c>
      <c r="V750" s="2" t="str">
        <f aca="false">IF(S750&lt;J750,"SIM","NÃO")</f>
        <v>NÃO</v>
      </c>
      <c r="W750" s="2" t="n">
        <v>5</v>
      </c>
      <c r="X750" s="2" t="s">
        <v>156</v>
      </c>
    </row>
    <row r="751" customFormat="false" ht="15" hidden="false" customHeight="false" outlineLevel="0" collapsed="false">
      <c r="A751" s="2" t="n">
        <v>373496636</v>
      </c>
      <c r="B751" s="29" t="n">
        <v>46242.7226041667</v>
      </c>
      <c r="C751" s="2" t="s">
        <v>153</v>
      </c>
      <c r="D751" s="2" t="s">
        <v>925</v>
      </c>
      <c r="E751" s="2" t="s">
        <v>88</v>
      </c>
      <c r="F751" s="2" t="s">
        <v>110</v>
      </c>
      <c r="G751" s="30" t="n">
        <v>66.8</v>
      </c>
      <c r="H751" s="11" t="n">
        <v>644.99</v>
      </c>
      <c r="I751" s="11" t="s">
        <v>350</v>
      </c>
      <c r="J751" s="11" t="n">
        <v>156.42</v>
      </c>
      <c r="K751" s="11" t="n">
        <v>166.05</v>
      </c>
      <c r="L751" s="11" t="n">
        <v>0.645</v>
      </c>
      <c r="M751" s="11" t="n">
        <v>1.29</v>
      </c>
      <c r="N751" s="11" t="n">
        <v>1</v>
      </c>
      <c r="O751" s="11" t="n">
        <v>4.5</v>
      </c>
      <c r="P751" s="11" t="n">
        <v>4.02</v>
      </c>
      <c r="Q751" s="11" t="n">
        <v>30.15</v>
      </c>
      <c r="R751" s="11" t="n">
        <f aca="false">SUM(K751:Q751)</f>
        <v>207.655</v>
      </c>
      <c r="S751" s="11" t="n">
        <f aca="false">R751/(1-Resumo!$C$6)</f>
        <v>235.971590909091</v>
      </c>
      <c r="T751" s="11" t="n">
        <f aca="false">S751-J751</f>
        <v>79.551590909091</v>
      </c>
      <c r="U751" s="12" t="n">
        <f aca="false">IFERROR(S751/J751-1,0)</f>
        <v>0.508576850205159</v>
      </c>
      <c r="V751" s="2" t="str">
        <f aca="false">IF(S751&lt;J751,"SIM","NÃO")</f>
        <v>NÃO</v>
      </c>
      <c r="W751" s="2" t="n">
        <v>10</v>
      </c>
      <c r="X751" s="2" t="s">
        <v>156</v>
      </c>
    </row>
    <row r="752" customFormat="false" ht="15" hidden="false" customHeight="false" outlineLevel="0" collapsed="false">
      <c r="A752" s="2" t="n">
        <v>373497060</v>
      </c>
      <c r="B752" s="29" t="n">
        <v>46242.7235532407</v>
      </c>
      <c r="C752" s="2" t="s">
        <v>153</v>
      </c>
      <c r="D752" s="2" t="s">
        <v>926</v>
      </c>
      <c r="E752" s="2" t="s">
        <v>83</v>
      </c>
      <c r="F752" s="2" t="s">
        <v>108</v>
      </c>
      <c r="G752" s="30" t="n">
        <v>41.4</v>
      </c>
      <c r="H752" s="11" t="n">
        <v>449.99</v>
      </c>
      <c r="I752" s="11" t="s">
        <v>350</v>
      </c>
      <c r="J752" s="11" t="n">
        <v>128.5</v>
      </c>
      <c r="K752" s="11" t="n">
        <v>152.54</v>
      </c>
      <c r="L752" s="11" t="n">
        <v>0.45</v>
      </c>
      <c r="M752" s="11" t="n">
        <v>0.9</v>
      </c>
      <c r="N752" s="11" t="n">
        <v>1</v>
      </c>
      <c r="O752" s="11" t="n">
        <v>4.5</v>
      </c>
      <c r="P752" s="11" t="n">
        <v>2.52</v>
      </c>
      <c r="Q752" s="11" t="n">
        <v>18.9</v>
      </c>
      <c r="R752" s="11" t="n">
        <f aca="false">SUM(K752:Q752)</f>
        <v>180.81</v>
      </c>
      <c r="S752" s="11" t="n">
        <f aca="false">R752/(1-Resumo!$C$6)</f>
        <v>205.465909090909</v>
      </c>
      <c r="T752" s="11" t="n">
        <f aca="false">S752-J752</f>
        <v>76.9659090909091</v>
      </c>
      <c r="U752" s="12" t="n">
        <f aca="false">IFERROR(S752/J752-1,0)</f>
        <v>0.598956490979837</v>
      </c>
      <c r="V752" s="2" t="str">
        <f aca="false">IF(S752&lt;J752,"SIM","NÃO")</f>
        <v>NÃO</v>
      </c>
      <c r="W752" s="2" t="n">
        <v>11</v>
      </c>
      <c r="X752" s="2" t="s">
        <v>156</v>
      </c>
    </row>
    <row r="753" customFormat="false" ht="15" hidden="false" customHeight="false" outlineLevel="0" collapsed="false">
      <c r="A753" s="2" t="n">
        <v>373508916</v>
      </c>
      <c r="B753" s="29" t="n">
        <v>46242.7455671296</v>
      </c>
      <c r="C753" s="2" t="s">
        <v>153</v>
      </c>
      <c r="D753" s="2" t="s">
        <v>380</v>
      </c>
      <c r="E753" s="2" t="s">
        <v>381</v>
      </c>
      <c r="F753" s="2" t="s">
        <v>109</v>
      </c>
      <c r="G753" s="30" t="n">
        <v>52.3</v>
      </c>
      <c r="H753" s="11" t="n">
        <v>616.99</v>
      </c>
      <c r="I753" s="11" t="s">
        <v>350</v>
      </c>
      <c r="J753" s="11" t="n">
        <v>141.63</v>
      </c>
      <c r="K753" s="11" t="n">
        <v>162.04</v>
      </c>
      <c r="L753" s="11" t="n">
        <v>0.617</v>
      </c>
      <c r="M753" s="11" t="n">
        <v>1.234</v>
      </c>
      <c r="N753" s="11" t="n">
        <v>1</v>
      </c>
      <c r="O753" s="11" t="n">
        <v>4.5</v>
      </c>
      <c r="P753" s="11" t="n">
        <v>3.18</v>
      </c>
      <c r="Q753" s="11" t="n">
        <v>23.85</v>
      </c>
      <c r="R753" s="11" t="n">
        <f aca="false">SUM(K753:Q753)</f>
        <v>196.421</v>
      </c>
      <c r="S753" s="11" t="n">
        <f aca="false">R753/(1-Resumo!$C$6)</f>
        <v>223.205681818182</v>
      </c>
      <c r="T753" s="11" t="n">
        <f aca="false">S753-J753</f>
        <v>81.5756818181818</v>
      </c>
      <c r="U753" s="12" t="n">
        <f aca="false">IFERROR(S753/J753-1,0)</f>
        <v>0.575977418754373</v>
      </c>
      <c r="V753" s="2" t="str">
        <f aca="false">IF(S753&lt;J753,"SIM","NÃO")</f>
        <v>NÃO</v>
      </c>
      <c r="W753" s="2" t="n">
        <v>11</v>
      </c>
      <c r="X753" s="2" t="s">
        <v>161</v>
      </c>
    </row>
    <row r="754" customFormat="false" ht="15" hidden="false" customHeight="false" outlineLevel="0" collapsed="false">
      <c r="A754" s="2" t="n">
        <v>373509799</v>
      </c>
      <c r="B754" s="29" t="n">
        <v>46242.7471759259</v>
      </c>
      <c r="C754" s="2" t="s">
        <v>158</v>
      </c>
      <c r="D754" s="2" t="s">
        <v>927</v>
      </c>
      <c r="E754" s="2" t="s">
        <v>160</v>
      </c>
      <c r="F754" s="2" t="s">
        <v>114</v>
      </c>
      <c r="G754" s="30" t="n">
        <v>124.2</v>
      </c>
      <c r="H754" s="11" t="n">
        <v>1558.09</v>
      </c>
      <c r="I754" s="11" t="s">
        <v>350</v>
      </c>
      <c r="J754" s="11" t="n">
        <v>236.43</v>
      </c>
      <c r="K754" s="11" t="n">
        <v>239.25</v>
      </c>
      <c r="L754" s="11" t="n">
        <v>1.5581</v>
      </c>
      <c r="M754" s="11" t="n">
        <v>3.1162</v>
      </c>
      <c r="N754" s="11" t="n">
        <v>1</v>
      </c>
      <c r="O754" s="11" t="n">
        <v>9</v>
      </c>
      <c r="P754" s="11" t="n">
        <v>7.5</v>
      </c>
      <c r="Q754" s="11" t="n">
        <v>56.25</v>
      </c>
      <c r="R754" s="11" t="n">
        <f aca="false">SUM(K754:Q754)</f>
        <v>317.6743</v>
      </c>
      <c r="S754" s="11" t="n">
        <f aca="false">R754/(1-Resumo!$C$6)</f>
        <v>360.993522727273</v>
      </c>
      <c r="T754" s="11" t="n">
        <f aca="false">S754-J754</f>
        <v>124.563522727273</v>
      </c>
      <c r="U754" s="12" t="n">
        <f aca="false">IFERROR(S754/J754-1,0)</f>
        <v>0.526851595513568</v>
      </c>
      <c r="V754" s="2" t="str">
        <f aca="false">IF(S754&lt;J754,"SIM","NÃO")</f>
        <v>NÃO</v>
      </c>
      <c r="W754" s="2" t="n">
        <v>5</v>
      </c>
      <c r="X754" s="2" t="s">
        <v>161</v>
      </c>
    </row>
    <row r="755" customFormat="false" ht="15" hidden="false" customHeight="false" outlineLevel="0" collapsed="false">
      <c r="A755" s="2" t="n">
        <v>373519331</v>
      </c>
      <c r="B755" s="29" t="n">
        <v>46242.7655439815</v>
      </c>
      <c r="C755" s="2" t="s">
        <v>153</v>
      </c>
      <c r="D755" s="2" t="s">
        <v>928</v>
      </c>
      <c r="E755" s="2" t="s">
        <v>342</v>
      </c>
      <c r="F755" s="2" t="s">
        <v>109</v>
      </c>
      <c r="G755" s="30" t="n">
        <v>56.7</v>
      </c>
      <c r="H755" s="11" t="n">
        <v>690.99</v>
      </c>
      <c r="I755" s="11" t="s">
        <v>350</v>
      </c>
      <c r="J755" s="11" t="n">
        <v>144.01</v>
      </c>
      <c r="K755" s="11" t="n">
        <v>142.32</v>
      </c>
      <c r="L755" s="11" t="n">
        <v>0.691</v>
      </c>
      <c r="M755" s="11" t="n">
        <v>1.382</v>
      </c>
      <c r="N755" s="11" t="n">
        <v>1</v>
      </c>
      <c r="O755" s="11" t="n">
        <v>4.5</v>
      </c>
      <c r="P755" s="11" t="n">
        <v>3.42</v>
      </c>
      <c r="Q755" s="11" t="n">
        <v>25.65</v>
      </c>
      <c r="R755" s="11" t="n">
        <f aca="false">SUM(K755:Q755)</f>
        <v>178.963</v>
      </c>
      <c r="S755" s="11" t="n">
        <f aca="false">R755/(1-Resumo!$C$6)</f>
        <v>203.367045454545</v>
      </c>
      <c r="T755" s="11" t="n">
        <f aca="false">S755-J755</f>
        <v>59.3570454545454</v>
      </c>
      <c r="U755" s="12" t="n">
        <f aca="false">IFERROR(S755/J755-1,0)</f>
        <v>0.412173081414801</v>
      </c>
      <c r="V755" s="2" t="str">
        <f aca="false">IF(S755&lt;J755,"SIM","NÃO")</f>
        <v>NÃO</v>
      </c>
      <c r="W755" s="2" t="n">
        <v>10</v>
      </c>
      <c r="X755" s="2" t="s">
        <v>161</v>
      </c>
    </row>
    <row r="756" customFormat="false" ht="15" hidden="false" customHeight="false" outlineLevel="0" collapsed="false">
      <c r="A756" s="2" t="n">
        <v>373520405</v>
      </c>
      <c r="B756" s="29" t="n">
        <v>46242.7672916667</v>
      </c>
      <c r="C756" s="2" t="s">
        <v>153</v>
      </c>
      <c r="D756" s="2" t="s">
        <v>929</v>
      </c>
      <c r="E756" s="2" t="s">
        <v>78</v>
      </c>
      <c r="F756" s="2" t="s">
        <v>105</v>
      </c>
      <c r="G756" s="30" t="n">
        <v>17.2</v>
      </c>
      <c r="H756" s="11" t="n">
        <v>269.99</v>
      </c>
      <c r="I756" s="11" t="s">
        <v>155</v>
      </c>
      <c r="J756" s="11" t="n">
        <v>64.51</v>
      </c>
      <c r="K756" s="11" t="n">
        <v>46.98</v>
      </c>
      <c r="L756" s="11" t="n">
        <v>0.27</v>
      </c>
      <c r="M756" s="11" t="n">
        <v>0.54</v>
      </c>
      <c r="N756" s="11" t="n">
        <v>1</v>
      </c>
      <c r="O756" s="11" t="n">
        <v>4.5</v>
      </c>
      <c r="P756" s="11" t="n">
        <v>1.08</v>
      </c>
      <c r="Q756" s="11" t="n">
        <v>8.1</v>
      </c>
      <c r="R756" s="11" t="n">
        <f aca="false">SUM(K756:Q756)</f>
        <v>62.47</v>
      </c>
      <c r="S756" s="11" t="n">
        <f aca="false">R756/(1-Resumo!$C$6)</f>
        <v>70.9886363636364</v>
      </c>
      <c r="T756" s="11" t="n">
        <f aca="false">S756-J756</f>
        <v>6.47863636363636</v>
      </c>
      <c r="U756" s="12" t="n">
        <f aca="false">IFERROR(S756/J756-1,0)</f>
        <v>0.100428404334775</v>
      </c>
      <c r="V756" s="2" t="str">
        <f aca="false">IF(S756&lt;J756,"SIM","NÃO")</f>
        <v>NÃO</v>
      </c>
      <c r="W756" s="2" t="n">
        <v>5</v>
      </c>
      <c r="X756" s="2" t="s">
        <v>156</v>
      </c>
    </row>
    <row r="757" customFormat="false" ht="15" hidden="false" customHeight="false" outlineLevel="0" collapsed="false">
      <c r="A757" s="2" t="n">
        <v>373526561</v>
      </c>
      <c r="B757" s="29" t="n">
        <v>46242.7785185185</v>
      </c>
      <c r="C757" s="2" t="s">
        <v>153</v>
      </c>
      <c r="D757" s="2" t="s">
        <v>930</v>
      </c>
      <c r="E757" s="2" t="s">
        <v>80</v>
      </c>
      <c r="F757" s="2" t="s">
        <v>106</v>
      </c>
      <c r="G757" s="30" t="n">
        <v>22.4</v>
      </c>
      <c r="H757" s="11" t="n">
        <v>519.99</v>
      </c>
      <c r="I757" s="11" t="s">
        <v>155</v>
      </c>
      <c r="J757" s="11" t="n">
        <v>101.87</v>
      </c>
      <c r="K757" s="11" t="n">
        <v>82.21</v>
      </c>
      <c r="L757" s="11" t="n">
        <v>0.52</v>
      </c>
      <c r="M757" s="11" t="n">
        <v>1.04</v>
      </c>
      <c r="N757" s="11" t="n">
        <v>1</v>
      </c>
      <c r="O757" s="11" t="n">
        <v>4.5</v>
      </c>
      <c r="P757" s="11" t="n">
        <v>1.38</v>
      </c>
      <c r="Q757" s="11" t="n">
        <v>10.35</v>
      </c>
      <c r="R757" s="11" t="n">
        <f aca="false">SUM(K757:Q757)</f>
        <v>101</v>
      </c>
      <c r="S757" s="11" t="n">
        <f aca="false">R757/(1-Resumo!$C$6)</f>
        <v>114.772727272727</v>
      </c>
      <c r="T757" s="11" t="n">
        <f aca="false">S757-J757</f>
        <v>12.9027272727272</v>
      </c>
      <c r="U757" s="12" t="n">
        <f aca="false">IFERROR(S757/J757-1,0)</f>
        <v>0.126658754026968</v>
      </c>
      <c r="V757" s="2" t="str">
        <f aca="false">IF(S757&lt;J757,"SIM","NÃO")</f>
        <v>NÃO</v>
      </c>
      <c r="W757" s="2" t="n">
        <v>5</v>
      </c>
      <c r="X757" s="2" t="s">
        <v>156</v>
      </c>
    </row>
    <row r="758" customFormat="false" ht="15" hidden="false" customHeight="false" outlineLevel="0" collapsed="false">
      <c r="A758" s="2" t="n">
        <v>373537524</v>
      </c>
      <c r="B758" s="29" t="n">
        <v>46242.7989583333</v>
      </c>
      <c r="C758" s="2" t="s">
        <v>153</v>
      </c>
      <c r="D758" s="2" t="s">
        <v>931</v>
      </c>
      <c r="E758" s="2" t="s">
        <v>78</v>
      </c>
      <c r="F758" s="2" t="s">
        <v>110</v>
      </c>
      <c r="G758" s="30" t="n">
        <v>63.9</v>
      </c>
      <c r="H758" s="11" t="n">
        <v>717.6</v>
      </c>
      <c r="I758" s="11" t="s">
        <v>350</v>
      </c>
      <c r="J758" s="11" t="n">
        <v>124.58</v>
      </c>
      <c r="K758" s="11" t="n">
        <v>131.02</v>
      </c>
      <c r="L758" s="11" t="n">
        <v>0.7176</v>
      </c>
      <c r="M758" s="11" t="n">
        <v>1.4352</v>
      </c>
      <c r="N758" s="11" t="n">
        <v>1</v>
      </c>
      <c r="O758" s="11" t="n">
        <v>4.5</v>
      </c>
      <c r="P758" s="11" t="n">
        <v>3.84</v>
      </c>
      <c r="Q758" s="11" t="n">
        <v>28.8</v>
      </c>
      <c r="R758" s="11" t="n">
        <f aca="false">SUM(K758:Q758)</f>
        <v>171.3128</v>
      </c>
      <c r="S758" s="11" t="n">
        <f aca="false">R758/(1-Resumo!$C$6)</f>
        <v>194.673636363636</v>
      </c>
      <c r="T758" s="11" t="n">
        <f aca="false">S758-J758</f>
        <v>70.0936363636364</v>
      </c>
      <c r="U758" s="12" t="n">
        <f aca="false">IFERROR(S758/J758-1,0)</f>
        <v>0.56263955983012</v>
      </c>
      <c r="V758" s="2" t="str">
        <f aca="false">IF(S758&lt;J758,"SIM","NÃO")</f>
        <v>NÃO</v>
      </c>
      <c r="W758" s="2" t="n">
        <v>5</v>
      </c>
      <c r="X758" s="2" t="s">
        <v>156</v>
      </c>
    </row>
    <row r="759" customFormat="false" ht="15" hidden="false" customHeight="false" outlineLevel="0" collapsed="false">
      <c r="A759" s="2" t="n">
        <v>373542254</v>
      </c>
      <c r="B759" s="29" t="n">
        <v>46242.8080555556</v>
      </c>
      <c r="C759" s="2" t="s">
        <v>198</v>
      </c>
      <c r="D759" s="2" t="s">
        <v>932</v>
      </c>
      <c r="E759" s="2" t="s">
        <v>219</v>
      </c>
      <c r="F759" s="2" t="s">
        <v>111</v>
      </c>
      <c r="G759" s="30" t="n">
        <v>74.06</v>
      </c>
      <c r="H759" s="11" t="n">
        <v>1099.99</v>
      </c>
      <c r="I759" s="11" t="s">
        <v>350</v>
      </c>
      <c r="J759" s="11" t="n">
        <v>170.16</v>
      </c>
      <c r="K759" s="11" t="n">
        <v>157.88</v>
      </c>
      <c r="L759" s="11" t="n">
        <v>1.1</v>
      </c>
      <c r="M759" s="11" t="n">
        <v>2.2</v>
      </c>
      <c r="N759" s="11" t="n">
        <v>1</v>
      </c>
      <c r="O759" s="11" t="n">
        <v>4.5</v>
      </c>
      <c r="P759" s="11" t="n">
        <v>4.5</v>
      </c>
      <c r="Q759" s="11" t="n">
        <v>33.75</v>
      </c>
      <c r="R759" s="11" t="n">
        <f aca="false">SUM(K759:Q759)</f>
        <v>204.93</v>
      </c>
      <c r="S759" s="11" t="n">
        <f aca="false">R759/(1-Resumo!$C$6)</f>
        <v>232.875</v>
      </c>
      <c r="T759" s="11" t="n">
        <f aca="false">S759-J759</f>
        <v>62.715</v>
      </c>
      <c r="U759" s="12" t="n">
        <f aca="false">IFERROR(S759/J759-1,0)</f>
        <v>0.368564880112835</v>
      </c>
      <c r="V759" s="2" t="str">
        <f aca="false">IF(S759&lt;J759,"SIM","NÃO")</f>
        <v>NÃO</v>
      </c>
      <c r="W759" s="2" t="n">
        <v>10</v>
      </c>
      <c r="X759" s="2" t="s">
        <v>161</v>
      </c>
    </row>
    <row r="760" customFormat="false" ht="15" hidden="false" customHeight="false" outlineLevel="0" collapsed="false">
      <c r="A760" s="2" t="n">
        <v>373550619</v>
      </c>
      <c r="B760" s="29" t="n">
        <v>46242.8230208333</v>
      </c>
      <c r="C760" s="2" t="s">
        <v>153</v>
      </c>
      <c r="D760" s="2" t="s">
        <v>933</v>
      </c>
      <c r="E760" s="2" t="s">
        <v>78</v>
      </c>
      <c r="F760" s="2" t="s">
        <v>105</v>
      </c>
      <c r="G760" s="30" t="n">
        <v>19.5</v>
      </c>
      <c r="H760" s="11" t="n">
        <v>333</v>
      </c>
      <c r="I760" s="11" t="s">
        <v>350</v>
      </c>
      <c r="J760" s="11" t="n">
        <v>66.39</v>
      </c>
      <c r="K760" s="11" t="n">
        <v>46.98</v>
      </c>
      <c r="L760" s="11" t="n">
        <v>0.333</v>
      </c>
      <c r="M760" s="11" t="n">
        <v>0.666</v>
      </c>
      <c r="N760" s="11" t="n">
        <v>1</v>
      </c>
      <c r="O760" s="11" t="n">
        <v>4.5</v>
      </c>
      <c r="P760" s="11" t="n">
        <v>1.2</v>
      </c>
      <c r="Q760" s="11" t="n">
        <v>9</v>
      </c>
      <c r="R760" s="11" t="n">
        <f aca="false">SUM(K760:Q760)</f>
        <v>63.679</v>
      </c>
      <c r="S760" s="11" t="n">
        <f aca="false">R760/(1-Resumo!$C$6)</f>
        <v>72.3625</v>
      </c>
      <c r="T760" s="11" t="n">
        <f aca="false">S760-J760</f>
        <v>5.9725</v>
      </c>
      <c r="U760" s="12" t="n">
        <f aca="false">IFERROR(S760/J760-1,0)</f>
        <v>0.0899608374755234</v>
      </c>
      <c r="V760" s="2" t="str">
        <f aca="false">IF(S760&lt;J760,"SIM","NÃO")</f>
        <v>NÃO</v>
      </c>
      <c r="W760" s="2" t="n">
        <v>5</v>
      </c>
      <c r="X760" s="2" t="s">
        <v>156</v>
      </c>
    </row>
    <row r="761" customFormat="false" ht="15" hidden="false" customHeight="false" outlineLevel="0" collapsed="false">
      <c r="A761" s="2" t="n">
        <v>373552902</v>
      </c>
      <c r="B761" s="29" t="n">
        <v>46242.8270601852</v>
      </c>
      <c r="C761" s="2" t="s">
        <v>158</v>
      </c>
      <c r="D761" s="2" t="s">
        <v>934</v>
      </c>
      <c r="E761" s="2" t="s">
        <v>537</v>
      </c>
      <c r="F761" s="2" t="s">
        <v>114</v>
      </c>
      <c r="G761" s="30" t="n">
        <v>134.4</v>
      </c>
      <c r="H761" s="11" t="n">
        <v>1597.99</v>
      </c>
      <c r="I761" s="11" t="s">
        <v>350</v>
      </c>
      <c r="J761" s="11" t="n">
        <v>258.36</v>
      </c>
      <c r="K761" s="11" t="n">
        <v>264.84</v>
      </c>
      <c r="L761" s="11" t="n">
        <v>1.598</v>
      </c>
      <c r="M761" s="11" t="n">
        <v>3.196</v>
      </c>
      <c r="N761" s="11" t="n">
        <v>1</v>
      </c>
      <c r="O761" s="11" t="n">
        <v>9</v>
      </c>
      <c r="P761" s="11" t="n">
        <v>8.1</v>
      </c>
      <c r="Q761" s="11" t="n">
        <v>60.75</v>
      </c>
      <c r="R761" s="11" t="n">
        <f aca="false">SUM(K761:Q761)</f>
        <v>348.484</v>
      </c>
      <c r="S761" s="11" t="n">
        <f aca="false">R761/(1-Resumo!$C$6)</f>
        <v>396.004545454545</v>
      </c>
      <c r="T761" s="11" t="n">
        <f aca="false">S761-J761</f>
        <v>137.644545454545</v>
      </c>
      <c r="U761" s="12" t="n">
        <f aca="false">IFERROR(S761/J761-1,0)</f>
        <v>0.532762600458838</v>
      </c>
      <c r="V761" s="2" t="str">
        <f aca="false">IF(S761&lt;J761,"SIM","NÃO")</f>
        <v>NÃO</v>
      </c>
      <c r="W761" s="2" t="n">
        <v>11</v>
      </c>
      <c r="X761" s="2" t="s">
        <v>161</v>
      </c>
    </row>
    <row r="762" customFormat="false" ht="15" hidden="false" customHeight="false" outlineLevel="0" collapsed="false">
      <c r="A762" s="2" t="n">
        <v>373561126</v>
      </c>
      <c r="B762" s="29" t="n">
        <v>46242.8413657407</v>
      </c>
      <c r="C762" s="2" t="s">
        <v>158</v>
      </c>
      <c r="D762" s="2" t="s">
        <v>935</v>
      </c>
      <c r="E762" s="2" t="s">
        <v>186</v>
      </c>
      <c r="F762" s="2" t="s">
        <v>107</v>
      </c>
      <c r="G762" s="30" t="n">
        <v>37.3</v>
      </c>
      <c r="H762" s="11" t="n">
        <v>423.99</v>
      </c>
      <c r="I762" s="11" t="s">
        <v>350</v>
      </c>
      <c r="J762" s="11" t="n">
        <v>123.24</v>
      </c>
      <c r="K762" s="11" t="n">
        <v>93.97</v>
      </c>
      <c r="L762" s="11" t="n">
        <v>0.424</v>
      </c>
      <c r="M762" s="11" t="n">
        <v>0.848</v>
      </c>
      <c r="N762" s="11" t="n">
        <v>1</v>
      </c>
      <c r="O762" s="11" t="n">
        <v>4.5</v>
      </c>
      <c r="P762" s="11" t="n">
        <v>2.28</v>
      </c>
      <c r="Q762" s="11" t="n">
        <v>17.1</v>
      </c>
      <c r="R762" s="11" t="n">
        <f aca="false">SUM(K762:Q762)</f>
        <v>120.122</v>
      </c>
      <c r="S762" s="11" t="n">
        <f aca="false">R762/(1-Resumo!$C$6)</f>
        <v>136.502272727273</v>
      </c>
      <c r="T762" s="11" t="n">
        <f aca="false">S762-J762</f>
        <v>13.2622727272728</v>
      </c>
      <c r="U762" s="12" t="n">
        <f aca="false">IFERROR(S762/J762-1,0)</f>
        <v>0.107613378182999</v>
      </c>
      <c r="V762" s="2" t="str">
        <f aca="false">IF(S762&lt;J762,"SIM","NÃO")</f>
        <v>NÃO</v>
      </c>
      <c r="W762" s="2" t="n">
        <v>5</v>
      </c>
      <c r="X762" s="2" t="s">
        <v>161</v>
      </c>
    </row>
    <row r="763" customFormat="false" ht="15" hidden="false" customHeight="false" outlineLevel="0" collapsed="false">
      <c r="A763" s="2" t="n">
        <v>373562159</v>
      </c>
      <c r="B763" s="29" t="n">
        <v>46242.8433333333</v>
      </c>
      <c r="C763" s="2" t="s">
        <v>153</v>
      </c>
      <c r="D763" s="2" t="s">
        <v>936</v>
      </c>
      <c r="E763" s="2" t="s">
        <v>937</v>
      </c>
      <c r="F763" s="2" t="s">
        <v>106</v>
      </c>
      <c r="G763" s="30" t="n">
        <v>31.9</v>
      </c>
      <c r="H763" s="11" t="n">
        <v>533.6</v>
      </c>
      <c r="I763" s="11" t="s">
        <v>350</v>
      </c>
      <c r="J763" s="11" t="n">
        <v>110.08</v>
      </c>
      <c r="K763" s="11" t="n">
        <v>138.29</v>
      </c>
      <c r="L763" s="11" t="n">
        <v>0.5336</v>
      </c>
      <c r="M763" s="11" t="n">
        <v>1.0672</v>
      </c>
      <c r="N763" s="11" t="n">
        <v>1</v>
      </c>
      <c r="O763" s="11" t="n">
        <v>4.5</v>
      </c>
      <c r="P763" s="11" t="n">
        <v>1.92</v>
      </c>
      <c r="Q763" s="11" t="n">
        <v>14.4</v>
      </c>
      <c r="R763" s="11" t="n">
        <f aca="false">SUM(K763:Q763)</f>
        <v>161.7108</v>
      </c>
      <c r="S763" s="11" t="n">
        <f aca="false">R763/(1-Resumo!$C$6)</f>
        <v>183.762272727273</v>
      </c>
      <c r="T763" s="11" t="n">
        <f aca="false">S763-J763</f>
        <v>73.6822727272728</v>
      </c>
      <c r="U763" s="12" t="n">
        <f aca="false">IFERROR(S763/J763-1,0)</f>
        <v>0.669352041490487</v>
      </c>
      <c r="V763" s="2" t="str">
        <f aca="false">IF(S763&lt;J763,"SIM","NÃO")</f>
        <v>NÃO</v>
      </c>
      <c r="W763" s="2" t="n">
        <v>11</v>
      </c>
      <c r="X763" s="2" t="s">
        <v>161</v>
      </c>
    </row>
    <row r="764" customFormat="false" ht="15" hidden="false" customHeight="false" outlineLevel="0" collapsed="false">
      <c r="A764" s="2" t="n">
        <v>373562477</v>
      </c>
      <c r="B764" s="29" t="n">
        <v>46242.8438194445</v>
      </c>
      <c r="C764" s="2" t="s">
        <v>158</v>
      </c>
      <c r="D764" s="2" t="s">
        <v>938</v>
      </c>
      <c r="E764" s="2" t="s">
        <v>664</v>
      </c>
      <c r="F764" s="2" t="s">
        <v>107</v>
      </c>
      <c r="G764" s="30" t="n">
        <v>36.9</v>
      </c>
      <c r="H764" s="11" t="n">
        <v>399.99</v>
      </c>
      <c r="I764" s="11" t="s">
        <v>350</v>
      </c>
      <c r="J764" s="11" t="n">
        <v>122.61</v>
      </c>
      <c r="K764" s="11" t="n">
        <v>124.38</v>
      </c>
      <c r="L764" s="11" t="n">
        <v>0.4</v>
      </c>
      <c r="M764" s="11" t="n">
        <v>0.8</v>
      </c>
      <c r="N764" s="11" t="n">
        <v>1</v>
      </c>
      <c r="O764" s="11" t="n">
        <v>4.5</v>
      </c>
      <c r="P764" s="11" t="n">
        <v>2.22</v>
      </c>
      <c r="Q764" s="11" t="n">
        <v>16.65</v>
      </c>
      <c r="R764" s="11" t="n">
        <f aca="false">SUM(K764:Q764)</f>
        <v>149.95</v>
      </c>
      <c r="S764" s="11" t="n">
        <f aca="false">R764/(1-Resumo!$C$6)</f>
        <v>170.397727272727</v>
      </c>
      <c r="T764" s="11" t="n">
        <f aca="false">S764-J764</f>
        <v>47.7877272727273</v>
      </c>
      <c r="U764" s="12" t="n">
        <f aca="false">IFERROR(S764/J764-1,0)</f>
        <v>0.389753912998347</v>
      </c>
      <c r="V764" s="2" t="str">
        <f aca="false">IF(S764&lt;J764,"SIM","NÃO")</f>
        <v>NÃO</v>
      </c>
      <c r="W764" s="2" t="n">
        <v>10</v>
      </c>
      <c r="X764" s="2" t="s">
        <v>161</v>
      </c>
    </row>
    <row r="765" customFormat="false" ht="15" hidden="false" customHeight="false" outlineLevel="0" collapsed="false">
      <c r="A765" s="2" t="n">
        <v>373567726</v>
      </c>
      <c r="B765" s="29" t="n">
        <v>46242.8531597222</v>
      </c>
      <c r="C765" s="2" t="s">
        <v>153</v>
      </c>
      <c r="D765" s="2" t="s">
        <v>939</v>
      </c>
      <c r="E765" s="2" t="s">
        <v>78</v>
      </c>
      <c r="F765" s="2" t="s">
        <v>105</v>
      </c>
      <c r="G765" s="30" t="n">
        <v>19.9</v>
      </c>
      <c r="H765" s="11" t="n">
        <v>309.99</v>
      </c>
      <c r="I765" s="11" t="s">
        <v>350</v>
      </c>
      <c r="J765" s="11" t="n">
        <v>66.27</v>
      </c>
      <c r="K765" s="11" t="n">
        <v>46.98</v>
      </c>
      <c r="L765" s="11" t="n">
        <v>0.31</v>
      </c>
      <c r="M765" s="11" t="n">
        <v>0.62</v>
      </c>
      <c r="N765" s="11" t="n">
        <v>1</v>
      </c>
      <c r="O765" s="11" t="n">
        <v>4.5</v>
      </c>
      <c r="P765" s="11" t="n">
        <v>1.2</v>
      </c>
      <c r="Q765" s="11" t="n">
        <v>9</v>
      </c>
      <c r="R765" s="11" t="n">
        <f aca="false">SUM(K765:Q765)</f>
        <v>63.61</v>
      </c>
      <c r="S765" s="11" t="n">
        <f aca="false">R765/(1-Resumo!$C$6)</f>
        <v>72.2840909090909</v>
      </c>
      <c r="T765" s="11" t="n">
        <f aca="false">S765-J765</f>
        <v>6.01409090909091</v>
      </c>
      <c r="U765" s="12" t="n">
        <f aca="false">IFERROR(S765/J765-1,0)</f>
        <v>0.0907513340741046</v>
      </c>
      <c r="V765" s="2" t="str">
        <f aca="false">IF(S765&lt;J765,"SIM","NÃO")</f>
        <v>NÃO</v>
      </c>
      <c r="W765" s="2" t="n">
        <v>5</v>
      </c>
      <c r="X765" s="2" t="s">
        <v>156</v>
      </c>
    </row>
    <row r="766" customFormat="false" ht="15" hidden="false" customHeight="false" outlineLevel="0" collapsed="false">
      <c r="A766" s="2" t="n">
        <v>373567710</v>
      </c>
      <c r="B766" s="29" t="n">
        <v>46242.8531597222</v>
      </c>
      <c r="C766" s="2" t="s">
        <v>153</v>
      </c>
      <c r="D766" s="2" t="s">
        <v>939</v>
      </c>
      <c r="E766" s="2" t="s">
        <v>78</v>
      </c>
      <c r="F766" s="2" t="s">
        <v>107</v>
      </c>
      <c r="G766" s="30" t="n">
        <v>36.8</v>
      </c>
      <c r="H766" s="11" t="n">
        <v>414.99</v>
      </c>
      <c r="I766" s="11" t="s">
        <v>350</v>
      </c>
      <c r="J766" s="11" t="n">
        <v>92.43</v>
      </c>
      <c r="K766" s="11" t="n">
        <v>93.97</v>
      </c>
      <c r="L766" s="11" t="n">
        <v>0.415</v>
      </c>
      <c r="M766" s="11" t="n">
        <v>0.83</v>
      </c>
      <c r="N766" s="11" t="n">
        <v>1</v>
      </c>
      <c r="O766" s="11" t="n">
        <v>4.5</v>
      </c>
      <c r="P766" s="11" t="n">
        <v>2.22</v>
      </c>
      <c r="Q766" s="11" t="n">
        <v>16.65</v>
      </c>
      <c r="R766" s="11" t="n">
        <f aca="false">SUM(K766:Q766)</f>
        <v>119.585</v>
      </c>
      <c r="S766" s="11" t="n">
        <f aca="false">R766/(1-Resumo!$C$6)</f>
        <v>135.892045454545</v>
      </c>
      <c r="T766" s="11" t="n">
        <f aca="false">S766-J766</f>
        <v>43.4620454545455</v>
      </c>
      <c r="U766" s="12" t="n">
        <f aca="false">IFERROR(S766/J766-1,0)</f>
        <v>0.470215789836043</v>
      </c>
      <c r="V766" s="2" t="str">
        <f aca="false">IF(S766&lt;J766,"SIM","NÃO")</f>
        <v>NÃO</v>
      </c>
      <c r="W766" s="2" t="n">
        <v>5</v>
      </c>
      <c r="X766" s="2" t="s">
        <v>156</v>
      </c>
    </row>
    <row r="767" customFormat="false" ht="15" hidden="false" customHeight="false" outlineLevel="0" collapsed="false">
      <c r="A767" s="2" t="n">
        <v>373577132</v>
      </c>
      <c r="B767" s="29" t="n">
        <v>46242.8698611111</v>
      </c>
      <c r="C767" s="2" t="s">
        <v>153</v>
      </c>
      <c r="D767" s="2" t="s">
        <v>940</v>
      </c>
      <c r="E767" s="2" t="s">
        <v>78</v>
      </c>
      <c r="F767" s="2" t="s">
        <v>109</v>
      </c>
      <c r="G767" s="30" t="n">
        <v>52.3</v>
      </c>
      <c r="H767" s="11" t="n">
        <v>616.99</v>
      </c>
      <c r="I767" s="11" t="s">
        <v>155</v>
      </c>
      <c r="J767" s="11" t="n">
        <v>114.09</v>
      </c>
      <c r="K767" s="11" t="n">
        <v>112.3</v>
      </c>
      <c r="L767" s="11" t="n">
        <v>0.617</v>
      </c>
      <c r="M767" s="11" t="n">
        <v>1.234</v>
      </c>
      <c r="N767" s="11" t="n">
        <v>1</v>
      </c>
      <c r="O767" s="11" t="n">
        <v>4.5</v>
      </c>
      <c r="P767" s="11" t="n">
        <v>3.18</v>
      </c>
      <c r="Q767" s="11" t="n">
        <v>23.85</v>
      </c>
      <c r="R767" s="11" t="n">
        <f aca="false">SUM(K767:Q767)</f>
        <v>146.681</v>
      </c>
      <c r="S767" s="11" t="n">
        <f aca="false">R767/(1-Resumo!$C$6)</f>
        <v>166.682954545455</v>
      </c>
      <c r="T767" s="11" t="n">
        <f aca="false">S767-J767</f>
        <v>52.5929545454545</v>
      </c>
      <c r="U767" s="12" t="n">
        <f aca="false">IFERROR(S767/J767-1,0)</f>
        <v>0.460977776715352</v>
      </c>
      <c r="V767" s="2" t="str">
        <f aca="false">IF(S767&lt;J767,"SIM","NÃO")</f>
        <v>NÃO</v>
      </c>
      <c r="W767" s="2" t="n">
        <v>5</v>
      </c>
      <c r="X767" s="2" t="s">
        <v>156</v>
      </c>
    </row>
    <row r="768" customFormat="false" ht="15" hidden="false" customHeight="false" outlineLevel="0" collapsed="false">
      <c r="A768" s="2" t="n">
        <v>373588942</v>
      </c>
      <c r="B768" s="29" t="n">
        <v>46242.8924652778</v>
      </c>
      <c r="C768" s="2" t="s">
        <v>153</v>
      </c>
      <c r="D768" s="2" t="s">
        <v>352</v>
      </c>
      <c r="E768" s="2" t="s">
        <v>78</v>
      </c>
      <c r="F768" s="2" t="s">
        <v>106</v>
      </c>
      <c r="G768" s="30" t="n">
        <v>20.9</v>
      </c>
      <c r="H768" s="11" t="n">
        <v>450</v>
      </c>
      <c r="I768" s="11" t="s">
        <v>155</v>
      </c>
      <c r="J768" s="11" t="n">
        <v>82.48</v>
      </c>
      <c r="K768" s="11" t="n">
        <v>82.21</v>
      </c>
      <c r="L768" s="11" t="n">
        <v>0.45</v>
      </c>
      <c r="M768" s="11" t="n">
        <v>0.9</v>
      </c>
      <c r="N768" s="11" t="n">
        <v>1</v>
      </c>
      <c r="O768" s="11" t="n">
        <v>4.5</v>
      </c>
      <c r="P768" s="11" t="n">
        <v>1.26</v>
      </c>
      <c r="Q768" s="11" t="n">
        <v>9.45</v>
      </c>
      <c r="R768" s="11" t="n">
        <f aca="false">SUM(K768:Q768)</f>
        <v>99.77</v>
      </c>
      <c r="S768" s="11" t="n">
        <f aca="false">R768/(1-Resumo!$C$6)</f>
        <v>113.375</v>
      </c>
      <c r="T768" s="11" t="n">
        <f aca="false">S768-J768</f>
        <v>30.895</v>
      </c>
      <c r="U768" s="12" t="n">
        <f aca="false">IFERROR(S768/J768-1,0)</f>
        <v>0.374575654704171</v>
      </c>
      <c r="V768" s="2" t="str">
        <f aca="false">IF(S768&lt;J768,"SIM","NÃO")</f>
        <v>NÃO</v>
      </c>
      <c r="W768" s="2" t="n">
        <v>5</v>
      </c>
      <c r="X768" s="2" t="s">
        <v>156</v>
      </c>
    </row>
    <row r="769" customFormat="false" ht="15" hidden="false" customHeight="false" outlineLevel="0" collapsed="false">
      <c r="A769" s="2" t="n">
        <v>373588974</v>
      </c>
      <c r="B769" s="29" t="n">
        <v>46242.8924884259</v>
      </c>
      <c r="C769" s="2" t="s">
        <v>158</v>
      </c>
      <c r="D769" s="2" t="s">
        <v>941</v>
      </c>
      <c r="E769" s="2" t="s">
        <v>78</v>
      </c>
      <c r="F769" s="2" t="s">
        <v>110</v>
      </c>
      <c r="G769" s="30" t="n">
        <v>61.4</v>
      </c>
      <c r="H769" s="11" t="n">
        <v>979.99</v>
      </c>
      <c r="I769" s="11" t="s">
        <v>155</v>
      </c>
      <c r="J769" s="11" t="n">
        <v>125.91</v>
      </c>
      <c r="K769" s="11" t="n">
        <v>131.02</v>
      </c>
      <c r="L769" s="11" t="n">
        <v>0.98</v>
      </c>
      <c r="M769" s="11" t="n">
        <v>1.96</v>
      </c>
      <c r="N769" s="11" t="n">
        <v>1</v>
      </c>
      <c r="O769" s="11" t="n">
        <v>4.5</v>
      </c>
      <c r="P769" s="11" t="n">
        <v>3.72</v>
      </c>
      <c r="Q769" s="11" t="n">
        <v>27.9</v>
      </c>
      <c r="R769" s="11" t="n">
        <f aca="false">SUM(K769:Q769)</f>
        <v>171.08</v>
      </c>
      <c r="S769" s="11" t="n">
        <f aca="false">R769/(1-Resumo!$C$6)</f>
        <v>194.409090909091</v>
      </c>
      <c r="T769" s="11" t="n">
        <f aca="false">S769-J769</f>
        <v>68.4990909090909</v>
      </c>
      <c r="U769" s="12" t="n">
        <f aca="false">IFERROR(S769/J769-1,0)</f>
        <v>0.544032173052902</v>
      </c>
      <c r="V769" s="2" t="str">
        <f aca="false">IF(S769&lt;J769,"SIM","NÃO")</f>
        <v>NÃO</v>
      </c>
      <c r="W769" s="2" t="n">
        <v>5</v>
      </c>
      <c r="X769" s="2" t="s">
        <v>156</v>
      </c>
    </row>
    <row r="770" customFormat="false" ht="15" hidden="false" customHeight="false" outlineLevel="0" collapsed="false">
      <c r="A770" s="2" t="n">
        <v>373596483</v>
      </c>
      <c r="B770" s="29" t="n">
        <v>46242.9063310185</v>
      </c>
      <c r="C770" s="2" t="s">
        <v>153</v>
      </c>
      <c r="D770" s="2" t="s">
        <v>942</v>
      </c>
      <c r="E770" s="2" t="s">
        <v>78</v>
      </c>
      <c r="F770" s="2" t="s">
        <v>108</v>
      </c>
      <c r="G770" s="30" t="n">
        <v>44.6</v>
      </c>
      <c r="H770" s="11" t="n">
        <v>549.99</v>
      </c>
      <c r="I770" s="11" t="s">
        <v>350</v>
      </c>
      <c r="J770" s="11" t="n">
        <v>103.07</v>
      </c>
      <c r="K770" s="11" t="n">
        <v>93.97</v>
      </c>
      <c r="L770" s="11" t="n">
        <v>0.55</v>
      </c>
      <c r="M770" s="11" t="n">
        <v>1.1</v>
      </c>
      <c r="N770" s="11" t="n">
        <v>1</v>
      </c>
      <c r="O770" s="11" t="n">
        <v>4.5</v>
      </c>
      <c r="P770" s="11" t="n">
        <v>2.7</v>
      </c>
      <c r="Q770" s="11" t="n">
        <v>20.25</v>
      </c>
      <c r="R770" s="11" t="n">
        <f aca="false">SUM(K770:Q770)</f>
        <v>124.07</v>
      </c>
      <c r="S770" s="11" t="n">
        <f aca="false">R770/(1-Resumo!$C$6)</f>
        <v>140.988636363636</v>
      </c>
      <c r="T770" s="11" t="n">
        <f aca="false">S770-J770</f>
        <v>37.9186363636364</v>
      </c>
      <c r="U770" s="12" t="n">
        <f aca="false">IFERROR(S770/J770-1,0)</f>
        <v>0.367892076876262</v>
      </c>
      <c r="V770" s="2" t="str">
        <f aca="false">IF(S770&lt;J770,"SIM","NÃO")</f>
        <v>NÃO</v>
      </c>
      <c r="W770" s="2" t="n">
        <v>5</v>
      </c>
      <c r="X770" s="2" t="s">
        <v>156</v>
      </c>
    </row>
    <row r="771" customFormat="false" ht="15" hidden="false" customHeight="false" outlineLevel="0" collapsed="false">
      <c r="A771" s="2" t="n">
        <v>373600840</v>
      </c>
      <c r="B771" s="29" t="n">
        <v>46242.9144097222</v>
      </c>
      <c r="C771" s="2" t="s">
        <v>153</v>
      </c>
      <c r="D771" s="2" t="s">
        <v>943</v>
      </c>
      <c r="E771" s="2" t="s">
        <v>79</v>
      </c>
      <c r="F771" s="2" t="s">
        <v>106</v>
      </c>
      <c r="G771" s="30" t="n">
        <v>34.4</v>
      </c>
      <c r="H771" s="11" t="n">
        <v>440.88</v>
      </c>
      <c r="I771" s="11" t="s">
        <v>350</v>
      </c>
      <c r="J771" s="11" t="n">
        <v>103.42</v>
      </c>
      <c r="K771" s="11" t="n">
        <v>100.58</v>
      </c>
      <c r="L771" s="11" t="n">
        <v>0.4409</v>
      </c>
      <c r="M771" s="11" t="n">
        <v>0.8818</v>
      </c>
      <c r="N771" s="11" t="n">
        <v>1</v>
      </c>
      <c r="O771" s="11" t="n">
        <v>4.5</v>
      </c>
      <c r="P771" s="11" t="n">
        <v>2.1</v>
      </c>
      <c r="Q771" s="11" t="n">
        <v>15.75</v>
      </c>
      <c r="R771" s="11" t="n">
        <f aca="false">SUM(K771:Q771)</f>
        <v>125.2527</v>
      </c>
      <c r="S771" s="11" t="n">
        <f aca="false">R771/(1-Resumo!$C$6)</f>
        <v>142.332613636364</v>
      </c>
      <c r="T771" s="11" t="n">
        <f aca="false">S771-J771</f>
        <v>38.9126136363636</v>
      </c>
      <c r="U771" s="12" t="n">
        <f aca="false">IFERROR(S771/J771-1,0)</f>
        <v>0.376258109034651</v>
      </c>
      <c r="V771" s="2" t="str">
        <f aca="false">IF(S771&lt;J771,"SIM","NÃO")</f>
        <v>NÃO</v>
      </c>
      <c r="W771" s="2" t="n">
        <v>7</v>
      </c>
      <c r="X771" s="2" t="s">
        <v>156</v>
      </c>
    </row>
    <row r="772" customFormat="false" ht="15" hidden="false" customHeight="false" outlineLevel="0" collapsed="false">
      <c r="A772" s="2" t="n">
        <v>373606286</v>
      </c>
      <c r="B772" s="29" t="n">
        <v>46242.9253009259</v>
      </c>
      <c r="C772" s="2" t="s">
        <v>153</v>
      </c>
      <c r="D772" s="2" t="s">
        <v>944</v>
      </c>
      <c r="E772" s="2" t="s">
        <v>79</v>
      </c>
      <c r="F772" s="2" t="s">
        <v>109</v>
      </c>
      <c r="G772" s="30" t="n">
        <v>54.8</v>
      </c>
      <c r="H772" s="11" t="n">
        <v>719.98</v>
      </c>
      <c r="I772" s="11" t="s">
        <v>350</v>
      </c>
      <c r="J772" s="11" t="n">
        <v>128.81</v>
      </c>
      <c r="K772" s="11" t="n">
        <v>128.14</v>
      </c>
      <c r="L772" s="11" t="n">
        <v>0.72</v>
      </c>
      <c r="M772" s="11" t="n">
        <v>1.44</v>
      </c>
      <c r="N772" s="11" t="n">
        <v>1</v>
      </c>
      <c r="O772" s="11" t="n">
        <v>4.5</v>
      </c>
      <c r="P772" s="11" t="n">
        <v>3.3</v>
      </c>
      <c r="Q772" s="11" t="n">
        <v>24.75</v>
      </c>
      <c r="R772" s="11" t="n">
        <f aca="false">SUM(K772:Q772)</f>
        <v>163.85</v>
      </c>
      <c r="S772" s="11" t="n">
        <f aca="false">R772/(1-Resumo!$C$6)</f>
        <v>186.193181818182</v>
      </c>
      <c r="T772" s="11" t="n">
        <f aca="false">S772-J772</f>
        <v>57.3831818181818</v>
      </c>
      <c r="U772" s="12" t="n">
        <f aca="false">IFERROR(S772/J772-1,0)</f>
        <v>0.445487010466437</v>
      </c>
      <c r="V772" s="2" t="str">
        <f aca="false">IF(S772&lt;J772,"SIM","NÃO")</f>
        <v>NÃO</v>
      </c>
      <c r="W772" s="2" t="n">
        <v>7</v>
      </c>
      <c r="X772" s="2" t="s">
        <v>156</v>
      </c>
    </row>
    <row r="773" customFormat="false" ht="15" hidden="false" customHeight="false" outlineLevel="0" collapsed="false">
      <c r="A773" s="2" t="n">
        <v>373608428</v>
      </c>
      <c r="B773" s="29" t="n">
        <v>46242.9296527778</v>
      </c>
      <c r="C773" s="2" t="s">
        <v>153</v>
      </c>
      <c r="D773" s="2" t="s">
        <v>945</v>
      </c>
      <c r="E773" s="2" t="s">
        <v>78</v>
      </c>
      <c r="F773" s="2" t="s">
        <v>106</v>
      </c>
      <c r="G773" s="30" t="n">
        <v>29.2</v>
      </c>
      <c r="H773" s="11" t="n">
        <v>387.99</v>
      </c>
      <c r="I773" s="11" t="s">
        <v>155</v>
      </c>
      <c r="J773" s="11" t="n">
        <v>82.19</v>
      </c>
      <c r="K773" s="11" t="n">
        <v>82.21</v>
      </c>
      <c r="L773" s="11" t="n">
        <v>0.388</v>
      </c>
      <c r="M773" s="11" t="n">
        <v>0.776</v>
      </c>
      <c r="N773" s="11" t="n">
        <v>1</v>
      </c>
      <c r="O773" s="11" t="n">
        <v>4.5</v>
      </c>
      <c r="P773" s="11" t="n">
        <v>1.8</v>
      </c>
      <c r="Q773" s="11" t="n">
        <v>13.5</v>
      </c>
      <c r="R773" s="11" t="n">
        <f aca="false">SUM(K773:Q773)</f>
        <v>104.174</v>
      </c>
      <c r="S773" s="11" t="n">
        <f aca="false">R773/(1-Resumo!$C$6)</f>
        <v>118.379545454545</v>
      </c>
      <c r="T773" s="11" t="n">
        <f aca="false">S773-J773</f>
        <v>36.1895454545455</v>
      </c>
      <c r="U773" s="12" t="n">
        <f aca="false">IFERROR(S773/J773-1,0)</f>
        <v>0.440315676536628</v>
      </c>
      <c r="V773" s="2" t="str">
        <f aca="false">IF(S773&lt;J773,"SIM","NÃO")</f>
        <v>NÃO</v>
      </c>
      <c r="W773" s="2" t="n">
        <v>5</v>
      </c>
      <c r="X773" s="2" t="s">
        <v>156</v>
      </c>
    </row>
    <row r="774" customFormat="false" ht="15" hidden="false" customHeight="false" outlineLevel="0" collapsed="false">
      <c r="A774" s="2" t="n">
        <v>373613499</v>
      </c>
      <c r="B774" s="29" t="n">
        <v>46242.94</v>
      </c>
      <c r="C774" s="2" t="s">
        <v>153</v>
      </c>
      <c r="D774" s="2" t="s">
        <v>946</v>
      </c>
      <c r="E774" s="2" t="s">
        <v>78</v>
      </c>
      <c r="F774" s="2" t="s">
        <v>106</v>
      </c>
      <c r="G774" s="30" t="n">
        <v>27</v>
      </c>
      <c r="H774" s="11" t="n">
        <v>297.99</v>
      </c>
      <c r="I774" s="11" t="s">
        <v>155</v>
      </c>
      <c r="J774" s="11" t="n">
        <v>81.76</v>
      </c>
      <c r="K774" s="11" t="n">
        <v>82.21</v>
      </c>
      <c r="L774" s="11" t="n">
        <v>0.298</v>
      </c>
      <c r="M774" s="11" t="n">
        <v>0.596</v>
      </c>
      <c r="N774" s="11" t="n">
        <v>1</v>
      </c>
      <c r="O774" s="11" t="n">
        <v>4.5</v>
      </c>
      <c r="P774" s="11" t="n">
        <v>1.62</v>
      </c>
      <c r="Q774" s="11" t="n">
        <v>12.15</v>
      </c>
      <c r="R774" s="11" t="n">
        <f aca="false">SUM(K774:Q774)</f>
        <v>102.374</v>
      </c>
      <c r="S774" s="11" t="n">
        <f aca="false">R774/(1-Resumo!$C$6)</f>
        <v>116.334090909091</v>
      </c>
      <c r="T774" s="11" t="n">
        <f aca="false">S774-J774</f>
        <v>34.5740909090909</v>
      </c>
      <c r="U774" s="12" t="n">
        <f aca="false">IFERROR(S774/J774-1,0)</f>
        <v>0.422872931862658</v>
      </c>
      <c r="V774" s="2" t="str">
        <f aca="false">IF(S774&lt;J774,"SIM","NÃO")</f>
        <v>NÃO</v>
      </c>
      <c r="W774" s="2" t="n">
        <v>5</v>
      </c>
      <c r="X774" s="2" t="s">
        <v>156</v>
      </c>
    </row>
    <row r="775" customFormat="false" ht="15" hidden="false" customHeight="false" outlineLevel="0" collapsed="false">
      <c r="A775" s="2" t="n">
        <v>373614827</v>
      </c>
      <c r="B775" s="29" t="n">
        <v>46242.9423032407</v>
      </c>
      <c r="C775" s="2" t="s">
        <v>153</v>
      </c>
      <c r="D775" s="2" t="s">
        <v>947</v>
      </c>
      <c r="E775" s="2" t="s">
        <v>813</v>
      </c>
      <c r="F775" s="2" t="s">
        <v>110</v>
      </c>
      <c r="G775" s="30" t="n">
        <v>61.5</v>
      </c>
      <c r="H775" s="11" t="n">
        <v>708.4</v>
      </c>
      <c r="I775" s="11" t="s">
        <v>350</v>
      </c>
      <c r="J775" s="11" t="n">
        <v>154.18</v>
      </c>
      <c r="K775" s="11" t="n">
        <v>166.05</v>
      </c>
      <c r="L775" s="11" t="n">
        <v>0.7084</v>
      </c>
      <c r="M775" s="11" t="n">
        <v>1.4168</v>
      </c>
      <c r="N775" s="11" t="n">
        <v>1</v>
      </c>
      <c r="O775" s="11" t="n">
        <v>4.5</v>
      </c>
      <c r="P775" s="11" t="n">
        <v>3.72</v>
      </c>
      <c r="Q775" s="11" t="n">
        <v>27.9</v>
      </c>
      <c r="R775" s="11" t="n">
        <f aca="false">SUM(K775:Q775)</f>
        <v>205.2952</v>
      </c>
      <c r="S775" s="11" t="n">
        <f aca="false">R775/(1-Resumo!$C$6)</f>
        <v>233.29</v>
      </c>
      <c r="T775" s="11" t="n">
        <f aca="false">S775-J775</f>
        <v>79.11</v>
      </c>
      <c r="U775" s="12" t="n">
        <f aca="false">IFERROR(S775/J775-1,0)</f>
        <v>0.513101569593981</v>
      </c>
      <c r="V775" s="2" t="str">
        <f aca="false">IF(S775&lt;J775,"SIM","NÃO")</f>
        <v>NÃO</v>
      </c>
      <c r="W775" s="2" t="n">
        <v>10</v>
      </c>
      <c r="X775" s="2" t="s">
        <v>161</v>
      </c>
    </row>
    <row r="776" customFormat="false" ht="15" hidden="false" customHeight="false" outlineLevel="0" collapsed="false">
      <c r="A776" s="2" t="n">
        <v>373615994</v>
      </c>
      <c r="B776" s="29" t="n">
        <v>46242.9448726852</v>
      </c>
      <c r="C776" s="2" t="s">
        <v>153</v>
      </c>
      <c r="D776" s="2" t="s">
        <v>948</v>
      </c>
      <c r="E776" s="2" t="s">
        <v>79</v>
      </c>
      <c r="F776" s="2" t="s">
        <v>106</v>
      </c>
      <c r="G776" s="30" t="n">
        <v>22.4</v>
      </c>
      <c r="H776" s="11" t="n">
        <v>423</v>
      </c>
      <c r="I776" s="11" t="s">
        <v>205</v>
      </c>
      <c r="J776" s="11" t="n">
        <v>85.45</v>
      </c>
      <c r="K776" s="11" t="n">
        <v>100.58</v>
      </c>
      <c r="L776" s="11" t="n">
        <v>0.423</v>
      </c>
      <c r="M776" s="11" t="n">
        <v>0.846</v>
      </c>
      <c r="N776" s="11" t="n">
        <v>1</v>
      </c>
      <c r="O776" s="11" t="n">
        <v>4.5</v>
      </c>
      <c r="P776" s="11" t="n">
        <v>1.38</v>
      </c>
      <c r="Q776" s="11" t="n">
        <v>10.35</v>
      </c>
      <c r="R776" s="11" t="n">
        <f aca="false">SUM(K776:Q776)</f>
        <v>119.079</v>
      </c>
      <c r="S776" s="11" t="n">
        <f aca="false">R776/(1-Resumo!$C$6)</f>
        <v>135.317045454545</v>
      </c>
      <c r="T776" s="11" t="n">
        <f aca="false">S776-J776</f>
        <v>49.8670454545455</v>
      </c>
      <c r="U776" s="12" t="n">
        <f aca="false">IFERROR(S776/J776-1,0)</f>
        <v>0.583581573487952</v>
      </c>
      <c r="V776" s="2" t="str">
        <f aca="false">IF(S776&lt;J776,"SIM","NÃO")</f>
        <v>NÃO</v>
      </c>
      <c r="W776" s="2" t="n">
        <v>7</v>
      </c>
      <c r="X776" s="2" t="s">
        <v>156</v>
      </c>
    </row>
    <row r="777" customFormat="false" ht="15" hidden="false" customHeight="false" outlineLevel="0" collapsed="false">
      <c r="A777" s="2" t="n">
        <v>373616222</v>
      </c>
      <c r="B777" s="29" t="n">
        <v>46242.9454861111</v>
      </c>
      <c r="C777" s="2" t="s">
        <v>153</v>
      </c>
      <c r="D777" s="2" t="s">
        <v>949</v>
      </c>
      <c r="E777" s="2" t="s">
        <v>82</v>
      </c>
      <c r="F777" s="2" t="s">
        <v>109</v>
      </c>
      <c r="G777" s="30" t="n">
        <v>52.3</v>
      </c>
      <c r="H777" s="11" t="n">
        <v>616.99</v>
      </c>
      <c r="I777" s="11" t="s">
        <v>155</v>
      </c>
      <c r="J777" s="11" t="n">
        <v>128.23</v>
      </c>
      <c r="K777" s="11" t="n">
        <v>128.14</v>
      </c>
      <c r="L777" s="11" t="n">
        <v>0.617</v>
      </c>
      <c r="M777" s="11" t="n">
        <v>1.234</v>
      </c>
      <c r="N777" s="11" t="n">
        <v>1</v>
      </c>
      <c r="O777" s="11" t="n">
        <v>4.5</v>
      </c>
      <c r="P777" s="11" t="n">
        <v>3.18</v>
      </c>
      <c r="Q777" s="11" t="n">
        <v>23.85</v>
      </c>
      <c r="R777" s="11" t="n">
        <f aca="false">SUM(K777:Q777)</f>
        <v>162.521</v>
      </c>
      <c r="S777" s="11" t="n">
        <f aca="false">R777/(1-Resumo!$C$6)</f>
        <v>184.682954545455</v>
      </c>
      <c r="T777" s="11" t="n">
        <f aca="false">S777-J777</f>
        <v>56.4529545454545</v>
      </c>
      <c r="U777" s="12" t="n">
        <f aca="false">IFERROR(S777/J777-1,0)</f>
        <v>0.440247637412887</v>
      </c>
      <c r="V777" s="2" t="str">
        <f aca="false">IF(S777&lt;J777,"SIM","NÃO")</f>
        <v>NÃO</v>
      </c>
      <c r="W777" s="2" t="n">
        <v>7</v>
      </c>
      <c r="X777" s="2" t="s">
        <v>156</v>
      </c>
    </row>
    <row r="778" customFormat="false" ht="15" hidden="false" customHeight="false" outlineLevel="0" collapsed="false">
      <c r="A778" s="2" t="n">
        <v>373616962</v>
      </c>
      <c r="B778" s="29" t="n">
        <v>46242.9470601852</v>
      </c>
      <c r="C778" s="2" t="s">
        <v>153</v>
      </c>
      <c r="D778" s="2" t="s">
        <v>209</v>
      </c>
      <c r="E778" s="2" t="s">
        <v>78</v>
      </c>
      <c r="F778" s="2" t="s">
        <v>109</v>
      </c>
      <c r="G778" s="30" t="n">
        <v>52.3</v>
      </c>
      <c r="H778" s="11" t="n">
        <v>685.88</v>
      </c>
      <c r="I778" s="11" t="s">
        <v>350</v>
      </c>
      <c r="J778" s="11" t="n">
        <v>113.56</v>
      </c>
      <c r="K778" s="11" t="n">
        <v>112.3</v>
      </c>
      <c r="L778" s="11" t="n">
        <v>0.6859</v>
      </c>
      <c r="M778" s="11" t="n">
        <v>1.3718</v>
      </c>
      <c r="N778" s="11" t="n">
        <v>1</v>
      </c>
      <c r="O778" s="11" t="n">
        <v>4.5</v>
      </c>
      <c r="P778" s="11" t="n">
        <v>3.18</v>
      </c>
      <c r="Q778" s="11" t="n">
        <v>23.85</v>
      </c>
      <c r="R778" s="11" t="n">
        <f aca="false">SUM(K778:Q778)</f>
        <v>146.8877</v>
      </c>
      <c r="S778" s="11" t="n">
        <f aca="false">R778/(1-Resumo!$C$6)</f>
        <v>166.917840909091</v>
      </c>
      <c r="T778" s="11" t="n">
        <f aca="false">S778-J778</f>
        <v>53.3578409090909</v>
      </c>
      <c r="U778" s="12" t="n">
        <f aca="false">IFERROR(S778/J778-1,0)</f>
        <v>0.469864749111403</v>
      </c>
      <c r="V778" s="2" t="str">
        <f aca="false">IF(S778&lt;J778,"SIM","NÃO")</f>
        <v>NÃO</v>
      </c>
      <c r="W778" s="2" t="n">
        <v>5</v>
      </c>
      <c r="X778" s="2" t="s">
        <v>156</v>
      </c>
    </row>
    <row r="779" customFormat="false" ht="15" hidden="false" customHeight="false" outlineLevel="0" collapsed="false">
      <c r="A779" s="2" t="n">
        <v>373618744</v>
      </c>
      <c r="B779" s="29" t="n">
        <v>46242.9505787037</v>
      </c>
      <c r="C779" s="2" t="s">
        <v>153</v>
      </c>
      <c r="D779" s="2" t="s">
        <v>950</v>
      </c>
      <c r="E779" s="2" t="s">
        <v>78</v>
      </c>
      <c r="F779" s="2" t="s">
        <v>109</v>
      </c>
      <c r="G779" s="30" t="n">
        <v>52.3</v>
      </c>
      <c r="H779" s="11" t="n">
        <v>685.88</v>
      </c>
      <c r="I779" s="11" t="s">
        <v>155</v>
      </c>
      <c r="J779" s="11" t="n">
        <v>114.43</v>
      </c>
      <c r="K779" s="11" t="n">
        <v>112.3</v>
      </c>
      <c r="L779" s="11" t="n">
        <v>0.6859</v>
      </c>
      <c r="M779" s="11" t="n">
        <v>1.3718</v>
      </c>
      <c r="N779" s="11" t="n">
        <v>1</v>
      </c>
      <c r="O779" s="11" t="n">
        <v>4.5</v>
      </c>
      <c r="P779" s="11" t="n">
        <v>3.18</v>
      </c>
      <c r="Q779" s="11" t="n">
        <v>23.85</v>
      </c>
      <c r="R779" s="11" t="n">
        <f aca="false">SUM(K779:Q779)</f>
        <v>146.8877</v>
      </c>
      <c r="S779" s="11" t="n">
        <f aca="false">R779/(1-Resumo!$C$6)</f>
        <v>166.917840909091</v>
      </c>
      <c r="T779" s="11" t="n">
        <f aca="false">S779-J779</f>
        <v>52.4878409090909</v>
      </c>
      <c r="U779" s="12" t="n">
        <f aca="false">IFERROR(S779/J779-1,0)</f>
        <v>0.458689512445083</v>
      </c>
      <c r="V779" s="2" t="str">
        <f aca="false">IF(S779&lt;J779,"SIM","NÃO")</f>
        <v>NÃO</v>
      </c>
      <c r="W779" s="2" t="n">
        <v>5</v>
      </c>
      <c r="X779" s="2" t="s">
        <v>156</v>
      </c>
    </row>
    <row r="780" customFormat="false" ht="15" hidden="false" customHeight="false" outlineLevel="0" collapsed="false">
      <c r="A780" s="2" t="n">
        <v>373619912</v>
      </c>
      <c r="B780" s="29" t="n">
        <v>46242.952962963</v>
      </c>
      <c r="C780" s="2" t="s">
        <v>153</v>
      </c>
      <c r="D780" s="2" t="s">
        <v>951</v>
      </c>
      <c r="E780" s="2" t="s">
        <v>79</v>
      </c>
      <c r="F780" s="2" t="s">
        <v>105</v>
      </c>
      <c r="G780" s="30" t="n">
        <v>19.5</v>
      </c>
      <c r="H780" s="11" t="n">
        <v>351</v>
      </c>
      <c r="I780" s="11" t="s">
        <v>350</v>
      </c>
      <c r="J780" s="11" t="n">
        <v>77.05</v>
      </c>
      <c r="K780" s="11" t="n">
        <v>57.47</v>
      </c>
      <c r="L780" s="11" t="n">
        <v>0.351</v>
      </c>
      <c r="M780" s="11" t="n">
        <v>0.702</v>
      </c>
      <c r="N780" s="11" t="n">
        <v>1</v>
      </c>
      <c r="O780" s="11" t="n">
        <v>4.5</v>
      </c>
      <c r="P780" s="11" t="n">
        <v>1.2</v>
      </c>
      <c r="Q780" s="11" t="n">
        <v>9</v>
      </c>
      <c r="R780" s="11" t="n">
        <f aca="false">SUM(K780:Q780)</f>
        <v>74.223</v>
      </c>
      <c r="S780" s="11" t="n">
        <f aca="false">R780/(1-Resumo!$C$6)</f>
        <v>84.3443181818182</v>
      </c>
      <c r="T780" s="11" t="n">
        <f aca="false">S780-J780</f>
        <v>7.29431818181818</v>
      </c>
      <c r="U780" s="12" t="n">
        <f aca="false">IFERROR(S780/J780-1,0)</f>
        <v>0.0946699309775234</v>
      </c>
      <c r="V780" s="2" t="str">
        <f aca="false">IF(S780&lt;J780,"SIM","NÃO")</f>
        <v>NÃO</v>
      </c>
      <c r="W780" s="2" t="n">
        <v>7</v>
      </c>
      <c r="X780" s="2" t="s">
        <v>156</v>
      </c>
    </row>
    <row r="781" customFormat="false" ht="15" hidden="false" customHeight="false" outlineLevel="0" collapsed="false">
      <c r="A781" s="2" t="n">
        <v>373633250</v>
      </c>
      <c r="B781" s="29" t="n">
        <v>46242.9636458333</v>
      </c>
      <c r="C781" s="2" t="s">
        <v>369</v>
      </c>
      <c r="D781" s="2" t="s">
        <v>952</v>
      </c>
      <c r="E781" s="2" t="s">
        <v>78</v>
      </c>
      <c r="F781" s="2" t="s">
        <v>108</v>
      </c>
      <c r="G781" s="30" t="n">
        <v>44.5</v>
      </c>
      <c r="H781" s="11" t="n">
        <v>799.99</v>
      </c>
      <c r="I781" s="11" t="s">
        <v>155</v>
      </c>
      <c r="J781" s="11" t="n">
        <v>104.42</v>
      </c>
      <c r="K781" s="11" t="n">
        <v>93.97</v>
      </c>
      <c r="L781" s="11" t="n">
        <v>0.8</v>
      </c>
      <c r="M781" s="11" t="n">
        <v>1.6</v>
      </c>
      <c r="N781" s="11" t="n">
        <v>1</v>
      </c>
      <c r="O781" s="11" t="n">
        <v>4.5</v>
      </c>
      <c r="P781" s="11" t="n">
        <v>2.7</v>
      </c>
      <c r="Q781" s="11" t="n">
        <v>20.25</v>
      </c>
      <c r="R781" s="11" t="n">
        <f aca="false">SUM(K781:Q781)</f>
        <v>124.82</v>
      </c>
      <c r="S781" s="11" t="n">
        <f aca="false">R781/(1-Resumo!$C$6)</f>
        <v>141.840909090909</v>
      </c>
      <c r="T781" s="11" t="n">
        <f aca="false">S781-J781</f>
        <v>37.4209090909091</v>
      </c>
      <c r="U781" s="12" t="n">
        <f aca="false">IFERROR(S781/J781-1,0)</f>
        <v>0.358369173442914</v>
      </c>
      <c r="V781" s="2" t="str">
        <f aca="false">IF(S781&lt;J781,"SIM","NÃO")</f>
        <v>NÃO</v>
      </c>
      <c r="W781" s="2" t="n">
        <v>5</v>
      </c>
      <c r="X781" s="2" t="s">
        <v>156</v>
      </c>
    </row>
    <row r="782" customFormat="false" ht="15" hidden="false" customHeight="false" outlineLevel="0" collapsed="false">
      <c r="A782" s="2" t="n">
        <v>373625302</v>
      </c>
      <c r="B782" s="29" t="n">
        <v>46242.9721990741</v>
      </c>
      <c r="C782" s="2" t="s">
        <v>191</v>
      </c>
      <c r="D782" s="2" t="s">
        <v>953</v>
      </c>
      <c r="E782" s="2" t="s">
        <v>80</v>
      </c>
      <c r="F782" s="2" t="s">
        <v>106</v>
      </c>
      <c r="G782" s="30" t="n">
        <v>35</v>
      </c>
      <c r="H782" s="11" t="n">
        <v>399.99</v>
      </c>
      <c r="I782" s="11" t="s">
        <v>155</v>
      </c>
      <c r="J782" s="11" t="n">
        <v>101.31</v>
      </c>
      <c r="K782" s="11" t="n">
        <v>82.21</v>
      </c>
      <c r="L782" s="11" t="n">
        <v>0.4</v>
      </c>
      <c r="M782" s="11" t="n">
        <v>0.8</v>
      </c>
      <c r="N782" s="11" t="n">
        <v>1</v>
      </c>
      <c r="O782" s="11" t="n">
        <v>4.5</v>
      </c>
      <c r="P782" s="11" t="n">
        <v>2.1</v>
      </c>
      <c r="Q782" s="11" t="n">
        <v>15.75</v>
      </c>
      <c r="R782" s="11" t="n">
        <f aca="false">SUM(K782:Q782)</f>
        <v>106.76</v>
      </c>
      <c r="S782" s="11" t="n">
        <f aca="false">R782/(1-Resumo!$C$6)</f>
        <v>121.318181818182</v>
      </c>
      <c r="T782" s="11" t="n">
        <f aca="false">S782-J782</f>
        <v>20.0081818181818</v>
      </c>
      <c r="U782" s="12" t="n">
        <f aca="false">IFERROR(S782/J782-1,0)</f>
        <v>0.197494638418535</v>
      </c>
      <c r="V782" s="2" t="str">
        <f aca="false">IF(S782&lt;J782,"SIM","NÃO")</f>
        <v>NÃO</v>
      </c>
      <c r="W782" s="2" t="n">
        <v>5</v>
      </c>
      <c r="X782" s="2" t="s">
        <v>156</v>
      </c>
    </row>
    <row r="783" customFormat="false" ht="15" hidden="false" customHeight="false" outlineLevel="0" collapsed="false">
      <c r="A783" s="2" t="n">
        <v>373635039</v>
      </c>
      <c r="B783" s="29" t="n">
        <v>46242.9844212963</v>
      </c>
      <c r="C783" s="2" t="s">
        <v>153</v>
      </c>
      <c r="D783" s="2" t="s">
        <v>954</v>
      </c>
      <c r="E783" s="2" t="s">
        <v>78</v>
      </c>
      <c r="F783" s="2" t="s">
        <v>106</v>
      </c>
      <c r="G783" s="30" t="n">
        <v>27.4</v>
      </c>
      <c r="H783" s="11" t="n">
        <v>369.99</v>
      </c>
      <c r="I783" s="11" t="s">
        <v>155</v>
      </c>
      <c r="J783" s="11" t="n">
        <v>82.1</v>
      </c>
      <c r="K783" s="11" t="n">
        <v>82.21</v>
      </c>
      <c r="L783" s="11" t="n">
        <v>0.37</v>
      </c>
      <c r="M783" s="11" t="n">
        <v>0.74</v>
      </c>
      <c r="N783" s="11" t="n">
        <v>1</v>
      </c>
      <c r="O783" s="11" t="n">
        <v>4.5</v>
      </c>
      <c r="P783" s="11" t="n">
        <v>1.68</v>
      </c>
      <c r="Q783" s="11" t="n">
        <v>12.6</v>
      </c>
      <c r="R783" s="11" t="n">
        <f aca="false">SUM(K783:Q783)</f>
        <v>103.1</v>
      </c>
      <c r="S783" s="11" t="n">
        <f aca="false">R783/(1-Resumo!$C$6)</f>
        <v>117.159090909091</v>
      </c>
      <c r="T783" s="11" t="n">
        <f aca="false">S783-J783</f>
        <v>35.0590909090909</v>
      </c>
      <c r="U783" s="12" t="n">
        <f aca="false">IFERROR(S783/J783-1,0)</f>
        <v>0.427029121913409</v>
      </c>
      <c r="V783" s="2" t="str">
        <f aca="false">IF(S783&lt;J783,"SIM","NÃO")</f>
        <v>NÃO</v>
      </c>
      <c r="W783" s="2" t="n">
        <v>5</v>
      </c>
      <c r="X783" s="2" t="s">
        <v>156</v>
      </c>
    </row>
    <row r="784" customFormat="false" ht="15" hidden="false" customHeight="false" outlineLevel="0" collapsed="false">
      <c r="A784" s="2" t="n">
        <v>373635152</v>
      </c>
      <c r="B784" s="29" t="n">
        <v>46242.9846527778</v>
      </c>
      <c r="C784" s="2" t="s">
        <v>153</v>
      </c>
      <c r="D784" s="2" t="s">
        <v>955</v>
      </c>
      <c r="E784" s="2" t="s">
        <v>79</v>
      </c>
      <c r="F784" s="2" t="s">
        <v>108</v>
      </c>
      <c r="G784" s="30" t="n">
        <v>46.8</v>
      </c>
      <c r="H784" s="11" t="n">
        <v>515.99</v>
      </c>
      <c r="I784" s="11" t="s">
        <v>350</v>
      </c>
      <c r="J784" s="11" t="n">
        <v>117.35</v>
      </c>
      <c r="K784" s="11" t="n">
        <v>114.95</v>
      </c>
      <c r="L784" s="11" t="n">
        <v>0.516</v>
      </c>
      <c r="M784" s="11" t="n">
        <v>1.032</v>
      </c>
      <c r="N784" s="11" t="n">
        <v>1</v>
      </c>
      <c r="O784" s="11" t="n">
        <v>4.5</v>
      </c>
      <c r="P784" s="11" t="n">
        <v>2.82</v>
      </c>
      <c r="Q784" s="11" t="n">
        <v>21.15</v>
      </c>
      <c r="R784" s="11" t="n">
        <f aca="false">SUM(K784:Q784)</f>
        <v>145.968</v>
      </c>
      <c r="S784" s="11" t="n">
        <f aca="false">R784/(1-Resumo!$C$6)</f>
        <v>165.872727272727</v>
      </c>
      <c r="T784" s="11" t="n">
        <f aca="false">S784-J784</f>
        <v>48.5227272727273</v>
      </c>
      <c r="U784" s="12" t="n">
        <f aca="false">IFERROR(S784/J784-1,0)</f>
        <v>0.413487237091839</v>
      </c>
      <c r="V784" s="2" t="str">
        <f aca="false">IF(S784&lt;J784,"SIM","NÃO")</f>
        <v>NÃO</v>
      </c>
      <c r="W784" s="2" t="n">
        <v>7</v>
      </c>
      <c r="X784" s="2" t="s">
        <v>156</v>
      </c>
    </row>
    <row r="785" customFormat="false" ht="15" hidden="false" customHeight="false" outlineLevel="0" collapsed="false">
      <c r="A785" s="2" t="n">
        <v>373637238</v>
      </c>
      <c r="B785" s="29" t="n">
        <v>46242.989224537</v>
      </c>
      <c r="C785" s="2" t="s">
        <v>153</v>
      </c>
      <c r="D785" s="2" t="s">
        <v>956</v>
      </c>
      <c r="E785" s="2" t="s">
        <v>78</v>
      </c>
      <c r="F785" s="2" t="s">
        <v>109</v>
      </c>
      <c r="G785" s="30" t="n">
        <v>56.7</v>
      </c>
      <c r="H785" s="11" t="n">
        <v>799.99</v>
      </c>
      <c r="I785" s="11" t="s">
        <v>350</v>
      </c>
      <c r="J785" s="11" t="n">
        <v>116.15</v>
      </c>
      <c r="K785" s="11" t="n">
        <v>112.3</v>
      </c>
      <c r="L785" s="11" t="n">
        <v>0.8</v>
      </c>
      <c r="M785" s="11" t="n">
        <v>1.6</v>
      </c>
      <c r="N785" s="11" t="n">
        <v>1</v>
      </c>
      <c r="O785" s="11" t="n">
        <v>4.5</v>
      </c>
      <c r="P785" s="11" t="n">
        <v>3.42</v>
      </c>
      <c r="Q785" s="11" t="n">
        <v>25.65</v>
      </c>
      <c r="R785" s="11" t="n">
        <f aca="false">SUM(K785:Q785)</f>
        <v>149.27</v>
      </c>
      <c r="S785" s="11" t="n">
        <f aca="false">R785/(1-Resumo!$C$6)</f>
        <v>169.625</v>
      </c>
      <c r="T785" s="11" t="n">
        <f aca="false">S785-J785</f>
        <v>53.475</v>
      </c>
      <c r="U785" s="12" t="n">
        <f aca="false">IFERROR(S785/J785-1,0)</f>
        <v>0.46039603960396</v>
      </c>
      <c r="V785" s="2" t="str">
        <f aca="false">IF(S785&lt;J785,"SIM","NÃO")</f>
        <v>NÃO</v>
      </c>
      <c r="W785" s="2" t="n">
        <v>5</v>
      </c>
      <c r="X785" s="2" t="s">
        <v>156</v>
      </c>
    </row>
    <row r="786" customFormat="false" ht="15" hidden="false" customHeight="false" outlineLevel="0" collapsed="false">
      <c r="A786" s="2" t="n">
        <v>373638278</v>
      </c>
      <c r="B786" s="29" t="n">
        <v>46242.9914467593</v>
      </c>
      <c r="C786" s="2" t="s">
        <v>153</v>
      </c>
      <c r="D786" s="2" t="s">
        <v>569</v>
      </c>
      <c r="E786" s="2" t="s">
        <v>78</v>
      </c>
      <c r="F786" s="2" t="s">
        <v>109</v>
      </c>
      <c r="G786" s="30" t="n">
        <v>56.7</v>
      </c>
      <c r="H786" s="11" t="n">
        <v>690.99</v>
      </c>
      <c r="I786" s="11" t="s">
        <v>155</v>
      </c>
      <c r="J786" s="11" t="n">
        <v>114.45</v>
      </c>
      <c r="K786" s="11" t="n">
        <v>112.3</v>
      </c>
      <c r="L786" s="11" t="n">
        <v>0.691</v>
      </c>
      <c r="M786" s="11" t="n">
        <v>1.382</v>
      </c>
      <c r="N786" s="11" t="n">
        <v>1</v>
      </c>
      <c r="O786" s="11" t="n">
        <v>4.5</v>
      </c>
      <c r="P786" s="11" t="n">
        <v>3.42</v>
      </c>
      <c r="Q786" s="11" t="n">
        <v>25.65</v>
      </c>
      <c r="R786" s="11" t="n">
        <f aca="false">SUM(K786:Q786)</f>
        <v>148.943</v>
      </c>
      <c r="S786" s="11" t="n">
        <f aca="false">R786/(1-Resumo!$C$6)</f>
        <v>169.253409090909</v>
      </c>
      <c r="T786" s="11" t="n">
        <f aca="false">S786-J786</f>
        <v>54.8034090909091</v>
      </c>
      <c r="U786" s="12" t="n">
        <f aca="false">IFERROR(S786/J786-1,0)</f>
        <v>0.478841494896541</v>
      </c>
      <c r="V786" s="2" t="str">
        <f aca="false">IF(S786&lt;J786,"SIM","NÃO")</f>
        <v>NÃO</v>
      </c>
      <c r="W786" s="2" t="n">
        <v>5</v>
      </c>
      <c r="X786" s="2" t="s">
        <v>156</v>
      </c>
    </row>
    <row r="787" customFormat="false" ht="15" hidden="false" customHeight="false" outlineLevel="0" collapsed="false">
      <c r="A787" s="2" t="n">
        <v>373638601</v>
      </c>
      <c r="B787" s="29" t="n">
        <v>46242.9921064815</v>
      </c>
      <c r="C787" s="2" t="s">
        <v>158</v>
      </c>
      <c r="D787" s="2" t="s">
        <v>957</v>
      </c>
      <c r="E787" s="2" t="s">
        <v>78</v>
      </c>
      <c r="F787" s="2" t="s">
        <v>106</v>
      </c>
      <c r="G787" s="30" t="n">
        <v>31.9</v>
      </c>
      <c r="H787" s="11" t="n">
        <v>466.39</v>
      </c>
      <c r="I787" s="11" t="s">
        <v>155</v>
      </c>
      <c r="J787" s="11" t="n">
        <v>82.56</v>
      </c>
      <c r="K787" s="11" t="n">
        <v>82.21</v>
      </c>
      <c r="L787" s="11" t="n">
        <v>0.4664</v>
      </c>
      <c r="M787" s="11" t="n">
        <v>0.9328</v>
      </c>
      <c r="N787" s="11" t="n">
        <v>1</v>
      </c>
      <c r="O787" s="11" t="n">
        <v>4.5</v>
      </c>
      <c r="P787" s="11" t="n">
        <v>1.92</v>
      </c>
      <c r="Q787" s="11" t="n">
        <v>14.4</v>
      </c>
      <c r="R787" s="11" t="n">
        <f aca="false">SUM(K787:Q787)</f>
        <v>105.4292</v>
      </c>
      <c r="S787" s="11" t="n">
        <f aca="false">R787/(1-Resumo!$C$6)</f>
        <v>119.805909090909</v>
      </c>
      <c r="T787" s="11" t="n">
        <f aca="false">S787-J787</f>
        <v>37.2459090909091</v>
      </c>
      <c r="U787" s="12" t="n">
        <f aca="false">IFERROR(S787/J787-1,0)</f>
        <v>0.451137464763918</v>
      </c>
      <c r="V787" s="2" t="str">
        <f aca="false">IF(S787&lt;J787,"SIM","NÃO")</f>
        <v>NÃO</v>
      </c>
      <c r="W787" s="2" t="n">
        <v>5</v>
      </c>
      <c r="X787" s="2" t="s">
        <v>156</v>
      </c>
    </row>
    <row r="788" customFormat="false" ht="15" hidden="false" customHeight="false" outlineLevel="0" collapsed="false">
      <c r="A788" s="2" t="n">
        <v>373652400</v>
      </c>
      <c r="B788" s="29" t="n">
        <v>46243.0326736111</v>
      </c>
      <c r="C788" s="2" t="s">
        <v>153</v>
      </c>
      <c r="D788" s="2" t="s">
        <v>958</v>
      </c>
      <c r="E788" s="2" t="s">
        <v>90</v>
      </c>
      <c r="F788" s="2" t="s">
        <v>109</v>
      </c>
      <c r="G788" s="30" t="n">
        <v>52.3</v>
      </c>
      <c r="H788" s="11" t="n">
        <v>616.99</v>
      </c>
      <c r="I788" s="11" t="s">
        <v>350</v>
      </c>
      <c r="J788" s="11" t="n">
        <v>141.63</v>
      </c>
      <c r="K788" s="11" t="n">
        <v>128.14</v>
      </c>
      <c r="L788" s="11" t="n">
        <v>0.617</v>
      </c>
      <c r="M788" s="11" t="n">
        <v>1.234</v>
      </c>
      <c r="N788" s="11" t="n">
        <v>1</v>
      </c>
      <c r="O788" s="11" t="n">
        <v>4.5</v>
      </c>
      <c r="P788" s="11" t="n">
        <v>3.18</v>
      </c>
      <c r="Q788" s="11" t="n">
        <v>23.85</v>
      </c>
      <c r="R788" s="11" t="n">
        <f aca="false">SUM(K788:Q788)</f>
        <v>162.521</v>
      </c>
      <c r="S788" s="11" t="n">
        <f aca="false">R788/(1-Resumo!$C$6)</f>
        <v>184.682954545455</v>
      </c>
      <c r="T788" s="11" t="n">
        <f aca="false">S788-J788</f>
        <v>43.0529545454545</v>
      </c>
      <c r="U788" s="12" t="n">
        <f aca="false">IFERROR(S788/J788-1,0)</f>
        <v>0.303981886220819</v>
      </c>
      <c r="V788" s="2" t="str">
        <f aca="false">IF(S788&lt;J788,"SIM","NÃO")</f>
        <v>NÃO</v>
      </c>
      <c r="W788" s="2" t="n">
        <v>7</v>
      </c>
      <c r="X788" s="2" t="s">
        <v>156</v>
      </c>
    </row>
    <row r="789" customFormat="false" ht="15" hidden="false" customHeight="false" outlineLevel="0" collapsed="false">
      <c r="A789" s="2" t="n">
        <v>373664595</v>
      </c>
      <c r="B789" s="29" t="n">
        <v>46243.0793634259</v>
      </c>
      <c r="C789" s="2" t="s">
        <v>153</v>
      </c>
      <c r="D789" s="2" t="s">
        <v>959</v>
      </c>
      <c r="E789" s="2" t="s">
        <v>78</v>
      </c>
      <c r="F789" s="2" t="s">
        <v>109</v>
      </c>
      <c r="G789" s="30" t="n">
        <v>52.3</v>
      </c>
      <c r="H789" s="11" t="n">
        <v>685.88</v>
      </c>
      <c r="I789" s="11" t="s">
        <v>155</v>
      </c>
      <c r="J789" s="11" t="n">
        <v>114.43</v>
      </c>
      <c r="K789" s="11" t="n">
        <v>112.3</v>
      </c>
      <c r="L789" s="11" t="n">
        <v>0.6859</v>
      </c>
      <c r="M789" s="11" t="n">
        <v>1.3718</v>
      </c>
      <c r="N789" s="11" t="n">
        <v>1</v>
      </c>
      <c r="O789" s="11" t="n">
        <v>4.5</v>
      </c>
      <c r="P789" s="11" t="n">
        <v>3.18</v>
      </c>
      <c r="Q789" s="11" t="n">
        <v>23.85</v>
      </c>
      <c r="R789" s="11" t="n">
        <f aca="false">SUM(K789:Q789)</f>
        <v>146.8877</v>
      </c>
      <c r="S789" s="11" t="n">
        <f aca="false">R789/(1-Resumo!$C$6)</f>
        <v>166.917840909091</v>
      </c>
      <c r="T789" s="11" t="n">
        <f aca="false">S789-J789</f>
        <v>52.4878409090909</v>
      </c>
      <c r="U789" s="12" t="n">
        <f aca="false">IFERROR(S789/J789-1,0)</f>
        <v>0.458689512445083</v>
      </c>
      <c r="V789" s="2" t="str">
        <f aca="false">IF(S789&lt;J789,"SIM","NÃO")</f>
        <v>NÃO</v>
      </c>
      <c r="W789" s="2" t="n">
        <v>5</v>
      </c>
      <c r="X789" s="2" t="s">
        <v>156</v>
      </c>
    </row>
    <row r="790" customFormat="false" ht="15" hidden="false" customHeight="false" outlineLevel="0" collapsed="false">
      <c r="A790" s="2" t="n">
        <v>373709040</v>
      </c>
      <c r="B790" s="29" t="n">
        <v>46243.3046296296</v>
      </c>
      <c r="C790" s="2" t="s">
        <v>153</v>
      </c>
      <c r="D790" s="2" t="s">
        <v>960</v>
      </c>
      <c r="E790" s="2" t="s">
        <v>78</v>
      </c>
      <c r="F790" s="2" t="s">
        <v>109</v>
      </c>
      <c r="G790" s="30" t="n">
        <v>56.7</v>
      </c>
      <c r="H790" s="11" t="n">
        <v>690.99</v>
      </c>
      <c r="I790" s="11" t="s">
        <v>155</v>
      </c>
      <c r="J790" s="11" t="n">
        <v>114.45</v>
      </c>
      <c r="K790" s="11" t="n">
        <v>112.3</v>
      </c>
      <c r="L790" s="11" t="n">
        <v>0.691</v>
      </c>
      <c r="M790" s="11" t="n">
        <v>1.382</v>
      </c>
      <c r="N790" s="11" t="n">
        <v>1</v>
      </c>
      <c r="O790" s="11" t="n">
        <v>4.5</v>
      </c>
      <c r="P790" s="11" t="n">
        <v>3.42</v>
      </c>
      <c r="Q790" s="11" t="n">
        <v>25.65</v>
      </c>
      <c r="R790" s="11" t="n">
        <f aca="false">SUM(K790:Q790)</f>
        <v>148.943</v>
      </c>
      <c r="S790" s="11" t="n">
        <f aca="false">R790/(1-Resumo!$C$6)</f>
        <v>169.253409090909</v>
      </c>
      <c r="T790" s="11" t="n">
        <f aca="false">S790-J790</f>
        <v>54.8034090909091</v>
      </c>
      <c r="U790" s="12" t="n">
        <f aca="false">IFERROR(S790/J790-1,0)</f>
        <v>0.478841494896541</v>
      </c>
      <c r="V790" s="2" t="str">
        <f aca="false">IF(S790&lt;J790,"SIM","NÃO")</f>
        <v>NÃO</v>
      </c>
      <c r="W790" s="2" t="n">
        <v>5</v>
      </c>
      <c r="X790" s="2" t="s">
        <v>156</v>
      </c>
    </row>
    <row r="791" customFormat="false" ht="15" hidden="false" customHeight="false" outlineLevel="0" collapsed="false">
      <c r="A791" s="2" t="n">
        <v>373709104</v>
      </c>
      <c r="B791" s="29" t="n">
        <v>46243.3053009259</v>
      </c>
      <c r="C791" s="2" t="s">
        <v>153</v>
      </c>
      <c r="D791" s="2" t="s">
        <v>961</v>
      </c>
      <c r="E791" s="2" t="s">
        <v>78</v>
      </c>
      <c r="F791" s="2" t="s">
        <v>107</v>
      </c>
      <c r="G791" s="30" t="n">
        <v>37.2</v>
      </c>
      <c r="H791" s="11" t="n">
        <v>419.99</v>
      </c>
      <c r="I791" s="11" t="s">
        <v>155</v>
      </c>
      <c r="J791" s="11" t="n">
        <v>91.86</v>
      </c>
      <c r="K791" s="11" t="n">
        <v>93.97</v>
      </c>
      <c r="L791" s="11" t="n">
        <v>0.42</v>
      </c>
      <c r="M791" s="11" t="n">
        <v>0.84</v>
      </c>
      <c r="N791" s="11" t="n">
        <v>1</v>
      </c>
      <c r="O791" s="11" t="n">
        <v>4.5</v>
      </c>
      <c r="P791" s="11" t="n">
        <v>2.28</v>
      </c>
      <c r="Q791" s="11" t="n">
        <v>17.1</v>
      </c>
      <c r="R791" s="11" t="n">
        <f aca="false">SUM(K791:Q791)</f>
        <v>120.11</v>
      </c>
      <c r="S791" s="11" t="n">
        <f aca="false">R791/(1-Resumo!$C$6)</f>
        <v>136.488636363636</v>
      </c>
      <c r="T791" s="11" t="n">
        <f aca="false">S791-J791</f>
        <v>44.6286363636364</v>
      </c>
      <c r="U791" s="12" t="n">
        <f aca="false">IFERROR(S791/J791-1,0)</f>
        <v>0.485833184886092</v>
      </c>
      <c r="V791" s="2" t="str">
        <f aca="false">IF(S791&lt;J791,"SIM","NÃO")</f>
        <v>NÃO</v>
      </c>
      <c r="W791" s="2" t="n">
        <v>5</v>
      </c>
      <c r="X791" s="2" t="s">
        <v>156</v>
      </c>
    </row>
    <row r="792" customFormat="false" ht="15" hidden="false" customHeight="false" outlineLevel="0" collapsed="false">
      <c r="A792" s="2" t="n">
        <v>373726826</v>
      </c>
      <c r="B792" s="29" t="n">
        <v>46243.3721875</v>
      </c>
      <c r="C792" s="2" t="s">
        <v>153</v>
      </c>
      <c r="D792" s="2" t="s">
        <v>962</v>
      </c>
      <c r="E792" s="2" t="s">
        <v>92</v>
      </c>
      <c r="F792" s="2" t="s">
        <v>110</v>
      </c>
      <c r="G792" s="30" t="n">
        <v>63.9</v>
      </c>
      <c r="H792" s="11" t="n">
        <v>735.99</v>
      </c>
      <c r="I792" s="11" t="s">
        <v>350</v>
      </c>
      <c r="J792" s="11" t="n">
        <v>155.34</v>
      </c>
      <c r="K792" s="11" t="n">
        <v>166.05</v>
      </c>
      <c r="L792" s="11" t="n">
        <v>0.736</v>
      </c>
      <c r="M792" s="11" t="n">
        <v>1.472</v>
      </c>
      <c r="N792" s="11" t="n">
        <v>1</v>
      </c>
      <c r="O792" s="11" t="n">
        <v>4.5</v>
      </c>
      <c r="P792" s="11" t="n">
        <v>3.84</v>
      </c>
      <c r="Q792" s="11" t="n">
        <v>28.8</v>
      </c>
      <c r="R792" s="11" t="n">
        <f aca="false">SUM(K792:Q792)</f>
        <v>206.398</v>
      </c>
      <c r="S792" s="11" t="n">
        <f aca="false">R792/(1-Resumo!$C$6)</f>
        <v>234.543181818182</v>
      </c>
      <c r="T792" s="11" t="n">
        <f aca="false">S792-J792</f>
        <v>79.2031818181818</v>
      </c>
      <c r="U792" s="12" t="n">
        <f aca="false">IFERROR(S792/J792-1,0)</f>
        <v>0.509869845617239</v>
      </c>
      <c r="V792" s="2" t="str">
        <f aca="false">IF(S792&lt;J792,"SIM","NÃO")</f>
        <v>NÃO</v>
      </c>
      <c r="W792" s="2" t="n">
        <v>10</v>
      </c>
      <c r="X792" s="2" t="s">
        <v>156</v>
      </c>
    </row>
    <row r="793" customFormat="false" ht="15" hidden="false" customHeight="false" outlineLevel="0" collapsed="false">
      <c r="A793" s="2" t="n">
        <v>373735942</v>
      </c>
      <c r="B793" s="29" t="n">
        <v>46243.3998842593</v>
      </c>
      <c r="C793" s="2" t="s">
        <v>153</v>
      </c>
      <c r="D793" s="2" t="s">
        <v>963</v>
      </c>
      <c r="E793" s="2" t="s">
        <v>79</v>
      </c>
      <c r="F793" s="2" t="s">
        <v>108</v>
      </c>
      <c r="G793" s="30" t="n">
        <v>44.5</v>
      </c>
      <c r="H793" s="11" t="n">
        <v>685.63</v>
      </c>
      <c r="I793" s="11" t="s">
        <v>350</v>
      </c>
      <c r="J793" s="11" t="n">
        <v>117.15</v>
      </c>
      <c r="K793" s="11" t="n">
        <v>114.95</v>
      </c>
      <c r="L793" s="11" t="n">
        <v>0.6856</v>
      </c>
      <c r="M793" s="11" t="n">
        <v>1.3713</v>
      </c>
      <c r="N793" s="11" t="n">
        <v>1</v>
      </c>
      <c r="O793" s="11" t="n">
        <v>4.5</v>
      </c>
      <c r="P793" s="11" t="n">
        <v>2.7</v>
      </c>
      <c r="Q793" s="11" t="n">
        <v>20.25</v>
      </c>
      <c r="R793" s="11" t="n">
        <f aca="false">SUM(K793:Q793)</f>
        <v>145.4569</v>
      </c>
      <c r="S793" s="11" t="n">
        <f aca="false">R793/(1-Resumo!$C$6)</f>
        <v>165.291931818182</v>
      </c>
      <c r="T793" s="11" t="n">
        <f aca="false">S793-J793</f>
        <v>48.1419318181818</v>
      </c>
      <c r="U793" s="12" t="n">
        <f aca="false">IFERROR(S793/J793-1,0)</f>
        <v>0.410942653164164</v>
      </c>
      <c r="V793" s="2" t="str">
        <f aca="false">IF(S793&lt;J793,"SIM","NÃO")</f>
        <v>NÃO</v>
      </c>
      <c r="W793" s="2" t="n">
        <v>7</v>
      </c>
      <c r="X793" s="2" t="s">
        <v>156</v>
      </c>
    </row>
    <row r="794" customFormat="false" ht="15" hidden="false" customHeight="false" outlineLevel="0" collapsed="false">
      <c r="A794" s="2" t="n">
        <v>373736843</v>
      </c>
      <c r="B794" s="29" t="n">
        <v>46243.4022453704</v>
      </c>
      <c r="C794" s="2" t="s">
        <v>158</v>
      </c>
      <c r="D794" s="2" t="s">
        <v>735</v>
      </c>
      <c r="E794" s="2" t="s">
        <v>78</v>
      </c>
      <c r="F794" s="2" t="s">
        <v>106</v>
      </c>
      <c r="G794" s="30" t="n">
        <v>27.5</v>
      </c>
      <c r="H794" s="11" t="n">
        <v>339.99</v>
      </c>
      <c r="I794" s="11" t="s">
        <v>155</v>
      </c>
      <c r="J794" s="11" t="n">
        <v>81.95</v>
      </c>
      <c r="K794" s="11" t="n">
        <v>82.21</v>
      </c>
      <c r="L794" s="11" t="n">
        <v>0.34</v>
      </c>
      <c r="M794" s="11" t="n">
        <v>0.68</v>
      </c>
      <c r="N794" s="11" t="n">
        <v>1</v>
      </c>
      <c r="O794" s="11" t="n">
        <v>4.5</v>
      </c>
      <c r="P794" s="11" t="n">
        <v>1.68</v>
      </c>
      <c r="Q794" s="11" t="n">
        <v>12.6</v>
      </c>
      <c r="R794" s="11" t="n">
        <f aca="false">SUM(K794:Q794)</f>
        <v>103.01</v>
      </c>
      <c r="S794" s="11" t="n">
        <f aca="false">R794/(1-Resumo!$C$6)</f>
        <v>117.056818181818</v>
      </c>
      <c r="T794" s="11" t="n">
        <f aca="false">S794-J794</f>
        <v>35.1068181818182</v>
      </c>
      <c r="U794" s="12" t="n">
        <f aca="false">IFERROR(S794/J794-1,0)</f>
        <v>0.428393144378501</v>
      </c>
      <c r="V794" s="2" t="str">
        <f aca="false">IF(S794&lt;J794,"SIM","NÃO")</f>
        <v>NÃO</v>
      </c>
      <c r="W794" s="2" t="n">
        <v>5</v>
      </c>
      <c r="X794" s="2" t="s">
        <v>156</v>
      </c>
    </row>
    <row r="795" customFormat="false" ht="15" hidden="false" customHeight="false" outlineLevel="0" collapsed="false">
      <c r="A795" s="2" t="n">
        <v>373777887</v>
      </c>
      <c r="B795" s="29" t="n">
        <v>46243.5060185185</v>
      </c>
      <c r="C795" s="2" t="s">
        <v>153</v>
      </c>
      <c r="D795" s="2" t="s">
        <v>331</v>
      </c>
      <c r="E795" s="2" t="s">
        <v>78</v>
      </c>
      <c r="F795" s="2" t="s">
        <v>110</v>
      </c>
      <c r="G795" s="30" t="n">
        <v>61.5</v>
      </c>
      <c r="H795" s="11" t="n">
        <v>726.79</v>
      </c>
      <c r="I795" s="11" t="s">
        <v>155</v>
      </c>
      <c r="J795" s="11" t="n">
        <v>124.68</v>
      </c>
      <c r="K795" s="11" t="n">
        <v>131.02</v>
      </c>
      <c r="L795" s="11" t="n">
        <v>0.7268</v>
      </c>
      <c r="M795" s="11" t="n">
        <v>1.4536</v>
      </c>
      <c r="N795" s="11" t="n">
        <v>1</v>
      </c>
      <c r="O795" s="11" t="n">
        <v>4.5</v>
      </c>
      <c r="P795" s="11" t="n">
        <v>3.72</v>
      </c>
      <c r="Q795" s="11" t="n">
        <v>27.9</v>
      </c>
      <c r="R795" s="11" t="n">
        <f aca="false">SUM(K795:Q795)</f>
        <v>170.3204</v>
      </c>
      <c r="S795" s="11" t="n">
        <f aca="false">R795/(1-Resumo!$C$6)</f>
        <v>193.545909090909</v>
      </c>
      <c r="T795" s="11" t="n">
        <f aca="false">S795-J795</f>
        <v>68.8659090909091</v>
      </c>
      <c r="U795" s="12" t="n">
        <f aca="false">IFERROR(S795/J795-1,0)</f>
        <v>0.552341266369178</v>
      </c>
      <c r="V795" s="2" t="str">
        <f aca="false">IF(S795&lt;J795,"SIM","NÃO")</f>
        <v>NÃO</v>
      </c>
      <c r="W795" s="2" t="n">
        <v>5</v>
      </c>
      <c r="X795" s="2" t="s">
        <v>156</v>
      </c>
    </row>
    <row r="796" customFormat="false" ht="15" hidden="false" customHeight="false" outlineLevel="0" collapsed="false">
      <c r="A796" s="2" t="n">
        <v>373779084</v>
      </c>
      <c r="B796" s="29" t="n">
        <v>46243.509224537</v>
      </c>
      <c r="C796" s="2" t="s">
        <v>153</v>
      </c>
      <c r="D796" s="2" t="s">
        <v>964</v>
      </c>
      <c r="E796" s="2" t="s">
        <v>90</v>
      </c>
      <c r="F796" s="2" t="s">
        <v>109</v>
      </c>
      <c r="G796" s="30" t="n">
        <v>52.3</v>
      </c>
      <c r="H796" s="11" t="n">
        <v>699.99</v>
      </c>
      <c r="I796" s="11" t="s">
        <v>350</v>
      </c>
      <c r="J796" s="11" t="n">
        <v>142.01</v>
      </c>
      <c r="K796" s="11" t="n">
        <v>128.14</v>
      </c>
      <c r="L796" s="11" t="n">
        <v>0.7</v>
      </c>
      <c r="M796" s="11" t="n">
        <v>1.4</v>
      </c>
      <c r="N796" s="11" t="n">
        <v>1</v>
      </c>
      <c r="O796" s="11" t="n">
        <v>4.5</v>
      </c>
      <c r="P796" s="11" t="n">
        <v>3.18</v>
      </c>
      <c r="Q796" s="11" t="n">
        <v>23.85</v>
      </c>
      <c r="R796" s="11" t="n">
        <f aca="false">SUM(K796:Q796)</f>
        <v>162.77</v>
      </c>
      <c r="S796" s="11" t="n">
        <f aca="false">R796/(1-Resumo!$C$6)</f>
        <v>184.965909090909</v>
      </c>
      <c r="T796" s="11" t="n">
        <f aca="false">S796-J796</f>
        <v>42.9559090909091</v>
      </c>
      <c r="U796" s="12" t="n">
        <f aca="false">IFERROR(S796/J796-1,0)</f>
        <v>0.30248510028103</v>
      </c>
      <c r="V796" s="2" t="str">
        <f aca="false">IF(S796&lt;J796,"SIM","NÃO")</f>
        <v>NÃO</v>
      </c>
      <c r="W796" s="2" t="n">
        <v>7</v>
      </c>
      <c r="X796" s="2" t="s">
        <v>156</v>
      </c>
    </row>
    <row r="797" customFormat="false" ht="15" hidden="false" customHeight="false" outlineLevel="0" collapsed="false">
      <c r="A797" s="2" t="n">
        <v>373779268</v>
      </c>
      <c r="B797" s="29" t="n">
        <v>46243.509537037</v>
      </c>
      <c r="C797" s="2" t="s">
        <v>158</v>
      </c>
      <c r="D797" s="2" t="s">
        <v>965</v>
      </c>
      <c r="E797" s="2" t="s">
        <v>86</v>
      </c>
      <c r="F797" s="2" t="s">
        <v>114</v>
      </c>
      <c r="G797" s="30" t="n">
        <v>124.2</v>
      </c>
      <c r="H797" s="11" t="n">
        <v>1749.98</v>
      </c>
      <c r="I797" s="11" t="s">
        <v>350</v>
      </c>
      <c r="J797" s="11" t="n">
        <v>237.34</v>
      </c>
      <c r="K797" s="11" t="n">
        <v>239.25</v>
      </c>
      <c r="L797" s="11" t="n">
        <v>1.75</v>
      </c>
      <c r="M797" s="11" t="n">
        <v>3.5</v>
      </c>
      <c r="N797" s="11" t="n">
        <v>1</v>
      </c>
      <c r="O797" s="11" t="n">
        <v>9</v>
      </c>
      <c r="P797" s="11" t="n">
        <v>7.5</v>
      </c>
      <c r="Q797" s="11" t="n">
        <v>56.25</v>
      </c>
      <c r="R797" s="11" t="n">
        <f aca="false">SUM(K797:Q797)</f>
        <v>318.25</v>
      </c>
      <c r="S797" s="11" t="n">
        <f aca="false">R797/(1-Resumo!$C$6)</f>
        <v>361.647727272727</v>
      </c>
      <c r="T797" s="11" t="n">
        <f aca="false">S797-J797</f>
        <v>124.307727272727</v>
      </c>
      <c r="U797" s="12" t="n">
        <f aca="false">IFERROR(S797/J797-1,0)</f>
        <v>0.523753801604143</v>
      </c>
      <c r="V797" s="2" t="str">
        <f aca="false">IF(S797&lt;J797,"SIM","NÃO")</f>
        <v>NÃO</v>
      </c>
      <c r="W797" s="2" t="n">
        <v>5</v>
      </c>
      <c r="X797" s="2" t="s">
        <v>156</v>
      </c>
    </row>
    <row r="798" customFormat="false" ht="15" hidden="false" customHeight="false" outlineLevel="0" collapsed="false">
      <c r="A798" s="2" t="n">
        <v>373784096</v>
      </c>
      <c r="B798" s="29" t="n">
        <v>46243.520462963</v>
      </c>
      <c r="C798" s="2" t="s">
        <v>153</v>
      </c>
      <c r="D798" s="2" t="s">
        <v>966</v>
      </c>
      <c r="E798" s="2" t="s">
        <v>78</v>
      </c>
      <c r="F798" s="2" t="s">
        <v>107</v>
      </c>
      <c r="G798" s="30" t="n">
        <v>37.2</v>
      </c>
      <c r="H798" s="11" t="n">
        <v>419.99</v>
      </c>
      <c r="I798" s="11" t="s">
        <v>155</v>
      </c>
      <c r="J798" s="11" t="n">
        <v>91.86</v>
      </c>
      <c r="K798" s="11" t="n">
        <v>93.97</v>
      </c>
      <c r="L798" s="11" t="n">
        <v>0.42</v>
      </c>
      <c r="M798" s="11" t="n">
        <v>0.84</v>
      </c>
      <c r="N798" s="11" t="n">
        <v>1</v>
      </c>
      <c r="O798" s="11" t="n">
        <v>4.5</v>
      </c>
      <c r="P798" s="11" t="n">
        <v>2.28</v>
      </c>
      <c r="Q798" s="11" t="n">
        <v>17.1</v>
      </c>
      <c r="R798" s="11" t="n">
        <f aca="false">SUM(K798:Q798)</f>
        <v>120.11</v>
      </c>
      <c r="S798" s="11" t="n">
        <f aca="false">R798/(1-Resumo!$C$6)</f>
        <v>136.488636363636</v>
      </c>
      <c r="T798" s="11" t="n">
        <f aca="false">S798-J798</f>
        <v>44.6286363636364</v>
      </c>
      <c r="U798" s="12" t="n">
        <f aca="false">IFERROR(S798/J798-1,0)</f>
        <v>0.485833184886092</v>
      </c>
      <c r="V798" s="2" t="str">
        <f aca="false">IF(S798&lt;J798,"SIM","NÃO")</f>
        <v>NÃO</v>
      </c>
      <c r="W798" s="2" t="n">
        <v>5</v>
      </c>
      <c r="X798" s="2" t="s">
        <v>156</v>
      </c>
    </row>
    <row r="799" customFormat="false" ht="15" hidden="false" customHeight="false" outlineLevel="0" collapsed="false">
      <c r="A799" s="2" t="n">
        <v>373801337</v>
      </c>
      <c r="B799" s="29" t="n">
        <v>46243.5611574074</v>
      </c>
      <c r="C799" s="2" t="s">
        <v>158</v>
      </c>
      <c r="D799" s="2" t="s">
        <v>967</v>
      </c>
      <c r="E799" s="2" t="s">
        <v>85</v>
      </c>
      <c r="F799" s="2" t="s">
        <v>108</v>
      </c>
      <c r="G799" s="30" t="n">
        <v>40.6</v>
      </c>
      <c r="H799" s="11" t="n">
        <v>439.99</v>
      </c>
      <c r="I799" s="11" t="s">
        <v>350</v>
      </c>
      <c r="J799" s="11" t="n">
        <v>127.94</v>
      </c>
      <c r="K799" s="11" t="n">
        <v>152.54</v>
      </c>
      <c r="L799" s="11" t="n">
        <v>0.44</v>
      </c>
      <c r="M799" s="11" t="n">
        <v>0.88</v>
      </c>
      <c r="N799" s="11" t="n">
        <v>1</v>
      </c>
      <c r="O799" s="11" t="n">
        <v>4.5</v>
      </c>
      <c r="P799" s="11" t="n">
        <v>2.46</v>
      </c>
      <c r="Q799" s="11" t="n">
        <v>18.45</v>
      </c>
      <c r="R799" s="11" t="n">
        <f aca="false">SUM(K799:Q799)</f>
        <v>180.27</v>
      </c>
      <c r="S799" s="11" t="n">
        <f aca="false">R799/(1-Resumo!$C$6)</f>
        <v>204.852272727273</v>
      </c>
      <c r="T799" s="11" t="n">
        <f aca="false">S799-J799</f>
        <v>76.9122727272727</v>
      </c>
      <c r="U799" s="12" t="n">
        <f aca="false">IFERROR(S799/J799-1,0)</f>
        <v>0.601158923927409</v>
      </c>
      <c r="V799" s="2" t="str">
        <f aca="false">IF(S799&lt;J799,"SIM","NÃO")</f>
        <v>NÃO</v>
      </c>
      <c r="W799" s="2" t="n">
        <v>11</v>
      </c>
      <c r="X799" s="2" t="s">
        <v>156</v>
      </c>
    </row>
    <row r="800" customFormat="false" ht="15" hidden="false" customHeight="false" outlineLevel="0" collapsed="false">
      <c r="A800" s="2" t="n">
        <v>373809217</v>
      </c>
      <c r="B800" s="29" t="n">
        <v>46243.5819907407</v>
      </c>
      <c r="C800" s="2" t="s">
        <v>191</v>
      </c>
      <c r="D800" s="2" t="s">
        <v>968</v>
      </c>
      <c r="E800" s="2" t="s">
        <v>78</v>
      </c>
      <c r="F800" s="2" t="s">
        <v>106</v>
      </c>
      <c r="G800" s="30" t="n">
        <v>24.4</v>
      </c>
      <c r="H800" s="11" t="n">
        <v>369.99</v>
      </c>
      <c r="I800" s="11" t="s">
        <v>155</v>
      </c>
      <c r="J800" s="11" t="n">
        <v>82.1</v>
      </c>
      <c r="K800" s="11" t="n">
        <v>82.21</v>
      </c>
      <c r="L800" s="11" t="n">
        <v>0.37</v>
      </c>
      <c r="M800" s="11" t="n">
        <v>0.74</v>
      </c>
      <c r="N800" s="11" t="n">
        <v>1</v>
      </c>
      <c r="O800" s="11" t="n">
        <v>4.5</v>
      </c>
      <c r="P800" s="11" t="n">
        <v>1.5</v>
      </c>
      <c r="Q800" s="11" t="n">
        <v>11.25</v>
      </c>
      <c r="R800" s="11" t="n">
        <f aca="false">SUM(K800:Q800)</f>
        <v>101.57</v>
      </c>
      <c r="S800" s="11" t="n">
        <f aca="false">R800/(1-Resumo!$C$6)</f>
        <v>115.420454545455</v>
      </c>
      <c r="T800" s="11" t="n">
        <f aca="false">S800-J800</f>
        <v>33.3204545454545</v>
      </c>
      <c r="U800" s="12" t="n">
        <f aca="false">IFERROR(S800/J800-1,0)</f>
        <v>0.405852065109069</v>
      </c>
      <c r="V800" s="2" t="str">
        <f aca="false">IF(S800&lt;J800,"SIM","NÃO")</f>
        <v>NÃO</v>
      </c>
      <c r="W800" s="2" t="n">
        <v>5</v>
      </c>
      <c r="X800" s="2" t="s">
        <v>156</v>
      </c>
    </row>
    <row r="801" customFormat="false" ht="15" hidden="false" customHeight="false" outlineLevel="0" collapsed="false">
      <c r="A801" s="2" t="n">
        <v>373821842</v>
      </c>
      <c r="B801" s="29" t="n">
        <v>46243.6115393519</v>
      </c>
      <c r="C801" s="2" t="s">
        <v>153</v>
      </c>
      <c r="D801" s="2" t="s">
        <v>969</v>
      </c>
      <c r="E801" s="2" t="s">
        <v>78</v>
      </c>
      <c r="F801" s="2" t="s">
        <v>109</v>
      </c>
      <c r="G801" s="30" t="n">
        <v>54</v>
      </c>
      <c r="H801" s="11" t="n">
        <v>659.98</v>
      </c>
      <c r="I801" s="11" t="s">
        <v>155</v>
      </c>
      <c r="J801" s="11" t="n">
        <v>114.31</v>
      </c>
      <c r="K801" s="11" t="n">
        <v>112.3</v>
      </c>
      <c r="L801" s="11" t="n">
        <v>0.66</v>
      </c>
      <c r="M801" s="11" t="n">
        <v>1.32</v>
      </c>
      <c r="N801" s="11" t="n">
        <v>1</v>
      </c>
      <c r="O801" s="11" t="n">
        <v>4.5</v>
      </c>
      <c r="P801" s="11" t="n">
        <v>3.24</v>
      </c>
      <c r="Q801" s="11" t="n">
        <v>24.3</v>
      </c>
      <c r="R801" s="11" t="n">
        <f aca="false">SUM(K801:Q801)</f>
        <v>147.32</v>
      </c>
      <c r="S801" s="11" t="n">
        <f aca="false">R801/(1-Resumo!$C$6)</f>
        <v>167.409090909091</v>
      </c>
      <c r="T801" s="11" t="n">
        <f aca="false">S801-J801</f>
        <v>53.0990909090909</v>
      </c>
      <c r="U801" s="12" t="n">
        <f aca="false">IFERROR(S801/J801-1,0)</f>
        <v>0.464518335308292</v>
      </c>
      <c r="V801" s="2" t="str">
        <f aca="false">IF(S801&lt;J801,"SIM","NÃO")</f>
        <v>NÃO</v>
      </c>
      <c r="W801" s="2" t="n">
        <v>5</v>
      </c>
      <c r="X801" s="2" t="s">
        <v>156</v>
      </c>
    </row>
    <row r="802" customFormat="false" ht="15" hidden="false" customHeight="false" outlineLevel="0" collapsed="false">
      <c r="A802" s="2" t="n">
        <v>373825290</v>
      </c>
      <c r="B802" s="29" t="n">
        <v>46243.6199305556</v>
      </c>
      <c r="C802" s="2" t="s">
        <v>153</v>
      </c>
      <c r="D802" s="2" t="s">
        <v>970</v>
      </c>
      <c r="E802" s="2" t="s">
        <v>160</v>
      </c>
      <c r="F802" s="2" t="s">
        <v>108</v>
      </c>
      <c r="G802" s="30" t="n">
        <v>48.6</v>
      </c>
      <c r="H802" s="11" t="n">
        <v>679.99</v>
      </c>
      <c r="I802" s="11" t="s">
        <v>350</v>
      </c>
      <c r="J802" s="11" t="n">
        <v>119.17</v>
      </c>
      <c r="K802" s="11" t="n">
        <v>93.97</v>
      </c>
      <c r="L802" s="11" t="n">
        <v>0.68</v>
      </c>
      <c r="M802" s="11" t="n">
        <v>1.36</v>
      </c>
      <c r="N802" s="11" t="n">
        <v>1</v>
      </c>
      <c r="O802" s="11" t="n">
        <v>4.5</v>
      </c>
      <c r="P802" s="11" t="n">
        <v>2.94</v>
      </c>
      <c r="Q802" s="11" t="n">
        <v>22.05</v>
      </c>
      <c r="R802" s="11" t="n">
        <f aca="false">SUM(K802:Q802)</f>
        <v>126.5</v>
      </c>
      <c r="S802" s="11" t="n">
        <f aca="false">R802/(1-Resumo!$C$6)</f>
        <v>143.75</v>
      </c>
      <c r="T802" s="11" t="n">
        <f aca="false">S802-J802</f>
        <v>24.58</v>
      </c>
      <c r="U802" s="12" t="n">
        <f aca="false">IFERROR(S802/J802-1,0)</f>
        <v>0.206259964756231</v>
      </c>
      <c r="V802" s="2" t="str">
        <f aca="false">IF(S802&lt;J802,"SIM","NÃO")</f>
        <v>NÃO</v>
      </c>
      <c r="W802" s="2" t="n">
        <v>5</v>
      </c>
      <c r="X802" s="2" t="s">
        <v>161</v>
      </c>
    </row>
    <row r="803" customFormat="false" ht="15" hidden="false" customHeight="false" outlineLevel="0" collapsed="false">
      <c r="A803" s="2" t="n">
        <v>373844352</v>
      </c>
      <c r="B803" s="29" t="n">
        <v>46243.6651041667</v>
      </c>
      <c r="C803" s="2" t="s">
        <v>158</v>
      </c>
      <c r="D803" s="2" t="s">
        <v>971</v>
      </c>
      <c r="E803" s="2" t="s">
        <v>87</v>
      </c>
      <c r="F803" s="2" t="s">
        <v>110</v>
      </c>
      <c r="G803" s="30" t="n">
        <v>66.8</v>
      </c>
      <c r="H803" s="11" t="n">
        <v>578</v>
      </c>
      <c r="I803" s="11" t="s">
        <v>350</v>
      </c>
      <c r="J803" s="11" t="n">
        <v>156.1</v>
      </c>
      <c r="K803" s="11" t="n">
        <v>166.05</v>
      </c>
      <c r="L803" s="11" t="n">
        <v>0.578</v>
      </c>
      <c r="M803" s="11" t="n">
        <v>1.156</v>
      </c>
      <c r="N803" s="11" t="n">
        <v>1</v>
      </c>
      <c r="O803" s="11" t="n">
        <v>4.5</v>
      </c>
      <c r="P803" s="11" t="n">
        <v>4.02</v>
      </c>
      <c r="Q803" s="11" t="n">
        <v>30.15</v>
      </c>
      <c r="R803" s="11" t="n">
        <f aca="false">SUM(K803:Q803)</f>
        <v>207.454</v>
      </c>
      <c r="S803" s="11" t="n">
        <f aca="false">R803/(1-Resumo!$C$6)</f>
        <v>235.743181818182</v>
      </c>
      <c r="T803" s="11" t="n">
        <f aca="false">S803-J803</f>
        <v>79.6431818181818</v>
      </c>
      <c r="U803" s="12" t="n">
        <f aca="false">IFERROR(S803/J803-1,0)</f>
        <v>0.510206161551453</v>
      </c>
      <c r="V803" s="2" t="str">
        <f aca="false">IF(S803&lt;J803,"SIM","NÃO")</f>
        <v>NÃO</v>
      </c>
      <c r="W803" s="2" t="n">
        <v>10</v>
      </c>
      <c r="X803" s="2" t="s">
        <v>156</v>
      </c>
    </row>
    <row r="804" customFormat="false" ht="15" hidden="false" customHeight="false" outlineLevel="0" collapsed="false">
      <c r="A804" s="2" t="n">
        <v>373866511</v>
      </c>
      <c r="B804" s="29" t="n">
        <v>46243.7180208333</v>
      </c>
      <c r="C804" s="2" t="s">
        <v>158</v>
      </c>
      <c r="D804" s="2" t="s">
        <v>972</v>
      </c>
      <c r="E804" s="2" t="s">
        <v>78</v>
      </c>
      <c r="F804" s="2" t="s">
        <v>109</v>
      </c>
      <c r="G804" s="30" t="n">
        <v>52.3</v>
      </c>
      <c r="H804" s="11" t="n">
        <v>616.99</v>
      </c>
      <c r="I804" s="11" t="s">
        <v>155</v>
      </c>
      <c r="J804" s="11" t="n">
        <v>114.09</v>
      </c>
      <c r="K804" s="11" t="n">
        <v>112.3</v>
      </c>
      <c r="L804" s="11" t="n">
        <v>0.617</v>
      </c>
      <c r="M804" s="11" t="n">
        <v>1.234</v>
      </c>
      <c r="N804" s="11" t="n">
        <v>1</v>
      </c>
      <c r="O804" s="11" t="n">
        <v>4.5</v>
      </c>
      <c r="P804" s="11" t="n">
        <v>3.18</v>
      </c>
      <c r="Q804" s="11" t="n">
        <v>23.85</v>
      </c>
      <c r="R804" s="11" t="n">
        <f aca="false">SUM(K804:Q804)</f>
        <v>146.681</v>
      </c>
      <c r="S804" s="11" t="n">
        <f aca="false">R804/(1-Resumo!$C$6)</f>
        <v>166.682954545455</v>
      </c>
      <c r="T804" s="11" t="n">
        <f aca="false">S804-J804</f>
        <v>52.5929545454545</v>
      </c>
      <c r="U804" s="12" t="n">
        <f aca="false">IFERROR(S804/J804-1,0)</f>
        <v>0.460977776715352</v>
      </c>
      <c r="V804" s="2" t="str">
        <f aca="false">IF(S804&lt;J804,"SIM","NÃO")</f>
        <v>NÃO</v>
      </c>
      <c r="W804" s="2" t="n">
        <v>5</v>
      </c>
      <c r="X804" s="2" t="s">
        <v>156</v>
      </c>
    </row>
    <row r="805" customFormat="false" ht="15" hidden="false" customHeight="false" outlineLevel="0" collapsed="false">
      <c r="A805" s="2" t="n">
        <v>373876150</v>
      </c>
      <c r="B805" s="29" t="n">
        <v>46243.7403356481</v>
      </c>
      <c r="C805" s="2" t="s">
        <v>158</v>
      </c>
      <c r="D805" s="2" t="s">
        <v>973</v>
      </c>
      <c r="E805" s="2" t="s">
        <v>81</v>
      </c>
      <c r="F805" s="2" t="s">
        <v>106</v>
      </c>
      <c r="G805" s="30" t="n">
        <v>33</v>
      </c>
      <c r="H805" s="11" t="n">
        <v>488.88</v>
      </c>
      <c r="I805" s="11" t="s">
        <v>155</v>
      </c>
      <c r="J805" s="11" t="n">
        <v>101.74</v>
      </c>
      <c r="K805" s="11" t="n">
        <v>82.21</v>
      </c>
      <c r="L805" s="11" t="n">
        <v>0.4889</v>
      </c>
      <c r="M805" s="11" t="n">
        <v>0.9778</v>
      </c>
      <c r="N805" s="11" t="n">
        <v>1</v>
      </c>
      <c r="O805" s="11" t="n">
        <v>4.5</v>
      </c>
      <c r="P805" s="11" t="n">
        <v>1.98</v>
      </c>
      <c r="Q805" s="11" t="n">
        <v>14.85</v>
      </c>
      <c r="R805" s="11" t="n">
        <f aca="false">SUM(K805:Q805)</f>
        <v>106.0067</v>
      </c>
      <c r="S805" s="11" t="n">
        <f aca="false">R805/(1-Resumo!$C$6)</f>
        <v>120.462159090909</v>
      </c>
      <c r="T805" s="11" t="n">
        <f aca="false">S805-J805</f>
        <v>18.7221590909091</v>
      </c>
      <c r="U805" s="12" t="n">
        <f aca="false">IFERROR(S805/J805-1,0)</f>
        <v>0.184019649016209</v>
      </c>
      <c r="V805" s="2" t="str">
        <f aca="false">IF(S805&lt;J805,"SIM","NÃO")</f>
        <v>NÃO</v>
      </c>
      <c r="W805" s="2" t="n">
        <v>5</v>
      </c>
      <c r="X805" s="2" t="s">
        <v>156</v>
      </c>
    </row>
    <row r="806" customFormat="false" ht="15" hidden="false" customHeight="false" outlineLevel="0" collapsed="false">
      <c r="A806" s="2" t="n">
        <v>373884240</v>
      </c>
      <c r="B806" s="29" t="n">
        <v>46243.7589467593</v>
      </c>
      <c r="C806" s="2" t="s">
        <v>191</v>
      </c>
      <c r="D806" s="2" t="s">
        <v>974</v>
      </c>
      <c r="E806" s="2" t="s">
        <v>84</v>
      </c>
      <c r="F806" s="2" t="s">
        <v>110</v>
      </c>
      <c r="G806" s="30" t="n">
        <v>61.4</v>
      </c>
      <c r="H806" s="11" t="n">
        <v>1069.99</v>
      </c>
      <c r="I806" s="11" t="s">
        <v>350</v>
      </c>
      <c r="J806" s="11" t="n">
        <v>140.4</v>
      </c>
      <c r="K806" s="11" t="n">
        <v>131.02</v>
      </c>
      <c r="L806" s="11" t="n">
        <v>1.07</v>
      </c>
      <c r="M806" s="11" t="n">
        <v>2.14</v>
      </c>
      <c r="N806" s="11" t="n">
        <v>1</v>
      </c>
      <c r="O806" s="11" t="n">
        <v>4.5</v>
      </c>
      <c r="P806" s="11" t="n">
        <v>3.72</v>
      </c>
      <c r="Q806" s="11" t="n">
        <v>27.9</v>
      </c>
      <c r="R806" s="11" t="n">
        <f aca="false">SUM(K806:Q806)</f>
        <v>171.35</v>
      </c>
      <c r="S806" s="11" t="n">
        <f aca="false">R806/(1-Resumo!$C$6)</f>
        <v>194.715909090909</v>
      </c>
      <c r="T806" s="11" t="n">
        <f aca="false">S806-J806</f>
        <v>54.3159090909091</v>
      </c>
      <c r="U806" s="12" t="n">
        <f aca="false">IFERROR(S806/J806-1,0)</f>
        <v>0.38686544936545</v>
      </c>
      <c r="V806" s="2" t="str">
        <f aca="false">IF(S806&lt;J806,"SIM","NÃO")</f>
        <v>NÃO</v>
      </c>
      <c r="W806" s="2" t="n">
        <v>5</v>
      </c>
      <c r="X806" s="2" t="s">
        <v>156</v>
      </c>
    </row>
    <row r="807" customFormat="false" ht="15" hidden="false" customHeight="false" outlineLevel="0" collapsed="false">
      <c r="A807" s="2" t="n">
        <v>373891268</v>
      </c>
      <c r="B807" s="29" t="n">
        <v>46243.7757986111</v>
      </c>
      <c r="C807" s="2" t="s">
        <v>153</v>
      </c>
      <c r="D807" s="2" t="s">
        <v>975</v>
      </c>
      <c r="E807" s="2" t="s">
        <v>79</v>
      </c>
      <c r="F807" s="2" t="s">
        <v>109</v>
      </c>
      <c r="G807" s="30" t="n">
        <v>51.06</v>
      </c>
      <c r="H807" s="11" t="n">
        <v>749.99</v>
      </c>
      <c r="I807" s="11" t="s">
        <v>350</v>
      </c>
      <c r="J807" s="11" t="n">
        <v>127.41</v>
      </c>
      <c r="K807" s="11" t="n">
        <v>128.14</v>
      </c>
      <c r="L807" s="11" t="n">
        <v>0.75</v>
      </c>
      <c r="M807" s="11" t="n">
        <v>1.5</v>
      </c>
      <c r="N807" s="11" t="n">
        <v>1</v>
      </c>
      <c r="O807" s="11" t="n">
        <v>4.5</v>
      </c>
      <c r="P807" s="11" t="n">
        <v>3.12</v>
      </c>
      <c r="Q807" s="11" t="n">
        <v>23.4</v>
      </c>
      <c r="R807" s="11" t="n">
        <f aca="false">SUM(K807:Q807)</f>
        <v>162.41</v>
      </c>
      <c r="S807" s="11" t="n">
        <f aca="false">R807/(1-Resumo!$C$6)</f>
        <v>184.556818181818</v>
      </c>
      <c r="T807" s="11" t="n">
        <f aca="false">S807-J807</f>
        <v>57.1468181818182</v>
      </c>
      <c r="U807" s="12" t="n">
        <f aca="false">IFERROR(S807/J807-1,0)</f>
        <v>0.448526945936882</v>
      </c>
      <c r="V807" s="2" t="str">
        <f aca="false">IF(S807&lt;J807,"SIM","NÃO")</f>
        <v>NÃO</v>
      </c>
      <c r="W807" s="2" t="n">
        <v>7</v>
      </c>
      <c r="X807" s="2" t="s">
        <v>156</v>
      </c>
    </row>
    <row r="808" customFormat="false" ht="15" hidden="false" customHeight="false" outlineLevel="0" collapsed="false">
      <c r="A808" s="2" t="n">
        <v>373894141</v>
      </c>
      <c r="B808" s="29" t="n">
        <v>46243.7871643519</v>
      </c>
      <c r="C808" s="2" t="s">
        <v>178</v>
      </c>
      <c r="D808" s="2" t="s">
        <v>976</v>
      </c>
      <c r="E808" s="2" t="s">
        <v>84</v>
      </c>
      <c r="F808" s="2" t="s">
        <v>106</v>
      </c>
      <c r="G808" s="30" t="n">
        <v>27.5</v>
      </c>
      <c r="H808" s="11" t="n">
        <v>399.99</v>
      </c>
      <c r="I808" s="11" t="s">
        <v>350</v>
      </c>
      <c r="J808" s="11" t="n">
        <v>99.64</v>
      </c>
      <c r="K808" s="11" t="n">
        <v>82.21</v>
      </c>
      <c r="L808" s="11" t="n">
        <v>0.4</v>
      </c>
      <c r="M808" s="11" t="n">
        <v>0.8</v>
      </c>
      <c r="N808" s="11" t="n">
        <v>1</v>
      </c>
      <c r="O808" s="11" t="n">
        <v>4.5</v>
      </c>
      <c r="P808" s="11" t="n">
        <v>1.68</v>
      </c>
      <c r="Q808" s="11" t="n">
        <v>12.6</v>
      </c>
      <c r="R808" s="11" t="n">
        <f aca="false">SUM(K808:Q808)</f>
        <v>103.19</v>
      </c>
      <c r="S808" s="11" t="n">
        <f aca="false">R808/(1-Resumo!$C$6)</f>
        <v>117.261363636364</v>
      </c>
      <c r="T808" s="11" t="n">
        <f aca="false">S808-J808</f>
        <v>17.6213636363636</v>
      </c>
      <c r="U808" s="12" t="n">
        <f aca="false">IFERROR(S808/J808-1,0)</f>
        <v>0.1768502974344</v>
      </c>
      <c r="V808" s="2" t="str">
        <f aca="false">IF(S808&lt;J808,"SIM","NÃO")</f>
        <v>NÃO</v>
      </c>
      <c r="W808" s="2" t="n">
        <v>5</v>
      </c>
      <c r="X808" s="2" t="s">
        <v>156</v>
      </c>
    </row>
    <row r="809" customFormat="false" ht="15" hidden="false" customHeight="false" outlineLevel="0" collapsed="false">
      <c r="A809" s="2" t="n">
        <v>373919169</v>
      </c>
      <c r="B809" s="29" t="n">
        <v>46243.8404976852</v>
      </c>
      <c r="C809" s="2" t="s">
        <v>153</v>
      </c>
      <c r="D809" s="2" t="s">
        <v>977</v>
      </c>
      <c r="E809" s="2" t="s">
        <v>79</v>
      </c>
      <c r="F809" s="2" t="s">
        <v>107</v>
      </c>
      <c r="G809" s="30" t="n">
        <v>37.6</v>
      </c>
      <c r="H809" s="11" t="n">
        <v>391.05</v>
      </c>
      <c r="I809" s="11" t="s">
        <v>350</v>
      </c>
      <c r="J809" s="11" t="n">
        <v>113.83</v>
      </c>
      <c r="K809" s="11" t="n">
        <v>114.95</v>
      </c>
      <c r="L809" s="11" t="n">
        <v>0.391</v>
      </c>
      <c r="M809" s="11" t="n">
        <v>0.7821</v>
      </c>
      <c r="N809" s="11" t="n">
        <v>1</v>
      </c>
      <c r="O809" s="11" t="n">
        <v>4.5</v>
      </c>
      <c r="P809" s="11" t="n">
        <v>2.28</v>
      </c>
      <c r="Q809" s="11" t="n">
        <v>17.1</v>
      </c>
      <c r="R809" s="11" t="n">
        <f aca="false">SUM(K809:Q809)</f>
        <v>141.0031</v>
      </c>
      <c r="S809" s="11" t="n">
        <f aca="false">R809/(1-Resumo!$C$6)</f>
        <v>160.230795454545</v>
      </c>
      <c r="T809" s="11" t="n">
        <f aca="false">S809-J809</f>
        <v>46.4007954545455</v>
      </c>
      <c r="U809" s="12" t="n">
        <f aca="false">IFERROR(S809/J809-1,0)</f>
        <v>0.407632394399943</v>
      </c>
      <c r="V809" s="2" t="str">
        <f aca="false">IF(S809&lt;J809,"SIM","NÃO")</f>
        <v>NÃO</v>
      </c>
      <c r="W809" s="2" t="n">
        <v>7</v>
      </c>
      <c r="X809" s="2" t="s">
        <v>156</v>
      </c>
    </row>
    <row r="810" customFormat="false" ht="15" hidden="false" customHeight="false" outlineLevel="0" collapsed="false">
      <c r="A810" s="2" t="n">
        <v>373924457</v>
      </c>
      <c r="B810" s="29" t="n">
        <v>46243.8521412037</v>
      </c>
      <c r="C810" s="2" t="s">
        <v>153</v>
      </c>
      <c r="D810" s="2" t="s">
        <v>978</v>
      </c>
      <c r="E810" s="2" t="s">
        <v>78</v>
      </c>
      <c r="F810" s="2" t="s">
        <v>106</v>
      </c>
      <c r="G810" s="30" t="n">
        <v>28.8</v>
      </c>
      <c r="H810" s="11" t="n">
        <v>881.88</v>
      </c>
      <c r="I810" s="11" t="s">
        <v>350</v>
      </c>
      <c r="J810" s="11" t="n">
        <v>83.48</v>
      </c>
      <c r="K810" s="11" t="n">
        <v>82.21</v>
      </c>
      <c r="L810" s="11" t="n">
        <v>0.8819</v>
      </c>
      <c r="M810" s="11" t="n">
        <v>1.7638</v>
      </c>
      <c r="N810" s="11" t="n">
        <v>1</v>
      </c>
      <c r="O810" s="11" t="n">
        <v>4.5</v>
      </c>
      <c r="P810" s="11" t="n">
        <v>1.74</v>
      </c>
      <c r="Q810" s="11" t="n">
        <v>13.05</v>
      </c>
      <c r="R810" s="11" t="n">
        <f aca="false">SUM(K810:Q810)</f>
        <v>105.1457</v>
      </c>
      <c r="S810" s="11" t="n">
        <f aca="false">R810/(1-Resumo!$C$6)</f>
        <v>119.48375</v>
      </c>
      <c r="T810" s="11" t="n">
        <f aca="false">S810-J810</f>
        <v>36.00375</v>
      </c>
      <c r="U810" s="12" t="n">
        <f aca="false">IFERROR(S810/J810-1,0)</f>
        <v>0.431285936751318</v>
      </c>
      <c r="V810" s="2" t="str">
        <f aca="false">IF(S810&lt;J810,"SIM","NÃO")</f>
        <v>NÃO</v>
      </c>
      <c r="W810" s="2" t="n">
        <v>5</v>
      </c>
      <c r="X810" s="2" t="s">
        <v>156</v>
      </c>
    </row>
    <row r="811" customFormat="false" ht="15" hidden="false" customHeight="false" outlineLevel="0" collapsed="false">
      <c r="A811" s="2" t="n">
        <v>373932103</v>
      </c>
      <c r="B811" s="29" t="n">
        <v>46243.8693055556</v>
      </c>
      <c r="C811" s="2" t="s">
        <v>158</v>
      </c>
      <c r="D811" s="2" t="s">
        <v>979</v>
      </c>
      <c r="E811" s="2" t="s">
        <v>78</v>
      </c>
      <c r="F811" s="2" t="s">
        <v>108</v>
      </c>
      <c r="G811" s="30" t="n">
        <v>48.6</v>
      </c>
      <c r="H811" s="11" t="n">
        <v>583</v>
      </c>
      <c r="I811" s="11" t="s">
        <v>155</v>
      </c>
      <c r="J811" s="11" t="n">
        <v>103.39</v>
      </c>
      <c r="K811" s="11" t="n">
        <v>93.97</v>
      </c>
      <c r="L811" s="11" t="n">
        <v>0.583</v>
      </c>
      <c r="M811" s="11" t="n">
        <v>1.166</v>
      </c>
      <c r="N811" s="11" t="n">
        <v>1</v>
      </c>
      <c r="O811" s="11" t="n">
        <v>4.5</v>
      </c>
      <c r="P811" s="11" t="n">
        <v>2.94</v>
      </c>
      <c r="Q811" s="11" t="n">
        <v>22.05</v>
      </c>
      <c r="R811" s="11" t="n">
        <f aca="false">SUM(K811:Q811)</f>
        <v>126.209</v>
      </c>
      <c r="S811" s="11" t="n">
        <f aca="false">R811/(1-Resumo!$C$6)</f>
        <v>143.419318181818</v>
      </c>
      <c r="T811" s="11" t="n">
        <f aca="false">S811-J811</f>
        <v>40.0293181818182</v>
      </c>
      <c r="U811" s="12" t="n">
        <f aca="false">IFERROR(S811/J811-1,0)</f>
        <v>0.387168180499257</v>
      </c>
      <c r="V811" s="2" t="str">
        <f aca="false">IF(S811&lt;J811,"SIM","NÃO")</f>
        <v>NÃO</v>
      </c>
      <c r="W811" s="2" t="n">
        <v>5</v>
      </c>
      <c r="X811" s="2" t="s">
        <v>156</v>
      </c>
    </row>
    <row r="812" customFormat="false" ht="15" hidden="false" customHeight="false" outlineLevel="0" collapsed="false">
      <c r="A812" s="2" t="n">
        <v>373932564</v>
      </c>
      <c r="B812" s="29" t="n">
        <v>46243.8703472222</v>
      </c>
      <c r="C812" s="2" t="s">
        <v>158</v>
      </c>
      <c r="D812" s="2" t="s">
        <v>980</v>
      </c>
      <c r="E812" s="2" t="s">
        <v>78</v>
      </c>
      <c r="F812" s="2" t="s">
        <v>106</v>
      </c>
      <c r="G812" s="30" t="n">
        <v>31.9</v>
      </c>
      <c r="H812" s="11" t="n">
        <v>466.39</v>
      </c>
      <c r="I812" s="11" t="s">
        <v>350</v>
      </c>
      <c r="J812" s="11" t="n">
        <v>83.03</v>
      </c>
      <c r="K812" s="11" t="n">
        <v>82.21</v>
      </c>
      <c r="L812" s="11" t="n">
        <v>0.4664</v>
      </c>
      <c r="M812" s="11" t="n">
        <v>0.9328</v>
      </c>
      <c r="N812" s="11" t="n">
        <v>1</v>
      </c>
      <c r="O812" s="11" t="n">
        <v>4.5</v>
      </c>
      <c r="P812" s="11" t="n">
        <v>1.92</v>
      </c>
      <c r="Q812" s="11" t="n">
        <v>14.4</v>
      </c>
      <c r="R812" s="11" t="n">
        <f aca="false">SUM(K812:Q812)</f>
        <v>105.4292</v>
      </c>
      <c r="S812" s="11" t="n">
        <f aca="false">R812/(1-Resumo!$C$6)</f>
        <v>119.805909090909</v>
      </c>
      <c r="T812" s="11" t="n">
        <f aca="false">S812-J812</f>
        <v>36.7759090909091</v>
      </c>
      <c r="U812" s="12" t="n">
        <f aca="false">IFERROR(S812/J812-1,0)</f>
        <v>0.44292314935456</v>
      </c>
      <c r="V812" s="2" t="str">
        <f aca="false">IF(S812&lt;J812,"SIM","NÃO")</f>
        <v>NÃO</v>
      </c>
      <c r="W812" s="2" t="n">
        <v>5</v>
      </c>
      <c r="X812" s="2" t="s">
        <v>156</v>
      </c>
    </row>
    <row r="813" customFormat="false" ht="15" hidden="false" customHeight="false" outlineLevel="0" collapsed="false">
      <c r="A813" s="2" t="n">
        <v>373938912</v>
      </c>
      <c r="B813" s="29" t="n">
        <v>46243.8841782407</v>
      </c>
      <c r="C813" s="2" t="s">
        <v>158</v>
      </c>
      <c r="D813" s="2" t="s">
        <v>981</v>
      </c>
      <c r="E813" s="2" t="s">
        <v>94</v>
      </c>
      <c r="F813" s="2" t="s">
        <v>110</v>
      </c>
      <c r="G813" s="30" t="n">
        <v>69.15</v>
      </c>
      <c r="H813" s="11" t="n">
        <v>707</v>
      </c>
      <c r="I813" s="11" t="s">
        <v>350</v>
      </c>
      <c r="J813" s="11" t="n">
        <v>142.74</v>
      </c>
      <c r="K813" s="11" t="n">
        <v>131.02</v>
      </c>
      <c r="L813" s="11" t="n">
        <v>0.707</v>
      </c>
      <c r="M813" s="11" t="n">
        <v>1.414</v>
      </c>
      <c r="N813" s="11" t="n">
        <v>1</v>
      </c>
      <c r="O813" s="11" t="n">
        <v>4.5</v>
      </c>
      <c r="P813" s="11" t="n">
        <v>4.2</v>
      </c>
      <c r="Q813" s="11" t="n">
        <v>31.5</v>
      </c>
      <c r="R813" s="11" t="n">
        <f aca="false">SUM(K813:Q813)</f>
        <v>174.341</v>
      </c>
      <c r="S813" s="11" t="n">
        <f aca="false">R813/(1-Resumo!$C$6)</f>
        <v>198.114772727273</v>
      </c>
      <c r="T813" s="11" t="n">
        <f aca="false">S813-J813</f>
        <v>55.3747727272727</v>
      </c>
      <c r="U813" s="12" t="n">
        <f aca="false">IFERROR(S813/J813-1,0)</f>
        <v>0.387941521138242</v>
      </c>
      <c r="V813" s="2" t="str">
        <f aca="false">IF(S813&lt;J813,"SIM","NÃO")</f>
        <v>NÃO</v>
      </c>
      <c r="W813" s="2" t="n">
        <v>5</v>
      </c>
      <c r="X813" s="2" t="s">
        <v>156</v>
      </c>
    </row>
    <row r="814" customFormat="false" ht="15" hidden="false" customHeight="false" outlineLevel="0" collapsed="false">
      <c r="A814" s="2" t="n">
        <v>373953975</v>
      </c>
      <c r="B814" s="29" t="n">
        <v>46243.9165972222</v>
      </c>
      <c r="C814" s="2" t="s">
        <v>153</v>
      </c>
      <c r="D814" s="2" t="s">
        <v>982</v>
      </c>
      <c r="E814" s="2" t="s">
        <v>82</v>
      </c>
      <c r="F814" s="2" t="s">
        <v>108</v>
      </c>
      <c r="G814" s="30" t="n">
        <v>41.4</v>
      </c>
      <c r="H814" s="11" t="n">
        <v>449.99</v>
      </c>
      <c r="I814" s="11" t="s">
        <v>155</v>
      </c>
      <c r="J814" s="11" t="n">
        <v>116.23</v>
      </c>
      <c r="K814" s="11" t="n">
        <v>114.95</v>
      </c>
      <c r="L814" s="11" t="n">
        <v>0.45</v>
      </c>
      <c r="M814" s="11" t="n">
        <v>0.9</v>
      </c>
      <c r="N814" s="11" t="n">
        <v>1</v>
      </c>
      <c r="O814" s="11" t="n">
        <v>4.5</v>
      </c>
      <c r="P814" s="11" t="n">
        <v>2.52</v>
      </c>
      <c r="Q814" s="11" t="n">
        <v>18.9</v>
      </c>
      <c r="R814" s="11" t="n">
        <f aca="false">SUM(K814:Q814)</f>
        <v>143.22</v>
      </c>
      <c r="S814" s="11" t="n">
        <f aca="false">R814/(1-Resumo!$C$6)</f>
        <v>162.75</v>
      </c>
      <c r="T814" s="11" t="n">
        <f aca="false">S814-J814</f>
        <v>46.52</v>
      </c>
      <c r="U814" s="12" t="n">
        <f aca="false">IFERROR(S814/J814-1,0)</f>
        <v>0.400240901660501</v>
      </c>
      <c r="V814" s="2" t="str">
        <f aca="false">IF(S814&lt;J814,"SIM","NÃO")</f>
        <v>NÃO</v>
      </c>
      <c r="W814" s="2" t="n">
        <v>7</v>
      </c>
      <c r="X814" s="2" t="s">
        <v>156</v>
      </c>
    </row>
    <row r="815" customFormat="false" ht="15" hidden="false" customHeight="false" outlineLevel="0" collapsed="false">
      <c r="A815" s="2" t="n">
        <v>373962758</v>
      </c>
      <c r="B815" s="29" t="n">
        <v>46243.9375925926</v>
      </c>
      <c r="C815" s="2" t="s">
        <v>153</v>
      </c>
      <c r="D815" s="2" t="s">
        <v>983</v>
      </c>
      <c r="E815" s="2" t="s">
        <v>78</v>
      </c>
      <c r="F815" s="2" t="s">
        <v>108</v>
      </c>
      <c r="G815" s="30" t="n">
        <v>46.8</v>
      </c>
      <c r="H815" s="11" t="n">
        <v>559.99</v>
      </c>
      <c r="I815" s="11" t="s">
        <v>155</v>
      </c>
      <c r="J815" s="11" t="n">
        <v>103.27</v>
      </c>
      <c r="K815" s="11" t="n">
        <v>93.97</v>
      </c>
      <c r="L815" s="11" t="n">
        <v>0.56</v>
      </c>
      <c r="M815" s="11" t="n">
        <v>1.12</v>
      </c>
      <c r="N815" s="11" t="n">
        <v>1</v>
      </c>
      <c r="O815" s="11" t="n">
        <v>4.5</v>
      </c>
      <c r="P815" s="11" t="n">
        <v>2.82</v>
      </c>
      <c r="Q815" s="11" t="n">
        <v>21.15</v>
      </c>
      <c r="R815" s="11" t="n">
        <f aca="false">SUM(K815:Q815)</f>
        <v>125.12</v>
      </c>
      <c r="S815" s="11" t="n">
        <f aca="false">R815/(1-Resumo!$C$6)</f>
        <v>142.181818181818</v>
      </c>
      <c r="T815" s="11" t="n">
        <f aca="false">S815-J815</f>
        <v>38.9118181818182</v>
      </c>
      <c r="U815" s="12" t="n">
        <f aca="false">IFERROR(S815/J815-1,0)</f>
        <v>0.376796922453938</v>
      </c>
      <c r="V815" s="2" t="str">
        <f aca="false">IF(S815&lt;J815,"SIM","NÃO")</f>
        <v>NÃO</v>
      </c>
      <c r="W815" s="2" t="n">
        <v>5</v>
      </c>
      <c r="X815" s="2" t="s">
        <v>156</v>
      </c>
    </row>
    <row r="816" customFormat="false" ht="15" hidden="false" customHeight="false" outlineLevel="0" collapsed="false">
      <c r="A816" s="2" t="n">
        <v>373963089</v>
      </c>
      <c r="B816" s="29" t="n">
        <v>46243.9382291667</v>
      </c>
      <c r="C816" s="2" t="s">
        <v>158</v>
      </c>
      <c r="D816" s="2" t="s">
        <v>984</v>
      </c>
      <c r="E816" s="2" t="s">
        <v>78</v>
      </c>
      <c r="F816" s="2" t="s">
        <v>114</v>
      </c>
      <c r="G816" s="30" t="n">
        <v>124.2</v>
      </c>
      <c r="H816" s="11" t="n">
        <v>1649.99</v>
      </c>
      <c r="I816" s="11" t="s">
        <v>155</v>
      </c>
      <c r="J816" s="11" t="n">
        <v>234.19</v>
      </c>
      <c r="K816" s="11" t="n">
        <v>239.25</v>
      </c>
      <c r="L816" s="11" t="n">
        <v>1.65</v>
      </c>
      <c r="M816" s="11" t="n">
        <v>3.3</v>
      </c>
      <c r="N816" s="11" t="n">
        <v>1</v>
      </c>
      <c r="O816" s="11" t="n">
        <v>9</v>
      </c>
      <c r="P816" s="11" t="n">
        <v>7.5</v>
      </c>
      <c r="Q816" s="11" t="n">
        <v>56.25</v>
      </c>
      <c r="R816" s="11" t="n">
        <f aca="false">SUM(K816:Q816)</f>
        <v>317.95</v>
      </c>
      <c r="S816" s="11" t="n">
        <f aca="false">R816/(1-Resumo!$C$6)</f>
        <v>361.306818181818</v>
      </c>
      <c r="T816" s="11" t="n">
        <f aca="false">S816-J816</f>
        <v>127.116818181818</v>
      </c>
      <c r="U816" s="12" t="n">
        <f aca="false">IFERROR(S816/J816-1,0)</f>
        <v>0.542793535940126</v>
      </c>
      <c r="V816" s="2" t="str">
        <f aca="false">IF(S816&lt;J816,"SIM","NÃO")</f>
        <v>NÃO</v>
      </c>
      <c r="W816" s="2" t="n">
        <v>5</v>
      </c>
      <c r="X816" s="2" t="s">
        <v>156</v>
      </c>
    </row>
    <row r="817" customFormat="false" ht="15" hidden="false" customHeight="false" outlineLevel="0" collapsed="false">
      <c r="A817" s="2" t="n">
        <v>374009244</v>
      </c>
      <c r="B817" s="29" t="n">
        <v>46244.1058217593</v>
      </c>
      <c r="C817" s="2" t="s">
        <v>153</v>
      </c>
      <c r="D817" s="2" t="s">
        <v>985</v>
      </c>
      <c r="E817" s="2" t="s">
        <v>78</v>
      </c>
      <c r="F817" s="2" t="s">
        <v>108</v>
      </c>
      <c r="G817" s="30" t="n">
        <v>45.3</v>
      </c>
      <c r="H817" s="11" t="n">
        <v>699.99</v>
      </c>
      <c r="I817" s="11" t="s">
        <v>155</v>
      </c>
      <c r="J817" s="11" t="n">
        <v>103.94</v>
      </c>
      <c r="K817" s="11" t="n">
        <v>93.97</v>
      </c>
      <c r="L817" s="11" t="n">
        <v>0.7</v>
      </c>
      <c r="M817" s="11" t="n">
        <v>1.4</v>
      </c>
      <c r="N817" s="11" t="n">
        <v>1</v>
      </c>
      <c r="O817" s="11" t="n">
        <v>4.5</v>
      </c>
      <c r="P817" s="11" t="n">
        <v>2.76</v>
      </c>
      <c r="Q817" s="11" t="n">
        <v>20.7</v>
      </c>
      <c r="R817" s="11" t="n">
        <f aca="false">SUM(K817:Q817)</f>
        <v>125.03</v>
      </c>
      <c r="S817" s="11" t="n">
        <f aca="false">R817/(1-Resumo!$C$6)</f>
        <v>142.079545454545</v>
      </c>
      <c r="T817" s="11" t="n">
        <f aca="false">S817-J817</f>
        <v>38.1395454545455</v>
      </c>
      <c r="U817" s="12" t="n">
        <f aca="false">IFERROR(S817/J817-1,0)</f>
        <v>0.366938093655431</v>
      </c>
      <c r="V817" s="2" t="str">
        <f aca="false">IF(S817&lt;J817,"SIM","NÃO")</f>
        <v>NÃO</v>
      </c>
      <c r="W817" s="2" t="n">
        <v>5</v>
      </c>
      <c r="X817" s="2" t="s">
        <v>156</v>
      </c>
    </row>
    <row r="818" customFormat="false" ht="15" hidden="false" customHeight="false" outlineLevel="0" collapsed="false">
      <c r="A818" s="2" t="n">
        <v>374049247</v>
      </c>
      <c r="B818" s="29" t="n">
        <v>46244.3113194444</v>
      </c>
      <c r="C818" s="2" t="s">
        <v>153</v>
      </c>
      <c r="D818" s="2" t="s">
        <v>986</v>
      </c>
      <c r="E818" s="2" t="s">
        <v>78</v>
      </c>
      <c r="F818" s="2" t="s">
        <v>106</v>
      </c>
      <c r="G818" s="30" t="n">
        <v>30.5</v>
      </c>
      <c r="H818" s="11" t="n">
        <v>395.99</v>
      </c>
      <c r="I818" s="11" t="s">
        <v>155</v>
      </c>
      <c r="J818" s="11" t="n">
        <v>82.22</v>
      </c>
      <c r="K818" s="11" t="n">
        <v>82.21</v>
      </c>
      <c r="L818" s="11" t="n">
        <v>0.396</v>
      </c>
      <c r="M818" s="11" t="n">
        <v>0.792</v>
      </c>
      <c r="N818" s="11" t="n">
        <v>1</v>
      </c>
      <c r="O818" s="11" t="n">
        <v>4.5</v>
      </c>
      <c r="P818" s="11" t="n">
        <v>1.86</v>
      </c>
      <c r="Q818" s="11" t="n">
        <v>13.95</v>
      </c>
      <c r="R818" s="11" t="n">
        <f aca="false">SUM(K818:Q818)</f>
        <v>104.708</v>
      </c>
      <c r="S818" s="11" t="n">
        <f aca="false">R818/(1-Resumo!$C$6)</f>
        <v>118.986363636364</v>
      </c>
      <c r="T818" s="11" t="n">
        <f aca="false">S818-J818</f>
        <v>36.7663636363636</v>
      </c>
      <c r="U818" s="12" t="n">
        <f aca="false">IFERROR(S818/J818-1,0)</f>
        <v>0.447170562349351</v>
      </c>
      <c r="V818" s="2" t="str">
        <f aca="false">IF(S818&lt;J818,"SIM","NÃO")</f>
        <v>NÃO</v>
      </c>
      <c r="W818" s="2" t="n">
        <v>5</v>
      </c>
      <c r="X818" s="2" t="s">
        <v>156</v>
      </c>
    </row>
    <row r="819" customFormat="false" ht="15" hidden="false" customHeight="false" outlineLevel="0" collapsed="false">
      <c r="A819" s="2" t="n">
        <v>374074118</v>
      </c>
      <c r="B819" s="29" t="n">
        <v>46244.3929282407</v>
      </c>
      <c r="C819" s="2" t="s">
        <v>153</v>
      </c>
      <c r="D819" s="2" t="s">
        <v>987</v>
      </c>
      <c r="E819" s="2" t="s">
        <v>80</v>
      </c>
      <c r="F819" s="2" t="s">
        <v>110</v>
      </c>
      <c r="G819" s="30" t="n">
        <v>66.8</v>
      </c>
      <c r="H819" s="11" t="n">
        <v>699.99</v>
      </c>
      <c r="I819" s="11" t="s">
        <v>155</v>
      </c>
      <c r="J819" s="11" t="n">
        <v>139.78</v>
      </c>
      <c r="K819" s="11" t="n">
        <v>131.02</v>
      </c>
      <c r="L819" s="11" t="n">
        <v>0.7</v>
      </c>
      <c r="M819" s="11" t="n">
        <v>1.4</v>
      </c>
      <c r="N819" s="11" t="n">
        <v>1</v>
      </c>
      <c r="O819" s="11" t="n">
        <v>4.5</v>
      </c>
      <c r="P819" s="11" t="n">
        <v>4.02</v>
      </c>
      <c r="Q819" s="11" t="n">
        <v>30.15</v>
      </c>
      <c r="R819" s="11" t="n">
        <f aca="false">SUM(K819:Q819)</f>
        <v>172.79</v>
      </c>
      <c r="S819" s="11" t="n">
        <f aca="false">R819/(1-Resumo!$C$6)</f>
        <v>196.352272727273</v>
      </c>
      <c r="T819" s="11" t="n">
        <f aca="false">S819-J819</f>
        <v>56.5722727272728</v>
      </c>
      <c r="U819" s="12" t="n">
        <f aca="false">IFERROR(S819/J819-1,0)</f>
        <v>0.404723656655264</v>
      </c>
      <c r="V819" s="2" t="str">
        <f aca="false">IF(S819&lt;J819,"SIM","NÃO")</f>
        <v>NÃO</v>
      </c>
      <c r="W819" s="2" t="n">
        <v>5</v>
      </c>
      <c r="X819" s="2" t="s">
        <v>156</v>
      </c>
    </row>
    <row r="820" customFormat="false" ht="15" hidden="false" customHeight="false" outlineLevel="0" collapsed="false">
      <c r="A820" s="2" t="n">
        <v>374077015</v>
      </c>
      <c r="B820" s="29" t="n">
        <v>46244.4009143519</v>
      </c>
      <c r="C820" s="2" t="s">
        <v>158</v>
      </c>
      <c r="D820" s="2" t="s">
        <v>988</v>
      </c>
      <c r="E820" s="2" t="s">
        <v>78</v>
      </c>
      <c r="F820" s="2" t="s">
        <v>108</v>
      </c>
      <c r="G820" s="30" t="n">
        <v>48</v>
      </c>
      <c r="H820" s="11" t="n">
        <v>815.51</v>
      </c>
      <c r="I820" s="11" t="s">
        <v>155</v>
      </c>
      <c r="J820" s="11" t="n">
        <v>104.49</v>
      </c>
      <c r="K820" s="11" t="n">
        <v>93.97</v>
      </c>
      <c r="L820" s="11" t="n">
        <v>0.8155</v>
      </c>
      <c r="M820" s="11" t="n">
        <v>1.631</v>
      </c>
      <c r="N820" s="11" t="n">
        <v>1</v>
      </c>
      <c r="O820" s="11" t="n">
        <v>4.5</v>
      </c>
      <c r="P820" s="11" t="n">
        <v>2.88</v>
      </c>
      <c r="Q820" s="11" t="n">
        <v>21.6</v>
      </c>
      <c r="R820" s="11" t="n">
        <f aca="false">SUM(K820:Q820)</f>
        <v>126.3965</v>
      </c>
      <c r="S820" s="11" t="n">
        <f aca="false">R820/(1-Resumo!$C$6)</f>
        <v>143.632386363636</v>
      </c>
      <c r="T820" s="11" t="n">
        <f aca="false">S820-J820</f>
        <v>39.1423863636364</v>
      </c>
      <c r="U820" s="12" t="n">
        <f aca="false">IFERROR(S820/J820-1,0)</f>
        <v>0.374604137847032</v>
      </c>
      <c r="V820" s="2" t="str">
        <f aca="false">IF(S820&lt;J820,"SIM","NÃO")</f>
        <v>NÃO</v>
      </c>
      <c r="W820" s="2" t="n">
        <v>5</v>
      </c>
      <c r="X820" s="2" t="s">
        <v>156</v>
      </c>
    </row>
    <row r="821" customFormat="false" ht="15" hidden="false" customHeight="false" outlineLevel="0" collapsed="false">
      <c r="A821" s="2" t="n">
        <v>374090622</v>
      </c>
      <c r="B821" s="29" t="n">
        <v>46244.4340740741</v>
      </c>
      <c r="C821" s="2" t="s">
        <v>153</v>
      </c>
      <c r="D821" s="2" t="s">
        <v>989</v>
      </c>
      <c r="E821" s="2" t="s">
        <v>81</v>
      </c>
      <c r="F821" s="2" t="s">
        <v>106</v>
      </c>
      <c r="G821" s="30" t="n">
        <v>31</v>
      </c>
      <c r="H821" s="11" t="n">
        <v>329.99</v>
      </c>
      <c r="I821" s="11" t="s">
        <v>155</v>
      </c>
      <c r="J821" s="11" t="n">
        <v>100.97</v>
      </c>
      <c r="K821" s="11" t="n">
        <v>82.21</v>
      </c>
      <c r="L821" s="11" t="n">
        <v>0.33</v>
      </c>
      <c r="M821" s="11" t="n">
        <v>0.66</v>
      </c>
      <c r="N821" s="11" t="n">
        <v>1</v>
      </c>
      <c r="O821" s="11" t="n">
        <v>4.5</v>
      </c>
      <c r="P821" s="11" t="n">
        <v>1.86</v>
      </c>
      <c r="Q821" s="11" t="n">
        <v>13.95</v>
      </c>
      <c r="R821" s="11" t="n">
        <f aca="false">SUM(K821:Q821)</f>
        <v>104.51</v>
      </c>
      <c r="S821" s="11" t="n">
        <f aca="false">R821/(1-Resumo!$C$6)</f>
        <v>118.761363636364</v>
      </c>
      <c r="T821" s="11" t="n">
        <f aca="false">S821-J821</f>
        <v>17.7913636363636</v>
      </c>
      <c r="U821" s="12" t="n">
        <f aca="false">IFERROR(S821/J821-1,0)</f>
        <v>0.176204453167908</v>
      </c>
      <c r="V821" s="2" t="str">
        <f aca="false">IF(S821&lt;J821,"SIM","NÃO")</f>
        <v>NÃO</v>
      </c>
      <c r="W821" s="2" t="n">
        <v>5</v>
      </c>
      <c r="X821" s="2" t="s">
        <v>156</v>
      </c>
    </row>
    <row r="822" customFormat="false" ht="15" hidden="false" customHeight="false" outlineLevel="0" collapsed="false">
      <c r="A822" s="2" t="n">
        <v>374093161</v>
      </c>
      <c r="B822" s="29" t="n">
        <v>46244.4397685185</v>
      </c>
      <c r="C822" s="2" t="s">
        <v>153</v>
      </c>
      <c r="D822" s="2" t="s">
        <v>990</v>
      </c>
      <c r="E822" s="2" t="s">
        <v>78</v>
      </c>
      <c r="F822" s="2" t="s">
        <v>109</v>
      </c>
      <c r="G822" s="30" t="n">
        <v>52.3</v>
      </c>
      <c r="H822" s="11" t="n">
        <v>685.88</v>
      </c>
      <c r="I822" s="11" t="s">
        <v>155</v>
      </c>
      <c r="J822" s="11" t="n">
        <v>114.43</v>
      </c>
      <c r="K822" s="11" t="n">
        <v>112.3</v>
      </c>
      <c r="L822" s="11" t="n">
        <v>0.6859</v>
      </c>
      <c r="M822" s="11" t="n">
        <v>1.3718</v>
      </c>
      <c r="N822" s="11" t="n">
        <v>1</v>
      </c>
      <c r="O822" s="11" t="n">
        <v>4.5</v>
      </c>
      <c r="P822" s="11" t="n">
        <v>3.18</v>
      </c>
      <c r="Q822" s="11" t="n">
        <v>23.85</v>
      </c>
      <c r="R822" s="11" t="n">
        <f aca="false">SUM(K822:Q822)</f>
        <v>146.8877</v>
      </c>
      <c r="S822" s="11" t="n">
        <f aca="false">R822/(1-Resumo!$C$6)</f>
        <v>166.917840909091</v>
      </c>
      <c r="T822" s="11" t="n">
        <f aca="false">S822-J822</f>
        <v>52.4878409090909</v>
      </c>
      <c r="U822" s="12" t="n">
        <f aca="false">IFERROR(S822/J822-1,0)</f>
        <v>0.458689512445083</v>
      </c>
      <c r="V822" s="2" t="str">
        <f aca="false">IF(S822&lt;J822,"SIM","NÃO")</f>
        <v>NÃO</v>
      </c>
      <c r="W822" s="2" t="n">
        <v>5</v>
      </c>
      <c r="X822" s="2" t="s">
        <v>156</v>
      </c>
    </row>
    <row r="823" customFormat="false" ht="15" hidden="false" customHeight="false" outlineLevel="0" collapsed="false">
      <c r="A823" s="2" t="n">
        <v>374108434</v>
      </c>
      <c r="B823" s="29" t="n">
        <v>46244.4745717593</v>
      </c>
      <c r="C823" s="2" t="s">
        <v>153</v>
      </c>
      <c r="D823" s="2" t="s">
        <v>991</v>
      </c>
      <c r="E823" s="2" t="s">
        <v>80</v>
      </c>
      <c r="F823" s="2" t="s">
        <v>107</v>
      </c>
      <c r="G823" s="30" t="n">
        <v>39</v>
      </c>
      <c r="H823" s="11" t="n">
        <v>496.79</v>
      </c>
      <c r="I823" s="11" t="s">
        <v>155</v>
      </c>
      <c r="J823" s="11" t="n">
        <v>113.33</v>
      </c>
      <c r="K823" s="11" t="n">
        <v>93.97</v>
      </c>
      <c r="L823" s="11" t="n">
        <v>0.4968</v>
      </c>
      <c r="M823" s="11" t="n">
        <v>0.9936</v>
      </c>
      <c r="N823" s="11" t="n">
        <v>1</v>
      </c>
      <c r="O823" s="11" t="n">
        <v>4.5</v>
      </c>
      <c r="P823" s="11" t="n">
        <v>2.34</v>
      </c>
      <c r="Q823" s="11" t="n">
        <v>17.55</v>
      </c>
      <c r="R823" s="11" t="n">
        <f aca="false">SUM(K823:Q823)</f>
        <v>120.8504</v>
      </c>
      <c r="S823" s="11" t="n">
        <f aca="false">R823/(1-Resumo!$C$6)</f>
        <v>137.33</v>
      </c>
      <c r="T823" s="11" t="n">
        <f aca="false">S823-J823</f>
        <v>24</v>
      </c>
      <c r="U823" s="12" t="n">
        <f aca="false">IFERROR(S823/J823-1,0)</f>
        <v>0.211770934439248</v>
      </c>
      <c r="V823" s="2" t="str">
        <f aca="false">IF(S823&lt;J823,"SIM","NÃO")</f>
        <v>NÃO</v>
      </c>
      <c r="W823" s="2" t="n">
        <v>5</v>
      </c>
      <c r="X823" s="2" t="s">
        <v>156</v>
      </c>
    </row>
    <row r="824" customFormat="false" ht="15" hidden="false" customHeight="false" outlineLevel="0" collapsed="false">
      <c r="A824" s="2" t="n">
        <v>374115700</v>
      </c>
      <c r="B824" s="29" t="n">
        <v>46244.4917708333</v>
      </c>
      <c r="C824" s="2" t="s">
        <v>153</v>
      </c>
      <c r="D824" s="2" t="s">
        <v>992</v>
      </c>
      <c r="E824" s="2" t="s">
        <v>78</v>
      </c>
      <c r="F824" s="2" t="s">
        <v>108</v>
      </c>
      <c r="G824" s="30" t="n">
        <v>45</v>
      </c>
      <c r="H824" s="11" t="n">
        <v>531.42</v>
      </c>
      <c r="I824" s="11" t="s">
        <v>350</v>
      </c>
      <c r="J824" s="11" t="n">
        <v>103</v>
      </c>
      <c r="K824" s="11" t="n">
        <v>93.97</v>
      </c>
      <c r="L824" s="11" t="n">
        <v>0.5314</v>
      </c>
      <c r="M824" s="11" t="n">
        <v>1.0628</v>
      </c>
      <c r="N824" s="11" t="n">
        <v>1</v>
      </c>
      <c r="O824" s="11" t="n">
        <v>4.5</v>
      </c>
      <c r="P824" s="11" t="n">
        <v>2.7</v>
      </c>
      <c r="Q824" s="11" t="n">
        <v>20.25</v>
      </c>
      <c r="R824" s="11" t="n">
        <f aca="false">SUM(K824:Q824)</f>
        <v>124.0142</v>
      </c>
      <c r="S824" s="11" t="n">
        <f aca="false">R824/(1-Resumo!$C$6)</f>
        <v>140.925227272727</v>
      </c>
      <c r="T824" s="11" t="n">
        <f aca="false">S824-J824</f>
        <v>37.9252272727273</v>
      </c>
      <c r="U824" s="12" t="n">
        <f aca="false">IFERROR(S824/J824-1,0)</f>
        <v>0.368206090026479</v>
      </c>
      <c r="V824" s="2" t="str">
        <f aca="false">IF(S824&lt;J824,"SIM","NÃO")</f>
        <v>NÃO</v>
      </c>
      <c r="W824" s="2" t="n">
        <v>5</v>
      </c>
      <c r="X824" s="2" t="s">
        <v>156</v>
      </c>
    </row>
    <row r="825" customFormat="false" ht="15" hidden="false" customHeight="false" outlineLevel="0" collapsed="false">
      <c r="A825" s="2" t="n">
        <v>374122750</v>
      </c>
      <c r="B825" s="29" t="n">
        <v>46244.505462963</v>
      </c>
      <c r="C825" s="2" t="s">
        <v>158</v>
      </c>
      <c r="D825" s="2" t="s">
        <v>993</v>
      </c>
      <c r="E825" s="2" t="s">
        <v>81</v>
      </c>
      <c r="F825" s="2" t="s">
        <v>106</v>
      </c>
      <c r="G825" s="30" t="n">
        <v>33.11</v>
      </c>
      <c r="H825" s="11" t="n">
        <v>392.24</v>
      </c>
      <c r="I825" s="11" t="s">
        <v>155</v>
      </c>
      <c r="J825" s="11" t="n">
        <v>101.26</v>
      </c>
      <c r="K825" s="11" t="n">
        <v>82.21</v>
      </c>
      <c r="L825" s="11" t="n">
        <v>0.3922</v>
      </c>
      <c r="M825" s="11" t="n">
        <v>0.7845</v>
      </c>
      <c r="N825" s="11" t="n">
        <v>1</v>
      </c>
      <c r="O825" s="11" t="n">
        <v>4.5</v>
      </c>
      <c r="P825" s="11" t="n">
        <v>2.04</v>
      </c>
      <c r="Q825" s="11" t="n">
        <v>15.3</v>
      </c>
      <c r="R825" s="11" t="n">
        <f aca="false">SUM(K825:Q825)</f>
        <v>106.2267</v>
      </c>
      <c r="S825" s="11" t="n">
        <f aca="false">R825/(1-Resumo!$C$6)</f>
        <v>120.712159090909</v>
      </c>
      <c r="T825" s="11" t="n">
        <f aca="false">S825-J825</f>
        <v>19.4521590909091</v>
      </c>
      <c r="U825" s="12" t="n">
        <f aca="false">IFERROR(S825/J825-1,0)</f>
        <v>0.192101116836945</v>
      </c>
      <c r="V825" s="2" t="str">
        <f aca="false">IF(S825&lt;J825,"SIM","NÃO")</f>
        <v>NÃO</v>
      </c>
      <c r="W825" s="2" t="n">
        <v>5</v>
      </c>
      <c r="X825" s="2" t="s">
        <v>156</v>
      </c>
    </row>
    <row r="826" customFormat="false" ht="15" hidden="false" customHeight="false" outlineLevel="0" collapsed="false">
      <c r="A826" s="2" t="n">
        <v>374124817</v>
      </c>
      <c r="B826" s="29" t="n">
        <v>46244.5103240741</v>
      </c>
      <c r="C826" s="2" t="s">
        <v>153</v>
      </c>
      <c r="D826" s="2" t="s">
        <v>994</v>
      </c>
      <c r="E826" s="2" t="s">
        <v>84</v>
      </c>
      <c r="F826" s="2" t="s">
        <v>105</v>
      </c>
      <c r="G826" s="30" t="n">
        <v>19.5</v>
      </c>
      <c r="H826" s="11" t="n">
        <v>379.99</v>
      </c>
      <c r="I826" s="11" t="s">
        <v>350</v>
      </c>
      <c r="J826" s="11" t="n">
        <v>77.18</v>
      </c>
      <c r="K826" s="11" t="n">
        <v>46.98</v>
      </c>
      <c r="L826" s="11" t="n">
        <v>0.38</v>
      </c>
      <c r="M826" s="11" t="n">
        <v>0.76</v>
      </c>
      <c r="N826" s="11" t="n">
        <v>1</v>
      </c>
      <c r="O826" s="11" t="n">
        <v>4.5</v>
      </c>
      <c r="P826" s="11" t="n">
        <v>1.2</v>
      </c>
      <c r="Q826" s="11" t="n">
        <v>9</v>
      </c>
      <c r="R826" s="11" t="n">
        <f aca="false">SUM(K826:Q826)</f>
        <v>63.82</v>
      </c>
      <c r="S826" s="11" t="n">
        <f aca="false">R826/(1-Resumo!$C$6)</f>
        <v>72.5227272727273</v>
      </c>
      <c r="T826" s="11" t="n">
        <f aca="false">S826-J826</f>
        <v>-4.65727272727274</v>
      </c>
      <c r="U826" s="12" t="n">
        <f aca="false">IFERROR(S826/J826-1,0)</f>
        <v>-0.0603429998350964</v>
      </c>
      <c r="V826" s="2" t="str">
        <f aca="false">IF(S826&lt;J826,"SIM","NÃO")</f>
        <v>SIM</v>
      </c>
      <c r="W826" s="2" t="n">
        <v>5</v>
      </c>
      <c r="X826" s="2" t="s">
        <v>156</v>
      </c>
    </row>
    <row r="827" customFormat="false" ht="15" hidden="false" customHeight="false" outlineLevel="0" collapsed="false">
      <c r="A827" s="2" t="n">
        <v>374141535</v>
      </c>
      <c r="B827" s="29" t="n">
        <v>46244.5465046296</v>
      </c>
      <c r="C827" s="2" t="s">
        <v>153</v>
      </c>
      <c r="D827" s="2" t="s">
        <v>995</v>
      </c>
      <c r="E827" s="2" t="s">
        <v>78</v>
      </c>
      <c r="F827" s="2" t="s">
        <v>108</v>
      </c>
      <c r="G827" s="30" t="n">
        <v>48.3</v>
      </c>
      <c r="H827" s="11" t="n">
        <v>429.99</v>
      </c>
      <c r="I827" s="11" t="s">
        <v>155</v>
      </c>
      <c r="J827" s="11" t="n">
        <v>102.65</v>
      </c>
      <c r="K827" s="11" t="n">
        <v>93.97</v>
      </c>
      <c r="L827" s="11" t="n">
        <v>0.43</v>
      </c>
      <c r="M827" s="11" t="n">
        <v>0.86</v>
      </c>
      <c r="N827" s="11" t="n">
        <v>1</v>
      </c>
      <c r="O827" s="11" t="n">
        <v>4.5</v>
      </c>
      <c r="P827" s="11" t="n">
        <v>2.94</v>
      </c>
      <c r="Q827" s="11" t="n">
        <v>22.05</v>
      </c>
      <c r="R827" s="11" t="n">
        <f aca="false">SUM(K827:Q827)</f>
        <v>125.75</v>
      </c>
      <c r="S827" s="11" t="n">
        <f aca="false">R827/(1-Resumo!$C$6)</f>
        <v>142.897727272727</v>
      </c>
      <c r="T827" s="11" t="n">
        <f aca="false">S827-J827</f>
        <v>40.2477272727273</v>
      </c>
      <c r="U827" s="12" t="n">
        <f aca="false">IFERROR(S827/J827-1,0)</f>
        <v>0.392086968073329</v>
      </c>
      <c r="V827" s="2" t="str">
        <f aca="false">IF(S827&lt;J827,"SIM","NÃO")</f>
        <v>NÃO</v>
      </c>
      <c r="W827" s="2" t="n">
        <v>5</v>
      </c>
      <c r="X827" s="2" t="s">
        <v>156</v>
      </c>
    </row>
    <row r="828" customFormat="false" ht="15" hidden="false" customHeight="false" outlineLevel="0" collapsed="false">
      <c r="A828" s="2" t="n">
        <v>374159788</v>
      </c>
      <c r="B828" s="29" t="n">
        <v>46244.5593287037</v>
      </c>
      <c r="C828" s="2" t="s">
        <v>369</v>
      </c>
      <c r="D828" s="2" t="s">
        <v>996</v>
      </c>
      <c r="E828" s="2" t="s">
        <v>82</v>
      </c>
      <c r="F828" s="2" t="s">
        <v>107</v>
      </c>
      <c r="G828" s="30" t="n">
        <v>40</v>
      </c>
      <c r="H828" s="11" t="n">
        <v>510.39</v>
      </c>
      <c r="I828" s="11" t="s">
        <v>155</v>
      </c>
      <c r="J828" s="11" t="n">
        <v>113.4</v>
      </c>
      <c r="K828" s="11" t="n">
        <v>114.95</v>
      </c>
      <c r="L828" s="11" t="n">
        <v>0.5104</v>
      </c>
      <c r="M828" s="11" t="n">
        <v>1.0208</v>
      </c>
      <c r="N828" s="11" t="n">
        <v>1</v>
      </c>
      <c r="O828" s="11" t="n">
        <v>4.5</v>
      </c>
      <c r="P828" s="11" t="n">
        <v>2.4</v>
      </c>
      <c r="Q828" s="11" t="n">
        <v>18</v>
      </c>
      <c r="R828" s="11" t="n">
        <f aca="false">SUM(K828:Q828)</f>
        <v>142.3812</v>
      </c>
      <c r="S828" s="11" t="n">
        <f aca="false">R828/(1-Resumo!$C$6)</f>
        <v>161.796818181818</v>
      </c>
      <c r="T828" s="11" t="n">
        <f aca="false">S828-J828</f>
        <v>48.3968181818182</v>
      </c>
      <c r="U828" s="12" t="n">
        <f aca="false">IFERROR(S828/J828-1,0)</f>
        <v>0.426779701779702</v>
      </c>
      <c r="V828" s="2" t="str">
        <f aca="false">IF(S828&lt;J828,"SIM","NÃO")</f>
        <v>NÃO</v>
      </c>
      <c r="W828" s="2" t="n">
        <v>7</v>
      </c>
      <c r="X828" s="2" t="s">
        <v>156</v>
      </c>
    </row>
    <row r="829" customFormat="false" ht="15" hidden="false" customHeight="false" outlineLevel="0" collapsed="false">
      <c r="A829" s="2" t="n">
        <v>374148685</v>
      </c>
      <c r="B829" s="29" t="n">
        <v>46244.5619328704</v>
      </c>
      <c r="C829" s="2" t="s">
        <v>158</v>
      </c>
      <c r="D829" s="2" t="s">
        <v>997</v>
      </c>
      <c r="E829" s="2" t="s">
        <v>78</v>
      </c>
      <c r="F829" s="2" t="s">
        <v>110</v>
      </c>
      <c r="G829" s="30" t="n">
        <v>69.15</v>
      </c>
      <c r="H829" s="11" t="n">
        <v>684</v>
      </c>
      <c r="I829" s="11" t="s">
        <v>155</v>
      </c>
      <c r="J829" s="11" t="n">
        <v>124.49</v>
      </c>
      <c r="K829" s="11" t="n">
        <v>131.02</v>
      </c>
      <c r="L829" s="11" t="n">
        <v>0.684</v>
      </c>
      <c r="M829" s="11" t="n">
        <v>1.368</v>
      </c>
      <c r="N829" s="11" t="n">
        <v>1</v>
      </c>
      <c r="O829" s="11" t="n">
        <v>4.5</v>
      </c>
      <c r="P829" s="11" t="n">
        <v>4.2</v>
      </c>
      <c r="Q829" s="11" t="n">
        <v>31.5</v>
      </c>
      <c r="R829" s="11" t="n">
        <f aca="false">SUM(K829:Q829)</f>
        <v>174.272</v>
      </c>
      <c r="S829" s="11" t="n">
        <f aca="false">R829/(1-Resumo!$C$6)</f>
        <v>198.036363636364</v>
      </c>
      <c r="T829" s="11" t="n">
        <f aca="false">S829-J829</f>
        <v>73.5463636363637</v>
      </c>
      <c r="U829" s="12" t="n">
        <f aca="false">IFERROR(S829/J829-1,0)</f>
        <v>0.590781296781779</v>
      </c>
      <c r="V829" s="2" t="str">
        <f aca="false">IF(S829&lt;J829,"SIM","NÃO")</f>
        <v>NÃO</v>
      </c>
      <c r="W829" s="2" t="n">
        <v>5</v>
      </c>
      <c r="X829" s="2" t="s">
        <v>156</v>
      </c>
    </row>
    <row r="830" customFormat="false" ht="15" hidden="false" customHeight="false" outlineLevel="0" collapsed="false">
      <c r="A830" s="2" t="n">
        <v>374150871</v>
      </c>
      <c r="B830" s="29" t="n">
        <v>46244.5662615741</v>
      </c>
      <c r="C830" s="2" t="s">
        <v>158</v>
      </c>
      <c r="D830" s="2" t="s">
        <v>998</v>
      </c>
      <c r="E830" s="2" t="s">
        <v>78</v>
      </c>
      <c r="F830" s="2" t="s">
        <v>114</v>
      </c>
      <c r="G830" s="30" t="n">
        <v>124.2</v>
      </c>
      <c r="H830" s="11" t="n">
        <v>1699.99</v>
      </c>
      <c r="I830" s="11" t="s">
        <v>350</v>
      </c>
      <c r="J830" s="11" t="n">
        <v>226.85</v>
      </c>
      <c r="K830" s="11" t="n">
        <v>239.25</v>
      </c>
      <c r="L830" s="11" t="n">
        <v>1.7</v>
      </c>
      <c r="M830" s="11" t="n">
        <v>3.4</v>
      </c>
      <c r="N830" s="11" t="n">
        <v>1</v>
      </c>
      <c r="O830" s="11" t="n">
        <v>9</v>
      </c>
      <c r="P830" s="11" t="n">
        <v>7.5</v>
      </c>
      <c r="Q830" s="11" t="n">
        <v>56.25</v>
      </c>
      <c r="R830" s="11" t="n">
        <f aca="false">SUM(K830:Q830)</f>
        <v>318.1</v>
      </c>
      <c r="S830" s="11" t="n">
        <f aca="false">R830/(1-Resumo!$C$6)</f>
        <v>361.477272727273</v>
      </c>
      <c r="T830" s="11" t="n">
        <f aca="false">S830-J830</f>
        <v>134.627272727273</v>
      </c>
      <c r="U830" s="12" t="n">
        <f aca="false">IFERROR(S830/J830-1,0)</f>
        <v>0.593463842747511</v>
      </c>
      <c r="V830" s="2" t="str">
        <f aca="false">IF(S830&lt;J830,"SIM","NÃO")</f>
        <v>NÃO</v>
      </c>
      <c r="W830" s="2" t="n">
        <v>5</v>
      </c>
      <c r="X830" s="2" t="s">
        <v>156</v>
      </c>
    </row>
    <row r="831" customFormat="false" ht="15" hidden="false" customHeight="false" outlineLevel="0" collapsed="false">
      <c r="A831" s="2" t="n">
        <v>374164750</v>
      </c>
      <c r="B831" s="29" t="n">
        <v>46244.5896296296</v>
      </c>
      <c r="C831" s="2" t="s">
        <v>153</v>
      </c>
      <c r="D831" s="2" t="s">
        <v>999</v>
      </c>
      <c r="E831" s="2" t="s">
        <v>78</v>
      </c>
      <c r="F831" s="2" t="s">
        <v>106</v>
      </c>
      <c r="G831" s="30" t="n">
        <v>21.75</v>
      </c>
      <c r="H831" s="11" t="n">
        <v>319.99</v>
      </c>
      <c r="I831" s="11" t="s">
        <v>155</v>
      </c>
      <c r="J831" s="11" t="n">
        <v>81.86</v>
      </c>
      <c r="K831" s="11" t="n">
        <v>82.21</v>
      </c>
      <c r="L831" s="11" t="n">
        <v>0.32</v>
      </c>
      <c r="M831" s="11" t="n">
        <v>0.64</v>
      </c>
      <c r="N831" s="11" t="n">
        <v>1</v>
      </c>
      <c r="O831" s="11" t="n">
        <v>4.5</v>
      </c>
      <c r="P831" s="11" t="n">
        <v>1.32</v>
      </c>
      <c r="Q831" s="11" t="n">
        <v>9.9</v>
      </c>
      <c r="R831" s="11" t="n">
        <f aca="false">SUM(K831:Q831)</f>
        <v>99.89</v>
      </c>
      <c r="S831" s="11" t="n">
        <f aca="false">R831/(1-Resumo!$C$6)</f>
        <v>113.511363636364</v>
      </c>
      <c r="T831" s="11" t="n">
        <f aca="false">S831-J831</f>
        <v>31.6513636363636</v>
      </c>
      <c r="U831" s="12" t="n">
        <f aca="false">IFERROR(S831/J831-1,0)</f>
        <v>0.386652377673634</v>
      </c>
      <c r="V831" s="2" t="str">
        <f aca="false">IF(S831&lt;J831,"SIM","NÃO")</f>
        <v>NÃO</v>
      </c>
      <c r="W831" s="2" t="n">
        <v>5</v>
      </c>
      <c r="X831" s="2" t="s">
        <v>156</v>
      </c>
    </row>
    <row r="832" customFormat="false" ht="15" hidden="false" customHeight="false" outlineLevel="0" collapsed="false">
      <c r="A832" s="2" t="n">
        <v>374174890</v>
      </c>
      <c r="B832" s="29" t="n">
        <v>46244.6097222222</v>
      </c>
      <c r="C832" s="2" t="s">
        <v>158</v>
      </c>
      <c r="D832" s="2" t="s">
        <v>1000</v>
      </c>
      <c r="E832" s="2" t="s">
        <v>83</v>
      </c>
      <c r="F832" s="2" t="s">
        <v>109</v>
      </c>
      <c r="G832" s="30" t="n">
        <v>52.3</v>
      </c>
      <c r="H832" s="11" t="n">
        <v>640.18</v>
      </c>
      <c r="I832" s="11" t="s">
        <v>350</v>
      </c>
      <c r="J832" s="11" t="n">
        <v>141.72</v>
      </c>
      <c r="K832" s="11" t="n">
        <v>162.04</v>
      </c>
      <c r="L832" s="11" t="n">
        <v>0.6402</v>
      </c>
      <c r="M832" s="11" t="n">
        <v>1.2804</v>
      </c>
      <c r="N832" s="11" t="n">
        <v>1</v>
      </c>
      <c r="O832" s="11" t="n">
        <v>4.5</v>
      </c>
      <c r="P832" s="11" t="n">
        <v>3.18</v>
      </c>
      <c r="Q832" s="11" t="n">
        <v>23.85</v>
      </c>
      <c r="R832" s="11" t="n">
        <f aca="false">SUM(K832:Q832)</f>
        <v>196.4906</v>
      </c>
      <c r="S832" s="11" t="n">
        <f aca="false">R832/(1-Resumo!$C$6)</f>
        <v>223.284772727273</v>
      </c>
      <c r="T832" s="11" t="n">
        <f aca="false">S832-J832</f>
        <v>81.5647727272727</v>
      </c>
      <c r="U832" s="12" t="n">
        <f aca="false">IFERROR(S832/J832-1,0)</f>
        <v>0.575534665024504</v>
      </c>
      <c r="V832" s="2" t="str">
        <f aca="false">IF(S832&lt;J832,"SIM","NÃO")</f>
        <v>NÃO</v>
      </c>
      <c r="W832" s="2" t="n">
        <v>11</v>
      </c>
      <c r="X832" s="2" t="s">
        <v>156</v>
      </c>
    </row>
    <row r="833" customFormat="false" ht="15" hidden="false" customHeight="false" outlineLevel="0" collapsed="false">
      <c r="A833" s="2" t="n">
        <v>374182920</v>
      </c>
      <c r="B833" s="29" t="n">
        <v>46244.6266435185</v>
      </c>
      <c r="C833" s="2" t="s">
        <v>158</v>
      </c>
      <c r="D833" s="2" t="s">
        <v>1001</v>
      </c>
      <c r="E833" s="2" t="s">
        <v>80</v>
      </c>
      <c r="F833" s="2" t="s">
        <v>109</v>
      </c>
      <c r="G833" s="30" t="n">
        <v>56.7</v>
      </c>
      <c r="H833" s="11" t="n">
        <v>663.52</v>
      </c>
      <c r="I833" s="11" t="s">
        <v>155</v>
      </c>
      <c r="J833" s="11" t="n">
        <v>128.47</v>
      </c>
      <c r="K833" s="11" t="n">
        <v>112.3</v>
      </c>
      <c r="L833" s="11" t="n">
        <v>0.6635</v>
      </c>
      <c r="M833" s="11" t="n">
        <v>1.327</v>
      </c>
      <c r="N833" s="11" t="n">
        <v>1</v>
      </c>
      <c r="O833" s="11" t="n">
        <v>4.5</v>
      </c>
      <c r="P833" s="11" t="n">
        <v>3.42</v>
      </c>
      <c r="Q833" s="11" t="n">
        <v>25.65</v>
      </c>
      <c r="R833" s="11" t="n">
        <f aca="false">SUM(K833:Q833)</f>
        <v>148.8605</v>
      </c>
      <c r="S833" s="11" t="n">
        <f aca="false">R833/(1-Resumo!$C$6)</f>
        <v>169.159659090909</v>
      </c>
      <c r="T833" s="11" t="n">
        <f aca="false">S833-J833</f>
        <v>40.6896590909091</v>
      </c>
      <c r="U833" s="12" t="n">
        <f aca="false">IFERROR(S833/J833-1,0)</f>
        <v>0.316724987085772</v>
      </c>
      <c r="V833" s="2" t="str">
        <f aca="false">IF(S833&lt;J833,"SIM","NÃO")</f>
        <v>NÃO</v>
      </c>
      <c r="W833" s="2" t="n">
        <v>5</v>
      </c>
      <c r="X833" s="2" t="s">
        <v>156</v>
      </c>
    </row>
    <row r="834" customFormat="false" ht="15" hidden="false" customHeight="false" outlineLevel="0" collapsed="false">
      <c r="A834" s="2" t="n">
        <v>374192532</v>
      </c>
      <c r="B834" s="29" t="n">
        <v>46244.6473726852</v>
      </c>
      <c r="C834" s="2" t="s">
        <v>198</v>
      </c>
      <c r="D834" s="2" t="s">
        <v>1002</v>
      </c>
      <c r="E834" s="2" t="s">
        <v>78</v>
      </c>
      <c r="F834" s="2" t="s">
        <v>105</v>
      </c>
      <c r="G834" s="30" t="n">
        <v>19.5</v>
      </c>
      <c r="H834" s="11" t="n">
        <v>389.99</v>
      </c>
      <c r="I834" s="11" t="s">
        <v>155</v>
      </c>
      <c r="J834" s="11" t="n">
        <v>65.09</v>
      </c>
      <c r="K834" s="11" t="n">
        <v>46.98</v>
      </c>
      <c r="L834" s="11" t="n">
        <v>0.39</v>
      </c>
      <c r="M834" s="11" t="n">
        <v>0.78</v>
      </c>
      <c r="N834" s="11" t="n">
        <v>1</v>
      </c>
      <c r="O834" s="11" t="n">
        <v>4.5</v>
      </c>
      <c r="P834" s="11" t="n">
        <v>1.2</v>
      </c>
      <c r="Q834" s="11" t="n">
        <v>9</v>
      </c>
      <c r="R834" s="11" t="n">
        <f aca="false">SUM(K834:Q834)</f>
        <v>63.85</v>
      </c>
      <c r="S834" s="11" t="n">
        <f aca="false">R834/(1-Resumo!$C$6)</f>
        <v>72.5568181818182</v>
      </c>
      <c r="T834" s="11" t="n">
        <f aca="false">S834-J834</f>
        <v>7.46681818181817</v>
      </c>
      <c r="U834" s="12" t="n">
        <f aca="false">IFERROR(S834/J834-1,0)</f>
        <v>0.114715289319683</v>
      </c>
      <c r="V834" s="2" t="str">
        <f aca="false">IF(S834&lt;J834,"SIM","NÃO")</f>
        <v>NÃO</v>
      </c>
      <c r="W834" s="2" t="n">
        <v>5</v>
      </c>
      <c r="X834" s="2" t="s">
        <v>156</v>
      </c>
    </row>
    <row r="835" customFormat="false" ht="15" hidden="false" customHeight="false" outlineLevel="0" collapsed="false">
      <c r="A835" s="2" t="n">
        <v>374194474</v>
      </c>
      <c r="B835" s="29" t="n">
        <v>46244.6564814815</v>
      </c>
      <c r="C835" s="2" t="s">
        <v>194</v>
      </c>
      <c r="D835" s="2" t="s">
        <v>1003</v>
      </c>
      <c r="E835" s="2" t="s">
        <v>80</v>
      </c>
      <c r="F835" s="2" t="s">
        <v>108</v>
      </c>
      <c r="G835" s="30" t="n">
        <v>44.7</v>
      </c>
      <c r="H835" s="11" t="n">
        <v>551.99</v>
      </c>
      <c r="I835" s="11" t="s">
        <v>155</v>
      </c>
      <c r="J835" s="11" t="n">
        <v>116.7</v>
      </c>
      <c r="K835" s="11" t="n">
        <v>93.97</v>
      </c>
      <c r="L835" s="11" t="n">
        <v>0.552</v>
      </c>
      <c r="M835" s="11" t="n">
        <v>1.104</v>
      </c>
      <c r="N835" s="11" t="n">
        <v>1</v>
      </c>
      <c r="O835" s="11" t="n">
        <v>4.5</v>
      </c>
      <c r="P835" s="11" t="n">
        <v>2.7</v>
      </c>
      <c r="Q835" s="11" t="n">
        <v>20.25</v>
      </c>
      <c r="R835" s="11" t="n">
        <f aca="false">SUM(K835:Q835)</f>
        <v>124.076</v>
      </c>
      <c r="S835" s="11" t="n">
        <f aca="false">R835/(1-Resumo!$C$6)</f>
        <v>140.995454545455</v>
      </c>
      <c r="T835" s="11" t="n">
        <f aca="false">S835-J835</f>
        <v>24.2954545454545</v>
      </c>
      <c r="U835" s="12" t="n">
        <f aca="false">IFERROR(S835/J835-1,0)</f>
        <v>0.208187271169276</v>
      </c>
      <c r="V835" s="2" t="str">
        <f aca="false">IF(S835&lt;J835,"SIM","NÃO")</f>
        <v>NÃO</v>
      </c>
      <c r="W835" s="2" t="n">
        <v>5</v>
      </c>
      <c r="X835" s="2" t="s">
        <v>156</v>
      </c>
    </row>
    <row r="836" customFormat="false" ht="15" hidden="false" customHeight="false" outlineLevel="0" collapsed="false">
      <c r="A836" s="2" t="n">
        <v>374215445</v>
      </c>
      <c r="B836" s="29" t="n">
        <v>46244.6898958333</v>
      </c>
      <c r="C836" s="2" t="s">
        <v>153</v>
      </c>
      <c r="D836" s="2" t="s">
        <v>1004</v>
      </c>
      <c r="E836" s="2" t="s">
        <v>86</v>
      </c>
      <c r="F836" s="2" t="s">
        <v>109</v>
      </c>
      <c r="G836" s="30" t="n">
        <v>59.9</v>
      </c>
      <c r="H836" s="11" t="n">
        <v>919.99</v>
      </c>
      <c r="I836" s="11" t="s">
        <v>350</v>
      </c>
      <c r="J836" s="11" t="n">
        <v>132.32</v>
      </c>
      <c r="K836" s="11" t="n">
        <v>112.3</v>
      </c>
      <c r="L836" s="11" t="n">
        <v>0.92</v>
      </c>
      <c r="M836" s="11" t="n">
        <v>1.84</v>
      </c>
      <c r="N836" s="11" t="n">
        <v>1</v>
      </c>
      <c r="O836" s="11" t="n">
        <v>4.5</v>
      </c>
      <c r="P836" s="11" t="n">
        <v>3.6</v>
      </c>
      <c r="Q836" s="11" t="n">
        <v>27</v>
      </c>
      <c r="R836" s="11" t="n">
        <f aca="false">SUM(K836:Q836)</f>
        <v>151.16</v>
      </c>
      <c r="S836" s="11" t="n">
        <f aca="false">R836/(1-Resumo!$C$6)</f>
        <v>171.772727272727</v>
      </c>
      <c r="T836" s="11" t="n">
        <f aca="false">S836-J836</f>
        <v>39.4527272727273</v>
      </c>
      <c r="U836" s="12" t="n">
        <f aca="false">IFERROR(S836/J836-1,0)</f>
        <v>0.298161481807189</v>
      </c>
      <c r="V836" s="2" t="str">
        <f aca="false">IF(S836&lt;J836,"SIM","NÃO")</f>
        <v>NÃO</v>
      </c>
      <c r="W836" s="2" t="n">
        <v>5</v>
      </c>
      <c r="X836" s="2" t="s">
        <v>156</v>
      </c>
    </row>
    <row r="837" customFormat="false" ht="15" hidden="false" customHeight="false" outlineLevel="0" collapsed="false">
      <c r="A837" s="2" t="n">
        <v>374211099</v>
      </c>
      <c r="B837" s="29" t="n">
        <v>46244.691400463</v>
      </c>
      <c r="C837" s="2" t="s">
        <v>178</v>
      </c>
      <c r="D837" s="2" t="s">
        <v>1005</v>
      </c>
      <c r="E837" s="2" t="s">
        <v>164</v>
      </c>
      <c r="F837" s="2" t="s">
        <v>107</v>
      </c>
      <c r="G837" s="30" t="n">
        <v>36.9</v>
      </c>
      <c r="H837" s="11" t="n">
        <v>459.99</v>
      </c>
      <c r="I837" s="11" t="s">
        <v>350</v>
      </c>
      <c r="J837" s="11" t="n">
        <v>113.66</v>
      </c>
      <c r="K837" s="11" t="n">
        <v>93.97</v>
      </c>
      <c r="L837" s="11" t="n">
        <v>0.46</v>
      </c>
      <c r="M837" s="11" t="n">
        <v>0.92</v>
      </c>
      <c r="N837" s="11" t="n">
        <v>1</v>
      </c>
      <c r="O837" s="11" t="n">
        <v>4.5</v>
      </c>
      <c r="P837" s="11" t="n">
        <v>2.22</v>
      </c>
      <c r="Q837" s="11" t="n">
        <v>16.65</v>
      </c>
      <c r="R837" s="11" t="n">
        <f aca="false">SUM(K837:Q837)</f>
        <v>119.72</v>
      </c>
      <c r="S837" s="11" t="n">
        <f aca="false">R837/(1-Resumo!$C$6)</f>
        <v>136.045454545455</v>
      </c>
      <c r="T837" s="11" t="n">
        <f aca="false">S837-J837</f>
        <v>22.3854545454545</v>
      </c>
      <c r="U837" s="12" t="n">
        <f aca="false">IFERROR(S837/J837-1,0)</f>
        <v>0.196951034184889</v>
      </c>
      <c r="V837" s="2" t="str">
        <f aca="false">IF(S837&lt;J837,"SIM","NÃO")</f>
        <v>NÃO</v>
      </c>
      <c r="W837" s="2" t="n">
        <v>5</v>
      </c>
      <c r="X837" s="2" t="s">
        <v>161</v>
      </c>
    </row>
    <row r="838" customFormat="false" ht="15" hidden="false" customHeight="false" outlineLevel="0" collapsed="false">
      <c r="A838" s="2" t="n">
        <v>374218447</v>
      </c>
      <c r="B838" s="29" t="n">
        <v>46244.6958680556</v>
      </c>
      <c r="C838" s="2" t="s">
        <v>153</v>
      </c>
      <c r="D838" s="2" t="s">
        <v>1006</v>
      </c>
      <c r="E838" s="2" t="s">
        <v>78</v>
      </c>
      <c r="F838" s="2" t="s">
        <v>105</v>
      </c>
      <c r="G838" s="30" t="n">
        <v>19.9</v>
      </c>
      <c r="H838" s="11" t="n">
        <v>299.99</v>
      </c>
      <c r="I838" s="11" t="s">
        <v>155</v>
      </c>
      <c r="J838" s="11" t="n">
        <v>64.66</v>
      </c>
      <c r="K838" s="11" t="n">
        <v>46.98</v>
      </c>
      <c r="L838" s="11" t="n">
        <v>0.3</v>
      </c>
      <c r="M838" s="11" t="n">
        <v>0.6</v>
      </c>
      <c r="N838" s="11" t="n">
        <v>1</v>
      </c>
      <c r="O838" s="11" t="n">
        <v>4.5</v>
      </c>
      <c r="P838" s="11" t="n">
        <v>1.2</v>
      </c>
      <c r="Q838" s="11" t="n">
        <v>9</v>
      </c>
      <c r="R838" s="11" t="n">
        <f aca="false">SUM(K838:Q838)</f>
        <v>63.58</v>
      </c>
      <c r="S838" s="11" t="n">
        <f aca="false">R838/(1-Resumo!$C$6)</f>
        <v>72.25</v>
      </c>
      <c r="T838" s="11" t="n">
        <f aca="false">S838-J838</f>
        <v>7.59</v>
      </c>
      <c r="U838" s="12" t="n">
        <f aca="false">IFERROR(S838/J838-1,0)</f>
        <v>0.117383235385091</v>
      </c>
      <c r="V838" s="2" t="str">
        <f aca="false">IF(S838&lt;J838,"SIM","NÃO")</f>
        <v>NÃO</v>
      </c>
      <c r="W838" s="2" t="n">
        <v>5</v>
      </c>
      <c r="X838" s="2" t="s">
        <v>156</v>
      </c>
    </row>
    <row r="839" customFormat="false" ht="15" hidden="false" customHeight="false" outlineLevel="0" collapsed="false">
      <c r="A839" s="2" t="n">
        <v>374231679</v>
      </c>
      <c r="B839" s="29" t="n">
        <v>46244.7253356482</v>
      </c>
      <c r="C839" s="2" t="s">
        <v>153</v>
      </c>
      <c r="D839" s="2" t="s">
        <v>1007</v>
      </c>
      <c r="E839" s="2" t="s">
        <v>78</v>
      </c>
      <c r="F839" s="2" t="s">
        <v>111</v>
      </c>
      <c r="G839" s="30" t="n">
        <v>78.7</v>
      </c>
      <c r="H839" s="11" t="n">
        <v>1577.68</v>
      </c>
      <c r="I839" s="11" t="s">
        <v>155</v>
      </c>
      <c r="J839" s="11" t="n">
        <v>140.06</v>
      </c>
      <c r="K839" s="11" t="n">
        <v>134.39</v>
      </c>
      <c r="L839" s="11" t="n">
        <v>1.5777</v>
      </c>
      <c r="M839" s="11" t="n">
        <v>3.1554</v>
      </c>
      <c r="N839" s="11" t="n">
        <v>1</v>
      </c>
      <c r="O839" s="11" t="n">
        <v>4.5</v>
      </c>
      <c r="P839" s="11" t="n">
        <v>4.74</v>
      </c>
      <c r="Q839" s="11" t="n">
        <v>35.55</v>
      </c>
      <c r="R839" s="11" t="n">
        <f aca="false">SUM(K839:Q839)</f>
        <v>184.9131</v>
      </c>
      <c r="S839" s="11" t="n">
        <f aca="false">R839/(1-Resumo!$C$6)</f>
        <v>210.128522727273</v>
      </c>
      <c r="T839" s="11" t="n">
        <f aca="false">S839-J839</f>
        <v>70.0685227272727</v>
      </c>
      <c r="U839" s="12" t="n">
        <f aca="false">IFERROR(S839/J839-1,0)</f>
        <v>0.500275044461465</v>
      </c>
      <c r="V839" s="2" t="str">
        <f aca="false">IF(S839&lt;J839,"SIM","NÃO")</f>
        <v>NÃO</v>
      </c>
      <c r="W839" s="2" t="n">
        <v>5</v>
      </c>
      <c r="X839" s="2" t="s">
        <v>156</v>
      </c>
    </row>
    <row r="840" customFormat="false" ht="15" hidden="false" customHeight="false" outlineLevel="0" collapsed="false">
      <c r="A840" s="2" t="n">
        <v>374246324</v>
      </c>
      <c r="B840" s="29" t="n">
        <v>46244.7535300926</v>
      </c>
      <c r="C840" s="2" t="s">
        <v>153</v>
      </c>
      <c r="D840" s="2" t="s">
        <v>1008</v>
      </c>
      <c r="E840" s="2" t="s">
        <v>91</v>
      </c>
      <c r="F840" s="2" t="s">
        <v>110</v>
      </c>
      <c r="G840" s="30" t="n">
        <v>69</v>
      </c>
      <c r="H840" s="11" t="n">
        <v>783.88</v>
      </c>
      <c r="I840" s="11" t="s">
        <v>350</v>
      </c>
      <c r="J840" s="11" t="n">
        <v>158.12</v>
      </c>
      <c r="K840" s="11" t="n">
        <v>166.05</v>
      </c>
      <c r="L840" s="11" t="n">
        <v>0.7839</v>
      </c>
      <c r="M840" s="11" t="n">
        <v>1.5678</v>
      </c>
      <c r="N840" s="11" t="n">
        <v>1</v>
      </c>
      <c r="O840" s="11" t="n">
        <v>4.5</v>
      </c>
      <c r="P840" s="11" t="n">
        <v>4.14</v>
      </c>
      <c r="Q840" s="11" t="n">
        <v>31.05</v>
      </c>
      <c r="R840" s="11" t="n">
        <f aca="false">SUM(K840:Q840)</f>
        <v>209.0917</v>
      </c>
      <c r="S840" s="11" t="n">
        <f aca="false">R840/(1-Resumo!$C$6)</f>
        <v>237.604204545455</v>
      </c>
      <c r="T840" s="11" t="n">
        <f aca="false">S840-J840</f>
        <v>79.4842045454546</v>
      </c>
      <c r="U840" s="12" t="n">
        <f aca="false">IFERROR(S840/J840-1,0)</f>
        <v>0.502682801324656</v>
      </c>
      <c r="V840" s="2" t="str">
        <f aca="false">IF(S840&lt;J840,"SIM","NÃO")</f>
        <v>NÃO</v>
      </c>
      <c r="W840" s="2" t="n">
        <v>10</v>
      </c>
      <c r="X840" s="2" t="s">
        <v>156</v>
      </c>
    </row>
    <row r="841" customFormat="false" ht="15" hidden="false" customHeight="false" outlineLevel="0" collapsed="false">
      <c r="A841" s="2" t="n">
        <v>374268278</v>
      </c>
      <c r="B841" s="29" t="n">
        <v>46244.7956597222</v>
      </c>
      <c r="C841" s="2" t="s">
        <v>158</v>
      </c>
      <c r="D841" s="2" t="s">
        <v>1009</v>
      </c>
      <c r="E841" s="2" t="s">
        <v>80</v>
      </c>
      <c r="F841" s="2" t="s">
        <v>114</v>
      </c>
      <c r="G841" s="30" t="n">
        <v>124.2</v>
      </c>
      <c r="H841" s="11" t="n">
        <v>1589.99</v>
      </c>
      <c r="I841" s="11" t="s">
        <v>155</v>
      </c>
      <c r="J841" s="11" t="n">
        <v>244.22</v>
      </c>
      <c r="K841" s="11" t="n">
        <v>239.25</v>
      </c>
      <c r="L841" s="11" t="n">
        <v>1.59</v>
      </c>
      <c r="M841" s="11" t="n">
        <v>3.18</v>
      </c>
      <c r="N841" s="11" t="n">
        <v>1</v>
      </c>
      <c r="O841" s="11" t="n">
        <v>9</v>
      </c>
      <c r="P841" s="11" t="n">
        <v>7.5</v>
      </c>
      <c r="Q841" s="11" t="n">
        <v>56.25</v>
      </c>
      <c r="R841" s="11" t="n">
        <f aca="false">SUM(K841:Q841)</f>
        <v>317.77</v>
      </c>
      <c r="S841" s="11" t="n">
        <f aca="false">R841/(1-Resumo!$C$6)</f>
        <v>361.102272727273</v>
      </c>
      <c r="T841" s="11" t="n">
        <f aca="false">S841-J841</f>
        <v>116.882272727273</v>
      </c>
      <c r="U841" s="12" t="n">
        <f aca="false">IFERROR(S841/J841-1,0)</f>
        <v>0.478594188548328</v>
      </c>
      <c r="V841" s="2" t="str">
        <f aca="false">IF(S841&lt;J841,"SIM","NÃO")</f>
        <v>NÃO</v>
      </c>
      <c r="W841" s="2" t="n">
        <v>5</v>
      </c>
      <c r="X841" s="2" t="s">
        <v>156</v>
      </c>
    </row>
    <row r="842" customFormat="false" ht="15" hidden="false" customHeight="false" outlineLevel="0" collapsed="false">
      <c r="A842" s="2" t="n">
        <v>374295080</v>
      </c>
      <c r="B842" s="29" t="n">
        <v>46244.8473032407</v>
      </c>
      <c r="C842" s="2" t="s">
        <v>153</v>
      </c>
      <c r="D842" s="2" t="s">
        <v>1010</v>
      </c>
      <c r="E842" s="2" t="s">
        <v>78</v>
      </c>
      <c r="F842" s="2" t="s">
        <v>109</v>
      </c>
      <c r="G842" s="30" t="n">
        <v>52.3</v>
      </c>
      <c r="H842" s="11" t="n">
        <v>699.99</v>
      </c>
      <c r="I842" s="11" t="s">
        <v>155</v>
      </c>
      <c r="J842" s="11" t="n">
        <v>114.5</v>
      </c>
      <c r="K842" s="11" t="n">
        <v>112.3</v>
      </c>
      <c r="L842" s="11" t="n">
        <v>0.7</v>
      </c>
      <c r="M842" s="11" t="n">
        <v>1.4</v>
      </c>
      <c r="N842" s="11" t="n">
        <v>1</v>
      </c>
      <c r="O842" s="11" t="n">
        <v>4.5</v>
      </c>
      <c r="P842" s="11" t="n">
        <v>3.18</v>
      </c>
      <c r="Q842" s="11" t="n">
        <v>23.85</v>
      </c>
      <c r="R842" s="11" t="n">
        <f aca="false">SUM(K842:Q842)</f>
        <v>146.93</v>
      </c>
      <c r="S842" s="11" t="n">
        <f aca="false">R842/(1-Resumo!$C$6)</f>
        <v>166.965909090909</v>
      </c>
      <c r="T842" s="11" t="n">
        <f aca="false">S842-J842</f>
        <v>52.4659090909091</v>
      </c>
      <c r="U842" s="12" t="n">
        <f aca="false">IFERROR(S842/J842-1,0)</f>
        <v>0.458217546645494</v>
      </c>
      <c r="V842" s="2" t="str">
        <f aca="false">IF(S842&lt;J842,"SIM","NÃO")</f>
        <v>NÃO</v>
      </c>
      <c r="W842" s="2" t="n">
        <v>5</v>
      </c>
      <c r="X842" s="2" t="s">
        <v>156</v>
      </c>
    </row>
    <row r="843" customFormat="false" ht="15" hidden="false" customHeight="false" outlineLevel="0" collapsed="false">
      <c r="A843" s="2" t="n">
        <v>374301216</v>
      </c>
      <c r="B843" s="29" t="n">
        <v>46244.8668402778</v>
      </c>
      <c r="C843" s="2" t="s">
        <v>191</v>
      </c>
      <c r="D843" s="2" t="s">
        <v>1011</v>
      </c>
      <c r="E843" s="2" t="s">
        <v>79</v>
      </c>
      <c r="F843" s="2" t="s">
        <v>107</v>
      </c>
      <c r="G843" s="30" t="n">
        <v>36.9</v>
      </c>
      <c r="H843" s="11" t="n">
        <v>439.99</v>
      </c>
      <c r="I843" s="11" t="s">
        <v>350</v>
      </c>
      <c r="J843" s="11" t="n">
        <v>113.55</v>
      </c>
      <c r="K843" s="11" t="n">
        <v>114.95</v>
      </c>
      <c r="L843" s="11" t="n">
        <v>0.44</v>
      </c>
      <c r="M843" s="11" t="n">
        <v>0.88</v>
      </c>
      <c r="N843" s="11" t="n">
        <v>1</v>
      </c>
      <c r="O843" s="11" t="n">
        <v>4.5</v>
      </c>
      <c r="P843" s="11" t="n">
        <v>2.22</v>
      </c>
      <c r="Q843" s="11" t="n">
        <v>16.65</v>
      </c>
      <c r="R843" s="11" t="n">
        <f aca="false">SUM(K843:Q843)</f>
        <v>140.64</v>
      </c>
      <c r="S843" s="11" t="n">
        <f aca="false">R843/(1-Resumo!$C$6)</f>
        <v>159.818181818182</v>
      </c>
      <c r="T843" s="11" t="n">
        <f aca="false">S843-J843</f>
        <v>46.2681818181818</v>
      </c>
      <c r="U843" s="12" t="n">
        <f aca="false">IFERROR(S843/J843-1,0)</f>
        <v>0.407469676954486</v>
      </c>
      <c r="V843" s="2" t="str">
        <f aca="false">IF(S843&lt;J843,"SIM","NÃO")</f>
        <v>NÃO</v>
      </c>
      <c r="W843" s="2" t="n">
        <v>7</v>
      </c>
      <c r="X843" s="2" t="s">
        <v>156</v>
      </c>
    </row>
    <row r="844" customFormat="false" ht="15" hidden="false" customHeight="false" outlineLevel="0" collapsed="false">
      <c r="A844" s="2" t="n">
        <v>374309609</v>
      </c>
      <c r="B844" s="29" t="n">
        <v>46244.8765162037</v>
      </c>
      <c r="C844" s="2" t="s">
        <v>153</v>
      </c>
      <c r="D844" s="2" t="s">
        <v>1012</v>
      </c>
      <c r="E844" s="2" t="s">
        <v>78</v>
      </c>
      <c r="F844" s="2" t="s">
        <v>108</v>
      </c>
      <c r="G844" s="30" t="n">
        <v>43.5</v>
      </c>
      <c r="H844" s="11" t="n">
        <v>699.99</v>
      </c>
      <c r="I844" s="11" t="s">
        <v>155</v>
      </c>
      <c r="J844" s="11" t="n">
        <v>103.94</v>
      </c>
      <c r="K844" s="11" t="n">
        <v>93.97</v>
      </c>
      <c r="L844" s="11" t="n">
        <v>0.7</v>
      </c>
      <c r="M844" s="11" t="n">
        <v>1.4</v>
      </c>
      <c r="N844" s="11" t="n">
        <v>1</v>
      </c>
      <c r="O844" s="11" t="n">
        <v>4.5</v>
      </c>
      <c r="P844" s="11" t="n">
        <v>2.64</v>
      </c>
      <c r="Q844" s="11" t="n">
        <v>19.8</v>
      </c>
      <c r="R844" s="11" t="n">
        <f aca="false">SUM(K844:Q844)</f>
        <v>124.01</v>
      </c>
      <c r="S844" s="11" t="n">
        <f aca="false">R844/(1-Resumo!$C$6)</f>
        <v>140.920454545455</v>
      </c>
      <c r="T844" s="11" t="n">
        <f aca="false">S844-J844</f>
        <v>36.9804545454545</v>
      </c>
      <c r="U844" s="12" t="n">
        <f aca="false">IFERROR(S844/J844-1,0)</f>
        <v>0.355786555180436</v>
      </c>
      <c r="V844" s="2" t="str">
        <f aca="false">IF(S844&lt;J844,"SIM","NÃO")</f>
        <v>NÃO</v>
      </c>
      <c r="W844" s="2" t="n">
        <v>5</v>
      </c>
      <c r="X844" s="2" t="s">
        <v>156</v>
      </c>
    </row>
    <row r="845" customFormat="false" ht="15" hidden="false" customHeight="false" outlineLevel="0" collapsed="false">
      <c r="A845" s="2" t="n">
        <v>374315053</v>
      </c>
      <c r="B845" s="29" t="n">
        <v>46244.8876041667</v>
      </c>
      <c r="C845" s="2" t="s">
        <v>153</v>
      </c>
      <c r="D845" s="2" t="s">
        <v>1013</v>
      </c>
      <c r="E845" s="2" t="s">
        <v>81</v>
      </c>
      <c r="F845" s="2" t="s">
        <v>108</v>
      </c>
      <c r="G845" s="30" t="n">
        <v>45.3</v>
      </c>
      <c r="H845" s="11" t="n">
        <v>699.99</v>
      </c>
      <c r="I845" s="11" t="s">
        <v>155</v>
      </c>
      <c r="J845" s="11" t="n">
        <v>117.43</v>
      </c>
      <c r="K845" s="11" t="n">
        <v>93.97</v>
      </c>
      <c r="L845" s="11" t="n">
        <v>0.7</v>
      </c>
      <c r="M845" s="11" t="n">
        <v>1.4</v>
      </c>
      <c r="N845" s="11" t="n">
        <v>1</v>
      </c>
      <c r="O845" s="11" t="n">
        <v>4.5</v>
      </c>
      <c r="P845" s="11" t="n">
        <v>2.76</v>
      </c>
      <c r="Q845" s="11" t="n">
        <v>20.7</v>
      </c>
      <c r="R845" s="11" t="n">
        <f aca="false">SUM(K845:Q845)</f>
        <v>125.03</v>
      </c>
      <c r="S845" s="11" t="n">
        <f aca="false">R845/(1-Resumo!$C$6)</f>
        <v>142.079545454545</v>
      </c>
      <c r="T845" s="11" t="n">
        <f aca="false">S845-J845</f>
        <v>24.6495454545455</v>
      </c>
      <c r="U845" s="12" t="n">
        <f aca="false">IFERROR(S845/J845-1,0)</f>
        <v>0.209908417393728</v>
      </c>
      <c r="V845" s="2" t="str">
        <f aca="false">IF(S845&lt;J845,"SIM","NÃO")</f>
        <v>NÃO</v>
      </c>
      <c r="W845" s="2" t="n">
        <v>5</v>
      </c>
      <c r="X845" s="2" t="s">
        <v>156</v>
      </c>
    </row>
    <row r="846" customFormat="false" ht="15" hidden="false" customHeight="false" outlineLevel="0" collapsed="false">
      <c r="A846" s="2" t="n">
        <v>374315237</v>
      </c>
      <c r="B846" s="29" t="n">
        <v>46244.888125</v>
      </c>
      <c r="C846" s="2" t="s">
        <v>153</v>
      </c>
      <c r="D846" s="2" t="s">
        <v>1014</v>
      </c>
      <c r="E846" s="2" t="s">
        <v>80</v>
      </c>
      <c r="F846" s="2" t="s">
        <v>106</v>
      </c>
      <c r="G846" s="30" t="n">
        <v>27</v>
      </c>
      <c r="H846" s="11" t="n">
        <v>329.99</v>
      </c>
      <c r="I846" s="11" t="s">
        <v>155</v>
      </c>
      <c r="J846" s="11" t="n">
        <v>100.97</v>
      </c>
      <c r="K846" s="11" t="n">
        <v>82.21</v>
      </c>
      <c r="L846" s="11" t="n">
        <v>0.33</v>
      </c>
      <c r="M846" s="11" t="n">
        <v>0.66</v>
      </c>
      <c r="N846" s="11" t="n">
        <v>1</v>
      </c>
      <c r="O846" s="11" t="n">
        <v>4.5</v>
      </c>
      <c r="P846" s="11" t="n">
        <v>1.62</v>
      </c>
      <c r="Q846" s="11" t="n">
        <v>12.15</v>
      </c>
      <c r="R846" s="11" t="n">
        <f aca="false">SUM(K846:Q846)</f>
        <v>102.47</v>
      </c>
      <c r="S846" s="11" t="n">
        <f aca="false">R846/(1-Resumo!$C$6)</f>
        <v>116.443181818182</v>
      </c>
      <c r="T846" s="11" t="n">
        <f aca="false">S846-J846</f>
        <v>15.4731818181818</v>
      </c>
      <c r="U846" s="12" t="n">
        <f aca="false">IFERROR(S846/J846-1,0)</f>
        <v>0.153245338399344</v>
      </c>
      <c r="V846" s="2" t="str">
        <f aca="false">IF(S846&lt;J846,"SIM","NÃO")</f>
        <v>NÃO</v>
      </c>
      <c r="W846" s="2" t="n">
        <v>5</v>
      </c>
      <c r="X846" s="2" t="s">
        <v>156</v>
      </c>
    </row>
    <row r="847" customFormat="false" ht="15" hidden="false" customHeight="false" outlineLevel="0" collapsed="false">
      <c r="A847" s="2" t="n">
        <v>374314205</v>
      </c>
      <c r="B847" s="29" t="n">
        <v>46244.8924421296</v>
      </c>
      <c r="C847" s="2" t="s">
        <v>191</v>
      </c>
      <c r="D847" s="2" t="s">
        <v>1015</v>
      </c>
      <c r="E847" s="2" t="s">
        <v>78</v>
      </c>
      <c r="F847" s="2" t="s">
        <v>112</v>
      </c>
      <c r="G847" s="30" t="n">
        <v>97.2</v>
      </c>
      <c r="H847" s="11" t="n">
        <v>1349.99</v>
      </c>
      <c r="I847" s="11" t="s">
        <v>155</v>
      </c>
      <c r="J847" s="11" t="n">
        <v>165.57</v>
      </c>
      <c r="K847" s="11" t="n">
        <v>167.99</v>
      </c>
      <c r="L847" s="11" t="n">
        <v>1.35</v>
      </c>
      <c r="M847" s="11" t="n">
        <v>2.7</v>
      </c>
      <c r="N847" s="11" t="n">
        <v>1</v>
      </c>
      <c r="O847" s="11" t="n">
        <v>4.5</v>
      </c>
      <c r="P847" s="11" t="n">
        <v>5.88</v>
      </c>
      <c r="Q847" s="11" t="n">
        <v>44.1</v>
      </c>
      <c r="R847" s="11" t="n">
        <f aca="false">SUM(K847:Q847)</f>
        <v>227.52</v>
      </c>
      <c r="S847" s="11" t="n">
        <f aca="false">R847/(1-Resumo!$C$6)</f>
        <v>258.545454545455</v>
      </c>
      <c r="T847" s="11" t="n">
        <f aca="false">S847-J847</f>
        <v>92.9754545454546</v>
      </c>
      <c r="U847" s="12" t="n">
        <f aca="false">IFERROR(S847/J847-1,0)</f>
        <v>0.561547711212506</v>
      </c>
      <c r="V847" s="2" t="str">
        <f aca="false">IF(S847&lt;J847,"SIM","NÃO")</f>
        <v>NÃO</v>
      </c>
      <c r="W847" s="2" t="n">
        <v>5</v>
      </c>
      <c r="X847" s="2" t="s">
        <v>156</v>
      </c>
    </row>
    <row r="848" customFormat="false" ht="15" hidden="false" customHeight="false" outlineLevel="0" collapsed="false">
      <c r="A848" s="2" t="n">
        <v>374318402</v>
      </c>
      <c r="B848" s="29" t="n">
        <v>46244.8946064815</v>
      </c>
      <c r="C848" s="2" t="s">
        <v>153</v>
      </c>
      <c r="D848" s="2" t="s">
        <v>789</v>
      </c>
      <c r="E848" s="2" t="s">
        <v>412</v>
      </c>
      <c r="F848" s="2" t="s">
        <v>107</v>
      </c>
      <c r="G848" s="30" t="n">
        <v>40</v>
      </c>
      <c r="H848" s="11" t="n">
        <v>569.99</v>
      </c>
      <c r="I848" s="11" t="s">
        <v>350</v>
      </c>
      <c r="J848" s="11" t="n">
        <v>124.97</v>
      </c>
      <c r="K848" s="11" t="n">
        <v>124.38</v>
      </c>
      <c r="L848" s="11" t="n">
        <v>0.57</v>
      </c>
      <c r="M848" s="11" t="n">
        <v>1.14</v>
      </c>
      <c r="N848" s="11" t="n">
        <v>1</v>
      </c>
      <c r="O848" s="11" t="n">
        <v>4.5</v>
      </c>
      <c r="P848" s="11" t="n">
        <v>2.4</v>
      </c>
      <c r="Q848" s="11" t="n">
        <v>18</v>
      </c>
      <c r="R848" s="11" t="n">
        <f aca="false">SUM(K848:Q848)</f>
        <v>151.99</v>
      </c>
      <c r="S848" s="11" t="n">
        <f aca="false">R848/(1-Resumo!$C$6)</f>
        <v>172.715909090909</v>
      </c>
      <c r="T848" s="11" t="n">
        <f aca="false">S848-J848</f>
        <v>47.7459090909091</v>
      </c>
      <c r="U848" s="12" t="n">
        <f aca="false">IFERROR(S848/J848-1,0)</f>
        <v>0.382058966879324</v>
      </c>
      <c r="V848" s="2" t="str">
        <f aca="false">IF(S848&lt;J848,"SIM","NÃO")</f>
        <v>NÃO</v>
      </c>
      <c r="W848" s="2" t="n">
        <v>10</v>
      </c>
      <c r="X848" s="2" t="s">
        <v>161</v>
      </c>
    </row>
    <row r="849" customFormat="false" ht="15" hidden="false" customHeight="false" outlineLevel="0" collapsed="false">
      <c r="A849" s="2" t="n">
        <v>374330962</v>
      </c>
      <c r="B849" s="29" t="n">
        <v>46244.921712963</v>
      </c>
      <c r="C849" s="2" t="s">
        <v>153</v>
      </c>
      <c r="D849" s="2" t="s">
        <v>1016</v>
      </c>
      <c r="E849" s="2" t="s">
        <v>78</v>
      </c>
      <c r="F849" s="2" t="s">
        <v>107</v>
      </c>
      <c r="G849" s="30" t="n">
        <v>37.2</v>
      </c>
      <c r="H849" s="11" t="n">
        <v>419.99</v>
      </c>
      <c r="I849" s="11" t="s">
        <v>155</v>
      </c>
      <c r="J849" s="11" t="n">
        <v>91.86</v>
      </c>
      <c r="K849" s="11" t="n">
        <v>93.97</v>
      </c>
      <c r="L849" s="11" t="n">
        <v>0.42</v>
      </c>
      <c r="M849" s="11" t="n">
        <v>0.84</v>
      </c>
      <c r="N849" s="11" t="n">
        <v>1</v>
      </c>
      <c r="O849" s="11" t="n">
        <v>4.5</v>
      </c>
      <c r="P849" s="11" t="n">
        <v>2.28</v>
      </c>
      <c r="Q849" s="11" t="n">
        <v>17.1</v>
      </c>
      <c r="R849" s="11" t="n">
        <f aca="false">SUM(K849:Q849)</f>
        <v>120.11</v>
      </c>
      <c r="S849" s="11" t="n">
        <f aca="false">R849/(1-Resumo!$C$6)</f>
        <v>136.488636363636</v>
      </c>
      <c r="T849" s="11" t="n">
        <f aca="false">S849-J849</f>
        <v>44.6286363636364</v>
      </c>
      <c r="U849" s="12" t="n">
        <f aca="false">IFERROR(S849/J849-1,0)</f>
        <v>0.485833184886092</v>
      </c>
      <c r="V849" s="2" t="str">
        <f aca="false">IF(S849&lt;J849,"SIM","NÃO")</f>
        <v>NÃO</v>
      </c>
      <c r="W849" s="2" t="n">
        <v>5</v>
      </c>
      <c r="X849" s="2" t="s">
        <v>156</v>
      </c>
    </row>
    <row r="850" customFormat="false" ht="15" hidden="false" customHeight="false" outlineLevel="0" collapsed="false">
      <c r="A850" s="2" t="n">
        <v>374350069</v>
      </c>
      <c r="B850" s="29" t="n">
        <v>46244.9468402778</v>
      </c>
      <c r="C850" s="2" t="s">
        <v>153</v>
      </c>
      <c r="D850" s="2" t="s">
        <v>327</v>
      </c>
      <c r="E850" s="2" t="s">
        <v>78</v>
      </c>
      <c r="F850" s="2" t="s">
        <v>107</v>
      </c>
      <c r="G850" s="30" t="n">
        <v>36.9</v>
      </c>
      <c r="H850" s="11" t="n">
        <v>391.88</v>
      </c>
      <c r="I850" s="11" t="s">
        <v>350</v>
      </c>
      <c r="J850" s="11" t="n">
        <v>92.32</v>
      </c>
      <c r="K850" s="11" t="n">
        <v>93.97</v>
      </c>
      <c r="L850" s="11" t="n">
        <v>0.3919</v>
      </c>
      <c r="M850" s="11" t="n">
        <v>0.7838</v>
      </c>
      <c r="N850" s="11" t="n">
        <v>1</v>
      </c>
      <c r="O850" s="11" t="n">
        <v>4.5</v>
      </c>
      <c r="P850" s="11" t="n">
        <v>2.22</v>
      </c>
      <c r="Q850" s="11" t="n">
        <v>16.65</v>
      </c>
      <c r="R850" s="11" t="n">
        <f aca="false">SUM(K850:Q850)</f>
        <v>119.5157</v>
      </c>
      <c r="S850" s="11" t="n">
        <f aca="false">R850/(1-Resumo!$C$6)</f>
        <v>135.813295454545</v>
      </c>
      <c r="T850" s="11" t="n">
        <f aca="false">S850-J850</f>
        <v>43.4932954545455</v>
      </c>
      <c r="U850" s="12" t="n">
        <f aca="false">IFERROR(S850/J850-1,0)</f>
        <v>0.471114552150622</v>
      </c>
      <c r="V850" s="2" t="str">
        <f aca="false">IF(S850&lt;J850,"SIM","NÃO")</f>
        <v>NÃO</v>
      </c>
      <c r="W850" s="2" t="n">
        <v>5</v>
      </c>
      <c r="X850" s="2" t="s">
        <v>156</v>
      </c>
    </row>
    <row r="851" customFormat="false" ht="15" hidden="false" customHeight="false" outlineLevel="0" collapsed="false">
      <c r="A851" s="2" t="n">
        <v>374364326</v>
      </c>
      <c r="B851" s="29" t="n">
        <v>46244.9644328704</v>
      </c>
      <c r="C851" s="2" t="s">
        <v>153</v>
      </c>
      <c r="D851" s="2" t="s">
        <v>1017</v>
      </c>
      <c r="E851" s="2" t="s">
        <v>78</v>
      </c>
      <c r="F851" s="2" t="s">
        <v>107</v>
      </c>
      <c r="G851" s="30" t="n">
        <v>36.8</v>
      </c>
      <c r="H851" s="11" t="n">
        <v>459.99</v>
      </c>
      <c r="I851" s="11" t="s">
        <v>350</v>
      </c>
      <c r="J851" s="11" t="n">
        <v>92.66</v>
      </c>
      <c r="K851" s="11" t="n">
        <v>93.97</v>
      </c>
      <c r="L851" s="11" t="n">
        <v>0.46</v>
      </c>
      <c r="M851" s="11" t="n">
        <v>0.92</v>
      </c>
      <c r="N851" s="11" t="n">
        <v>1</v>
      </c>
      <c r="O851" s="11" t="n">
        <v>4.5</v>
      </c>
      <c r="P851" s="11" t="n">
        <v>2.22</v>
      </c>
      <c r="Q851" s="11" t="n">
        <v>16.65</v>
      </c>
      <c r="R851" s="11" t="n">
        <f aca="false">SUM(K851:Q851)</f>
        <v>119.72</v>
      </c>
      <c r="S851" s="11" t="n">
        <f aca="false">R851/(1-Resumo!$C$6)</f>
        <v>136.045454545455</v>
      </c>
      <c r="T851" s="11" t="n">
        <f aca="false">S851-J851</f>
        <v>43.3854545454545</v>
      </c>
      <c r="U851" s="12" t="n">
        <f aca="false">IFERROR(S851/J851-1,0)</f>
        <v>0.468222043443282</v>
      </c>
      <c r="V851" s="2" t="str">
        <f aca="false">IF(S851&lt;J851,"SIM","NÃO")</f>
        <v>NÃO</v>
      </c>
      <c r="W851" s="2" t="n">
        <v>5</v>
      </c>
      <c r="X851" s="2" t="s">
        <v>156</v>
      </c>
    </row>
    <row r="852" customFormat="false" ht="15" hidden="false" customHeight="false" outlineLevel="0" collapsed="false">
      <c r="A852" s="2" t="n">
        <v>374396618</v>
      </c>
      <c r="B852" s="29" t="n">
        <v>46245.0250694445</v>
      </c>
      <c r="C852" s="2" t="s">
        <v>198</v>
      </c>
      <c r="D852" s="2" t="s">
        <v>1018</v>
      </c>
      <c r="E852" s="2" t="s">
        <v>97</v>
      </c>
      <c r="F852" s="2" t="s">
        <v>106</v>
      </c>
      <c r="G852" s="30" t="n">
        <v>24.4</v>
      </c>
      <c r="H852" s="11" t="n">
        <v>349.99</v>
      </c>
      <c r="I852" s="11" t="s">
        <v>350</v>
      </c>
      <c r="J852" s="11" t="n">
        <v>105.61</v>
      </c>
      <c r="K852" s="11" t="n">
        <v>114.95</v>
      </c>
      <c r="L852" s="11" t="n">
        <v>0.35</v>
      </c>
      <c r="M852" s="11" t="n">
        <v>0.7</v>
      </c>
      <c r="N852" s="11" t="n">
        <v>1</v>
      </c>
      <c r="O852" s="11" t="n">
        <v>4.5</v>
      </c>
      <c r="P852" s="11" t="n">
        <v>1.5</v>
      </c>
      <c r="Q852" s="11" t="n">
        <v>11.25</v>
      </c>
      <c r="R852" s="11" t="n">
        <f aca="false">SUM(K852:Q852)</f>
        <v>134.25</v>
      </c>
      <c r="S852" s="11" t="n">
        <f aca="false">R852/(1-Resumo!$C$6)</f>
        <v>152.556818181818</v>
      </c>
      <c r="T852" s="11" t="n">
        <f aca="false">S852-J852</f>
        <v>46.9468181818182</v>
      </c>
      <c r="U852" s="12" t="n">
        <f aca="false">IFERROR(S852/J852-1,0)</f>
        <v>0.444530046224962</v>
      </c>
      <c r="V852" s="2" t="str">
        <f aca="false">IF(S852&lt;J852,"SIM","NÃO")</f>
        <v>NÃO</v>
      </c>
      <c r="W852" s="2" t="n">
        <v>10</v>
      </c>
      <c r="X852" s="2" t="s">
        <v>156</v>
      </c>
    </row>
    <row r="853" customFormat="false" ht="15" hidden="false" customHeight="false" outlineLevel="0" collapsed="false">
      <c r="A853" s="2" t="n">
        <v>374446195</v>
      </c>
      <c r="B853" s="29" t="n">
        <v>46245.1247916667</v>
      </c>
      <c r="C853" s="2" t="s">
        <v>153</v>
      </c>
      <c r="D853" s="2" t="s">
        <v>1019</v>
      </c>
      <c r="E853" s="2" t="s">
        <v>80</v>
      </c>
      <c r="F853" s="2" t="s">
        <v>106</v>
      </c>
      <c r="G853" s="30" t="n">
        <v>22.4</v>
      </c>
      <c r="H853" s="11" t="n">
        <v>489.99</v>
      </c>
      <c r="I853" s="11" t="s">
        <v>155</v>
      </c>
      <c r="J853" s="11" t="n">
        <v>101.74</v>
      </c>
      <c r="K853" s="11" t="n">
        <v>82.21</v>
      </c>
      <c r="L853" s="11" t="n">
        <v>0.49</v>
      </c>
      <c r="M853" s="11" t="n">
        <v>0.98</v>
      </c>
      <c r="N853" s="11" t="n">
        <v>1</v>
      </c>
      <c r="O853" s="11" t="n">
        <v>4.5</v>
      </c>
      <c r="P853" s="11" t="n">
        <v>1.38</v>
      </c>
      <c r="Q853" s="11" t="n">
        <v>10.35</v>
      </c>
      <c r="R853" s="11" t="n">
        <f aca="false">SUM(K853:Q853)</f>
        <v>100.91</v>
      </c>
      <c r="S853" s="11" t="n">
        <f aca="false">R853/(1-Resumo!$C$6)</f>
        <v>114.670454545455</v>
      </c>
      <c r="T853" s="11" t="n">
        <f aca="false">S853-J853</f>
        <v>12.9304545454545</v>
      </c>
      <c r="U853" s="12" t="n">
        <f aca="false">IFERROR(S853/J853-1,0)</f>
        <v>0.127093125078185</v>
      </c>
      <c r="V853" s="2" t="str">
        <f aca="false">IF(S853&lt;J853,"SIM","NÃO")</f>
        <v>NÃO</v>
      </c>
      <c r="W853" s="2" t="n">
        <v>5</v>
      </c>
      <c r="X853" s="2" t="s">
        <v>156</v>
      </c>
    </row>
    <row r="854" customFormat="false" ht="15" hidden="false" customHeight="false" outlineLevel="0" collapsed="false">
      <c r="A854" s="2" t="n">
        <v>374549238</v>
      </c>
      <c r="B854" s="29" t="n">
        <v>46245.332650463</v>
      </c>
      <c r="C854" s="2" t="s">
        <v>158</v>
      </c>
      <c r="D854" s="2" t="s">
        <v>1020</v>
      </c>
      <c r="E854" s="2" t="s">
        <v>81</v>
      </c>
      <c r="F854" s="2" t="s">
        <v>109</v>
      </c>
      <c r="G854" s="30" t="n">
        <v>52.3</v>
      </c>
      <c r="H854" s="11" t="n">
        <v>632.65</v>
      </c>
      <c r="I854" s="11" t="s">
        <v>155</v>
      </c>
      <c r="J854" s="11" t="n">
        <v>128.33</v>
      </c>
      <c r="K854" s="11" t="n">
        <v>112.3</v>
      </c>
      <c r="L854" s="11" t="n">
        <v>0.6327</v>
      </c>
      <c r="M854" s="11" t="n">
        <v>1.2653</v>
      </c>
      <c r="N854" s="11" t="n">
        <v>1</v>
      </c>
      <c r="O854" s="11" t="n">
        <v>4.5</v>
      </c>
      <c r="P854" s="11" t="n">
        <v>3.18</v>
      </c>
      <c r="Q854" s="11" t="n">
        <v>23.85</v>
      </c>
      <c r="R854" s="11" t="n">
        <f aca="false">SUM(K854:Q854)</f>
        <v>146.728</v>
      </c>
      <c r="S854" s="11" t="n">
        <f aca="false">R854/(1-Resumo!$C$6)</f>
        <v>166.736363636364</v>
      </c>
      <c r="T854" s="11" t="n">
        <f aca="false">S854-J854</f>
        <v>38.4063636363636</v>
      </c>
      <c r="U854" s="12" t="n">
        <f aca="false">IFERROR(S854/J854-1,0)</f>
        <v>0.299278139455806</v>
      </c>
      <c r="V854" s="2" t="str">
        <f aca="false">IF(S854&lt;J854,"SIM","NÃO")</f>
        <v>NÃO</v>
      </c>
      <c r="W854" s="2" t="n">
        <v>5</v>
      </c>
      <c r="X854" s="2" t="s">
        <v>156</v>
      </c>
    </row>
    <row r="855" customFormat="false" ht="15" hidden="false" customHeight="false" outlineLevel="0" collapsed="false">
      <c r="A855" s="2" t="n">
        <v>374564111</v>
      </c>
      <c r="B855" s="29" t="n">
        <v>46245.3660416667</v>
      </c>
      <c r="C855" s="2" t="s">
        <v>158</v>
      </c>
      <c r="D855" s="2" t="s">
        <v>1021</v>
      </c>
      <c r="E855" s="2" t="s">
        <v>78</v>
      </c>
      <c r="F855" s="2" t="s">
        <v>108</v>
      </c>
      <c r="G855" s="30" t="n">
        <v>41.3</v>
      </c>
      <c r="H855" s="11" t="n">
        <v>509.5</v>
      </c>
      <c r="I855" s="11" t="s">
        <v>155</v>
      </c>
      <c r="J855" s="11" t="n">
        <v>103.03</v>
      </c>
      <c r="K855" s="11" t="n">
        <v>93.97</v>
      </c>
      <c r="L855" s="11" t="n">
        <v>0.5095</v>
      </c>
      <c r="M855" s="11" t="n">
        <v>1.019</v>
      </c>
      <c r="N855" s="11" t="n">
        <v>1</v>
      </c>
      <c r="O855" s="11" t="n">
        <v>4.5</v>
      </c>
      <c r="P855" s="11" t="n">
        <v>2.52</v>
      </c>
      <c r="Q855" s="11" t="n">
        <v>18.9</v>
      </c>
      <c r="R855" s="11" t="n">
        <f aca="false">SUM(K855:Q855)</f>
        <v>122.4185</v>
      </c>
      <c r="S855" s="11" t="n">
        <f aca="false">R855/(1-Resumo!$C$6)</f>
        <v>139.111931818182</v>
      </c>
      <c r="T855" s="11" t="n">
        <f aca="false">S855-J855</f>
        <v>36.0819318181818</v>
      </c>
      <c r="U855" s="12" t="n">
        <f aca="false">IFERROR(S855/J855-1,0)</f>
        <v>0.350208015317692</v>
      </c>
      <c r="V855" s="2" t="str">
        <f aca="false">IF(S855&lt;J855,"SIM","NÃO")</f>
        <v>NÃO</v>
      </c>
      <c r="W855" s="2" t="n">
        <v>5</v>
      </c>
      <c r="X855" s="2" t="s">
        <v>156</v>
      </c>
    </row>
    <row r="856" customFormat="false" ht="15" hidden="false" customHeight="false" outlineLevel="0" collapsed="false">
      <c r="A856" s="2" t="n">
        <v>373434853</v>
      </c>
      <c r="B856" s="29" t="n">
        <v>46245.3776388889</v>
      </c>
      <c r="C856" s="2" t="s">
        <v>191</v>
      </c>
      <c r="D856" s="2" t="s">
        <v>1022</v>
      </c>
      <c r="E856" s="2" t="s">
        <v>81</v>
      </c>
      <c r="F856" s="2" t="s">
        <v>108</v>
      </c>
      <c r="G856" s="30" t="n">
        <v>46.8</v>
      </c>
      <c r="H856" s="11" t="n">
        <v>587.49</v>
      </c>
      <c r="I856" s="11" t="s">
        <v>155</v>
      </c>
      <c r="J856" s="11" t="n">
        <v>116.88</v>
      </c>
      <c r="K856" s="11" t="n">
        <v>93.97</v>
      </c>
      <c r="L856" s="11" t="n">
        <v>0.5875</v>
      </c>
      <c r="M856" s="11" t="n">
        <v>1.175</v>
      </c>
      <c r="N856" s="11" t="n">
        <v>1</v>
      </c>
      <c r="O856" s="11" t="n">
        <v>4.5</v>
      </c>
      <c r="P856" s="11" t="n">
        <v>2.82</v>
      </c>
      <c r="Q856" s="11" t="n">
        <v>21.15</v>
      </c>
      <c r="R856" s="11" t="n">
        <f aca="false">SUM(K856:Q856)</f>
        <v>125.2025</v>
      </c>
      <c r="S856" s="11" t="n">
        <f aca="false">R856/(1-Resumo!$C$6)</f>
        <v>142.275568181818</v>
      </c>
      <c r="T856" s="11" t="n">
        <f aca="false">S856-J856</f>
        <v>25.3955681818182</v>
      </c>
      <c r="U856" s="12" t="n">
        <f aca="false">IFERROR(S856/J856-1,0)</f>
        <v>0.217278988550806</v>
      </c>
      <c r="V856" s="2" t="str">
        <f aca="false">IF(S856&lt;J856,"SIM","NÃO")</f>
        <v>NÃO</v>
      </c>
      <c r="W856" s="2" t="n">
        <v>5</v>
      </c>
      <c r="X856" s="2" t="s">
        <v>156</v>
      </c>
    </row>
    <row r="857" customFormat="false" ht="15" hidden="false" customHeight="false" outlineLevel="0" collapsed="false">
      <c r="A857" s="2" t="n">
        <v>374571241</v>
      </c>
      <c r="B857" s="29" t="n">
        <v>46245.385462963</v>
      </c>
      <c r="C857" s="2" t="s">
        <v>153</v>
      </c>
      <c r="D857" s="2" t="s">
        <v>1023</v>
      </c>
      <c r="E857" s="2" t="s">
        <v>80</v>
      </c>
      <c r="F857" s="2" t="s">
        <v>106</v>
      </c>
      <c r="G857" s="30" t="n">
        <v>27.4</v>
      </c>
      <c r="H857" s="11" t="n">
        <v>315.99</v>
      </c>
      <c r="I857" s="11" t="s">
        <v>155</v>
      </c>
      <c r="J857" s="11" t="n">
        <v>100.9</v>
      </c>
      <c r="K857" s="11" t="n">
        <v>82.21</v>
      </c>
      <c r="L857" s="11" t="n">
        <v>0.316</v>
      </c>
      <c r="M857" s="11" t="n">
        <v>0.632</v>
      </c>
      <c r="N857" s="11" t="n">
        <v>1</v>
      </c>
      <c r="O857" s="11" t="n">
        <v>4.5</v>
      </c>
      <c r="P857" s="11" t="n">
        <v>1.68</v>
      </c>
      <c r="Q857" s="11" t="n">
        <v>12.6</v>
      </c>
      <c r="R857" s="11" t="n">
        <f aca="false">SUM(K857:Q857)</f>
        <v>102.938</v>
      </c>
      <c r="S857" s="11" t="n">
        <f aca="false">R857/(1-Resumo!$C$6)</f>
        <v>116.975</v>
      </c>
      <c r="T857" s="11" t="n">
        <f aca="false">S857-J857</f>
        <v>16.075</v>
      </c>
      <c r="U857" s="12" t="n">
        <f aca="false">IFERROR(S857/J857-1,0)</f>
        <v>0.159316154608523</v>
      </c>
      <c r="V857" s="2" t="str">
        <f aca="false">IF(S857&lt;J857,"SIM","NÃO")</f>
        <v>NÃO</v>
      </c>
      <c r="W857" s="2" t="n">
        <v>5</v>
      </c>
      <c r="X857" s="2" t="s">
        <v>156</v>
      </c>
    </row>
    <row r="858" customFormat="false" ht="15" hidden="false" customHeight="false" outlineLevel="0" collapsed="false">
      <c r="A858" s="2" t="n">
        <v>374574150</v>
      </c>
      <c r="B858" s="29" t="n">
        <v>46245.3896527778</v>
      </c>
      <c r="C858" s="2" t="s">
        <v>153</v>
      </c>
      <c r="D858" s="2" t="s">
        <v>1023</v>
      </c>
      <c r="E858" s="2" t="s">
        <v>80</v>
      </c>
      <c r="F858" s="2" t="s">
        <v>106</v>
      </c>
      <c r="G858" s="30" t="n">
        <v>27</v>
      </c>
      <c r="H858" s="11" t="n">
        <v>319.99</v>
      </c>
      <c r="I858" s="11" t="s">
        <v>155</v>
      </c>
      <c r="J858" s="11" t="n">
        <v>100.92</v>
      </c>
      <c r="K858" s="11" t="n">
        <v>82.21</v>
      </c>
      <c r="L858" s="11" t="n">
        <v>0.32</v>
      </c>
      <c r="M858" s="11" t="n">
        <v>0.64</v>
      </c>
      <c r="N858" s="11" t="n">
        <v>1</v>
      </c>
      <c r="O858" s="11" t="n">
        <v>4.5</v>
      </c>
      <c r="P858" s="11" t="n">
        <v>1.62</v>
      </c>
      <c r="Q858" s="11" t="n">
        <v>12.15</v>
      </c>
      <c r="R858" s="11" t="n">
        <f aca="false">SUM(K858:Q858)</f>
        <v>102.44</v>
      </c>
      <c r="S858" s="11" t="n">
        <f aca="false">R858/(1-Resumo!$C$6)</f>
        <v>116.409090909091</v>
      </c>
      <c r="T858" s="11" t="n">
        <f aca="false">S858-J858</f>
        <v>15.4890909090909</v>
      </c>
      <c r="U858" s="12" t="n">
        <f aca="false">IFERROR(S858/J858-1,0)</f>
        <v>0.153478903181638</v>
      </c>
      <c r="V858" s="2" t="str">
        <f aca="false">IF(S858&lt;J858,"SIM","NÃO")</f>
        <v>NÃO</v>
      </c>
      <c r="W858" s="2" t="n">
        <v>5</v>
      </c>
      <c r="X858" s="2" t="s">
        <v>156</v>
      </c>
    </row>
    <row r="859" customFormat="false" ht="15" hidden="false" customHeight="false" outlineLevel="0" collapsed="false">
      <c r="A859" s="2" t="n">
        <v>374584999</v>
      </c>
      <c r="B859" s="29" t="n">
        <v>46245.4047337963</v>
      </c>
      <c r="C859" s="2" t="s">
        <v>158</v>
      </c>
      <c r="D859" s="2" t="s">
        <v>1024</v>
      </c>
      <c r="E859" s="2" t="s">
        <v>89</v>
      </c>
      <c r="F859" s="2" t="s">
        <v>110</v>
      </c>
      <c r="G859" s="30" t="n">
        <v>60.9</v>
      </c>
      <c r="H859" s="11" t="n">
        <v>999.99</v>
      </c>
      <c r="I859" s="11" t="s">
        <v>350</v>
      </c>
      <c r="J859" s="11" t="n">
        <v>155.06</v>
      </c>
      <c r="K859" s="11" t="n">
        <v>166.05</v>
      </c>
      <c r="L859" s="11" t="n">
        <v>1</v>
      </c>
      <c r="M859" s="11" t="n">
        <v>2</v>
      </c>
      <c r="N859" s="11" t="n">
        <v>1</v>
      </c>
      <c r="O859" s="11" t="n">
        <v>4.5</v>
      </c>
      <c r="P859" s="11" t="n">
        <v>3.66</v>
      </c>
      <c r="Q859" s="11" t="n">
        <v>27.45</v>
      </c>
      <c r="R859" s="11" t="n">
        <f aca="false">SUM(K859:Q859)</f>
        <v>205.66</v>
      </c>
      <c r="S859" s="11" t="n">
        <f aca="false">R859/(1-Resumo!$C$6)</f>
        <v>233.704545454545</v>
      </c>
      <c r="T859" s="11" t="n">
        <f aca="false">S859-J859</f>
        <v>78.6445454545454</v>
      </c>
      <c r="U859" s="12" t="n">
        <f aca="false">IFERROR(S859/J859-1,0)</f>
        <v>0.507187833448636</v>
      </c>
      <c r="V859" s="2" t="str">
        <f aca="false">IF(S859&lt;J859,"SIM","NÃO")</f>
        <v>NÃO</v>
      </c>
      <c r="W859" s="2" t="n">
        <v>8</v>
      </c>
      <c r="X859" s="2" t="s">
        <v>156</v>
      </c>
    </row>
    <row r="860" customFormat="false" ht="15" hidden="false" customHeight="false" outlineLevel="0" collapsed="false">
      <c r="A860" s="2" t="n">
        <v>374588558</v>
      </c>
      <c r="B860" s="29" t="n">
        <v>46245.410787037</v>
      </c>
      <c r="C860" s="2" t="s">
        <v>153</v>
      </c>
      <c r="D860" s="2" t="s">
        <v>1025</v>
      </c>
      <c r="E860" s="2" t="s">
        <v>87</v>
      </c>
      <c r="F860" s="2" t="s">
        <v>106</v>
      </c>
      <c r="G860" s="30" t="n">
        <v>27.4</v>
      </c>
      <c r="H860" s="11" t="n">
        <v>315.99</v>
      </c>
      <c r="I860" s="11" t="s">
        <v>350</v>
      </c>
      <c r="J860" s="11" t="n">
        <v>106.99</v>
      </c>
      <c r="K860" s="11" t="n">
        <v>108.83</v>
      </c>
      <c r="L860" s="11" t="n">
        <v>0.316</v>
      </c>
      <c r="M860" s="11" t="n">
        <v>0.632</v>
      </c>
      <c r="N860" s="11" t="n">
        <v>1</v>
      </c>
      <c r="O860" s="11" t="n">
        <v>4.5</v>
      </c>
      <c r="P860" s="11" t="n">
        <v>1.68</v>
      </c>
      <c r="Q860" s="11" t="n">
        <v>12.6</v>
      </c>
      <c r="R860" s="11" t="n">
        <f aca="false">SUM(K860:Q860)</f>
        <v>129.558</v>
      </c>
      <c r="S860" s="11" t="n">
        <f aca="false">R860/(1-Resumo!$C$6)</f>
        <v>147.225</v>
      </c>
      <c r="T860" s="11" t="n">
        <f aca="false">S860-J860</f>
        <v>40.235</v>
      </c>
      <c r="U860" s="12" t="n">
        <f aca="false">IFERROR(S860/J860-1,0)</f>
        <v>0.376063183475091</v>
      </c>
      <c r="V860" s="2" t="str">
        <f aca="false">IF(S860&lt;J860,"SIM","NÃO")</f>
        <v>NÃO</v>
      </c>
      <c r="W860" s="2" t="n">
        <v>10</v>
      </c>
      <c r="X860" s="2" t="s">
        <v>156</v>
      </c>
    </row>
    <row r="861" customFormat="false" ht="15" hidden="false" customHeight="false" outlineLevel="0" collapsed="false">
      <c r="A861" s="2" t="n">
        <v>374603842</v>
      </c>
      <c r="B861" s="29" t="n">
        <v>46245.4386342593</v>
      </c>
      <c r="C861" s="2" t="s">
        <v>158</v>
      </c>
      <c r="D861" s="2" t="s">
        <v>1026</v>
      </c>
      <c r="E861" s="2" t="s">
        <v>813</v>
      </c>
      <c r="F861" s="2" t="s">
        <v>106</v>
      </c>
      <c r="G861" s="30" t="n">
        <v>27.5</v>
      </c>
      <c r="H861" s="11" t="n">
        <v>332</v>
      </c>
      <c r="I861" s="11" t="s">
        <v>350</v>
      </c>
      <c r="J861" s="11" t="n">
        <v>107.08</v>
      </c>
      <c r="K861" s="11" t="n">
        <v>114.95</v>
      </c>
      <c r="L861" s="11" t="n">
        <v>0.332</v>
      </c>
      <c r="M861" s="11" t="n">
        <v>0.664</v>
      </c>
      <c r="N861" s="11" t="n">
        <v>1</v>
      </c>
      <c r="O861" s="11" t="n">
        <v>4.5</v>
      </c>
      <c r="P861" s="11" t="n">
        <v>1.68</v>
      </c>
      <c r="Q861" s="11" t="n">
        <v>12.6</v>
      </c>
      <c r="R861" s="11" t="n">
        <f aca="false">SUM(K861:Q861)</f>
        <v>135.726</v>
      </c>
      <c r="S861" s="11" t="n">
        <f aca="false">R861/(1-Resumo!$C$6)</f>
        <v>154.234090909091</v>
      </c>
      <c r="T861" s="11" t="n">
        <f aca="false">S861-J861</f>
        <v>47.1540909090909</v>
      </c>
      <c r="U861" s="12" t="n">
        <f aca="false">IFERROR(S861/J861-1,0)</f>
        <v>0.440363194892519</v>
      </c>
      <c r="V861" s="2" t="str">
        <f aca="false">IF(S861&lt;J861,"SIM","NÃO")</f>
        <v>NÃO</v>
      </c>
      <c r="W861" s="2" t="n">
        <v>10</v>
      </c>
      <c r="X861" s="2" t="s">
        <v>161</v>
      </c>
    </row>
    <row r="862" customFormat="false" ht="15" hidden="false" customHeight="false" outlineLevel="0" collapsed="false">
      <c r="A862" s="2" t="n">
        <v>374611318</v>
      </c>
      <c r="B862" s="29" t="n">
        <v>46245.4518981482</v>
      </c>
      <c r="C862" s="2" t="s">
        <v>153</v>
      </c>
      <c r="D862" s="2" t="s">
        <v>1027</v>
      </c>
      <c r="E862" s="2" t="s">
        <v>80</v>
      </c>
      <c r="F862" s="2" t="s">
        <v>107</v>
      </c>
      <c r="G862" s="30" t="n">
        <v>37.6</v>
      </c>
      <c r="H862" s="11" t="n">
        <v>391.05</v>
      </c>
      <c r="I862" s="11" t="s">
        <v>155</v>
      </c>
      <c r="J862" s="11" t="n">
        <v>112.83</v>
      </c>
      <c r="K862" s="11" t="n">
        <v>93.97</v>
      </c>
      <c r="L862" s="11" t="n">
        <v>0.391</v>
      </c>
      <c r="M862" s="11" t="n">
        <v>0.7821</v>
      </c>
      <c r="N862" s="11" t="n">
        <v>1</v>
      </c>
      <c r="O862" s="11" t="n">
        <v>4.5</v>
      </c>
      <c r="P862" s="11" t="n">
        <v>2.28</v>
      </c>
      <c r="Q862" s="11" t="n">
        <v>17.1</v>
      </c>
      <c r="R862" s="11" t="n">
        <f aca="false">SUM(K862:Q862)</f>
        <v>120.0231</v>
      </c>
      <c r="S862" s="11" t="n">
        <f aca="false">R862/(1-Resumo!$C$6)</f>
        <v>136.389886363636</v>
      </c>
      <c r="T862" s="11" t="n">
        <f aca="false">S862-J862</f>
        <v>23.5598863636364</v>
      </c>
      <c r="U862" s="12" t="n">
        <f aca="false">IFERROR(S862/J862-1,0)</f>
        <v>0.208808706581905</v>
      </c>
      <c r="V862" s="2" t="str">
        <f aca="false">IF(S862&lt;J862,"SIM","NÃO")</f>
        <v>NÃO</v>
      </c>
      <c r="W862" s="2" t="n">
        <v>5</v>
      </c>
      <c r="X862" s="2" t="s">
        <v>156</v>
      </c>
    </row>
    <row r="863" customFormat="false" ht="15" hidden="false" customHeight="false" outlineLevel="0" collapsed="false">
      <c r="A863" s="2" t="n">
        <v>374627293</v>
      </c>
      <c r="B863" s="29" t="n">
        <v>46245.4877083333</v>
      </c>
      <c r="C863" s="2" t="s">
        <v>153</v>
      </c>
      <c r="D863" s="2" t="s">
        <v>1028</v>
      </c>
      <c r="E863" s="2" t="s">
        <v>80</v>
      </c>
      <c r="F863" s="2" t="s">
        <v>114</v>
      </c>
      <c r="G863" s="30" t="n">
        <v>124.2</v>
      </c>
      <c r="H863" s="11" t="n">
        <v>1599.99</v>
      </c>
      <c r="I863" s="11" t="s">
        <v>155</v>
      </c>
      <c r="J863" s="11" t="n">
        <v>244.27</v>
      </c>
      <c r="K863" s="11" t="n">
        <v>239.25</v>
      </c>
      <c r="L863" s="11" t="n">
        <v>1.6</v>
      </c>
      <c r="M863" s="11" t="n">
        <v>3.2</v>
      </c>
      <c r="N863" s="11" t="n">
        <v>1</v>
      </c>
      <c r="O863" s="11" t="n">
        <v>9</v>
      </c>
      <c r="P863" s="11" t="n">
        <v>7.5</v>
      </c>
      <c r="Q863" s="11" t="n">
        <v>56.25</v>
      </c>
      <c r="R863" s="11" t="n">
        <f aca="false">SUM(K863:Q863)</f>
        <v>317.8</v>
      </c>
      <c r="S863" s="11" t="n">
        <f aca="false">R863/(1-Resumo!$C$6)</f>
        <v>361.136363636364</v>
      </c>
      <c r="T863" s="11" t="n">
        <f aca="false">S863-J863</f>
        <v>116.866363636364</v>
      </c>
      <c r="U863" s="12" t="n">
        <f aca="false">IFERROR(S863/J863-1,0)</f>
        <v>0.478431095248551</v>
      </c>
      <c r="V863" s="2" t="str">
        <f aca="false">IF(S863&lt;J863,"SIM","NÃO")</f>
        <v>NÃO</v>
      </c>
      <c r="W863" s="2" t="n">
        <v>5</v>
      </c>
      <c r="X863" s="2" t="s">
        <v>156</v>
      </c>
    </row>
    <row r="864" customFormat="false" ht="15" hidden="false" customHeight="false" outlineLevel="0" collapsed="false">
      <c r="A864" s="2" t="n">
        <v>374628743</v>
      </c>
      <c r="B864" s="29" t="n">
        <v>46245.4909375</v>
      </c>
      <c r="C864" s="2" t="s">
        <v>153</v>
      </c>
      <c r="D864" s="2" t="s">
        <v>1029</v>
      </c>
      <c r="E864" s="2" t="s">
        <v>81</v>
      </c>
      <c r="F864" s="2" t="s">
        <v>109</v>
      </c>
      <c r="G864" s="30" t="n">
        <v>52.3</v>
      </c>
      <c r="H864" s="11" t="n">
        <v>616.99</v>
      </c>
      <c r="I864" s="11" t="s">
        <v>155</v>
      </c>
      <c r="J864" s="11" t="n">
        <v>128.23</v>
      </c>
      <c r="K864" s="11" t="n">
        <v>112.3</v>
      </c>
      <c r="L864" s="11" t="n">
        <v>0.617</v>
      </c>
      <c r="M864" s="11" t="n">
        <v>1.234</v>
      </c>
      <c r="N864" s="11" t="n">
        <v>1</v>
      </c>
      <c r="O864" s="11" t="n">
        <v>4.5</v>
      </c>
      <c r="P864" s="11" t="n">
        <v>3.18</v>
      </c>
      <c r="Q864" s="11" t="n">
        <v>23.85</v>
      </c>
      <c r="R864" s="11" t="n">
        <f aca="false">SUM(K864:Q864)</f>
        <v>146.681</v>
      </c>
      <c r="S864" s="11" t="n">
        <f aca="false">R864/(1-Resumo!$C$6)</f>
        <v>166.682954545455</v>
      </c>
      <c r="T864" s="11" t="n">
        <f aca="false">S864-J864</f>
        <v>38.4529545454546</v>
      </c>
      <c r="U864" s="12" t="n">
        <f aca="false">IFERROR(S864/J864-1,0)</f>
        <v>0.299874869729818</v>
      </c>
      <c r="V864" s="2" t="str">
        <f aca="false">IF(S864&lt;J864,"SIM","NÃO")</f>
        <v>NÃO</v>
      </c>
      <c r="W864" s="2" t="n">
        <v>5</v>
      </c>
      <c r="X864" s="2" t="s">
        <v>156</v>
      </c>
    </row>
    <row r="865" customFormat="false" ht="15" hidden="false" customHeight="false" outlineLevel="0" collapsed="false">
      <c r="A865" s="2" t="n">
        <v>374631351</v>
      </c>
      <c r="B865" s="29" t="n">
        <v>46245.4954976852</v>
      </c>
      <c r="C865" s="2" t="s">
        <v>158</v>
      </c>
      <c r="D865" s="2" t="s">
        <v>1030</v>
      </c>
      <c r="E865" s="2" t="s">
        <v>755</v>
      </c>
      <c r="F865" s="2" t="s">
        <v>108</v>
      </c>
      <c r="G865" s="30" t="n">
        <v>43.5</v>
      </c>
      <c r="H865" s="11" t="n">
        <v>687.21</v>
      </c>
      <c r="I865" s="11" t="s">
        <v>350</v>
      </c>
      <c r="J865" s="11" t="n">
        <v>130.66</v>
      </c>
      <c r="K865" s="11" t="n">
        <v>129.29</v>
      </c>
      <c r="L865" s="11" t="n">
        <v>0.6872</v>
      </c>
      <c r="M865" s="11" t="n">
        <v>1.3744</v>
      </c>
      <c r="N865" s="11" t="n">
        <v>1</v>
      </c>
      <c r="O865" s="11" t="n">
        <v>4.5</v>
      </c>
      <c r="P865" s="11" t="n">
        <v>2.64</v>
      </c>
      <c r="Q865" s="11" t="n">
        <v>19.8</v>
      </c>
      <c r="R865" s="11" t="n">
        <f aca="false">SUM(K865:Q865)</f>
        <v>159.2916</v>
      </c>
      <c r="S865" s="11" t="n">
        <f aca="false">R865/(1-Resumo!$C$6)</f>
        <v>181.013181818182</v>
      </c>
      <c r="T865" s="11" t="n">
        <f aca="false">S865-J865</f>
        <v>50.3531818181818</v>
      </c>
      <c r="U865" s="12" t="n">
        <f aca="false">IFERROR(S865/J865-1,0)</f>
        <v>0.385375645325133</v>
      </c>
      <c r="V865" s="2" t="str">
        <f aca="false">IF(S865&lt;J865,"SIM","NÃO")</f>
        <v>NÃO</v>
      </c>
      <c r="W865" s="2" t="n">
        <v>10</v>
      </c>
      <c r="X865" s="2" t="s">
        <v>161</v>
      </c>
    </row>
    <row r="866" customFormat="false" ht="15" hidden="false" customHeight="false" outlineLevel="0" collapsed="false">
      <c r="A866" s="2" t="n">
        <v>374644939</v>
      </c>
      <c r="B866" s="29" t="n">
        <v>46245.5137037037</v>
      </c>
      <c r="C866" s="2" t="s">
        <v>153</v>
      </c>
      <c r="D866" s="2" t="s">
        <v>1031</v>
      </c>
      <c r="E866" s="2" t="s">
        <v>90</v>
      </c>
      <c r="F866" s="2" t="s">
        <v>110</v>
      </c>
      <c r="G866" s="30" t="n">
        <v>63.9</v>
      </c>
      <c r="H866" s="11" t="n">
        <v>785.04</v>
      </c>
      <c r="I866" s="11" t="s">
        <v>350</v>
      </c>
      <c r="J866" s="11" t="n">
        <v>155.57</v>
      </c>
      <c r="K866" s="11" t="n">
        <v>149.5</v>
      </c>
      <c r="L866" s="11" t="n">
        <v>0.785</v>
      </c>
      <c r="M866" s="11" t="n">
        <v>1.5701</v>
      </c>
      <c r="N866" s="11" t="n">
        <v>1</v>
      </c>
      <c r="O866" s="11" t="n">
        <v>4.5</v>
      </c>
      <c r="P866" s="11" t="n">
        <v>3.84</v>
      </c>
      <c r="Q866" s="11" t="n">
        <v>28.8</v>
      </c>
      <c r="R866" s="11" t="n">
        <f aca="false">SUM(K866:Q866)</f>
        <v>189.9951</v>
      </c>
      <c r="S866" s="11" t="n">
        <f aca="false">R866/(1-Resumo!$C$6)</f>
        <v>215.903522727273</v>
      </c>
      <c r="T866" s="11" t="n">
        <f aca="false">S866-J866</f>
        <v>60.3335227272727</v>
      </c>
      <c r="U866" s="12" t="n">
        <f aca="false">IFERROR(S866/J866-1,0)</f>
        <v>0.38782234831441</v>
      </c>
      <c r="V866" s="2" t="str">
        <f aca="false">IF(S866&lt;J866,"SIM","NÃO")</f>
        <v>NÃO</v>
      </c>
      <c r="W866" s="2" t="n">
        <v>7</v>
      </c>
      <c r="X866" s="2" t="s">
        <v>156</v>
      </c>
    </row>
    <row r="867" customFormat="false" ht="15" hidden="false" customHeight="false" outlineLevel="0" collapsed="false">
      <c r="A867" s="2" t="n">
        <v>374650235</v>
      </c>
      <c r="B867" s="29" t="n">
        <v>46245.525474537</v>
      </c>
      <c r="C867" s="2" t="s">
        <v>178</v>
      </c>
      <c r="D867" s="2" t="s">
        <v>1032</v>
      </c>
      <c r="E867" s="2" t="s">
        <v>78</v>
      </c>
      <c r="F867" s="2" t="s">
        <v>106</v>
      </c>
      <c r="G867" s="30" t="n">
        <v>22.4</v>
      </c>
      <c r="H867" s="11" t="n">
        <v>499.99</v>
      </c>
      <c r="I867" s="11" t="s">
        <v>155</v>
      </c>
      <c r="J867" s="11" t="n">
        <v>82.73</v>
      </c>
      <c r="K867" s="11" t="n">
        <v>82.21</v>
      </c>
      <c r="L867" s="11" t="n">
        <v>0.5</v>
      </c>
      <c r="M867" s="11" t="n">
        <v>1</v>
      </c>
      <c r="N867" s="11" t="n">
        <v>1</v>
      </c>
      <c r="O867" s="11" t="n">
        <v>4.5</v>
      </c>
      <c r="P867" s="11" t="n">
        <v>1.38</v>
      </c>
      <c r="Q867" s="11" t="n">
        <v>10.35</v>
      </c>
      <c r="R867" s="11" t="n">
        <f aca="false">SUM(K867:Q867)</f>
        <v>100.94</v>
      </c>
      <c r="S867" s="11" t="n">
        <f aca="false">R867/(1-Resumo!$C$6)</f>
        <v>114.704545454545</v>
      </c>
      <c r="T867" s="11" t="n">
        <f aca="false">S867-J867</f>
        <v>31.9745454545454</v>
      </c>
      <c r="U867" s="12" t="n">
        <f aca="false">IFERROR(S867/J867-1,0)</f>
        <v>0.386492752986165</v>
      </c>
      <c r="V867" s="2" t="str">
        <f aca="false">IF(S867&lt;J867,"SIM","NÃO")</f>
        <v>NÃO</v>
      </c>
      <c r="W867" s="2" t="n">
        <v>5</v>
      </c>
      <c r="X867" s="2" t="s">
        <v>156</v>
      </c>
    </row>
    <row r="868" customFormat="false" ht="15" hidden="false" customHeight="false" outlineLevel="0" collapsed="false">
      <c r="A868" s="2" t="n">
        <v>374660008</v>
      </c>
      <c r="B868" s="29" t="n">
        <v>46245.5399305556</v>
      </c>
      <c r="C868" s="2" t="s">
        <v>153</v>
      </c>
      <c r="D868" s="2" t="s">
        <v>1033</v>
      </c>
      <c r="E868" s="2" t="s">
        <v>80</v>
      </c>
      <c r="F868" s="2" t="s">
        <v>108</v>
      </c>
      <c r="G868" s="30" t="n">
        <v>45</v>
      </c>
      <c r="H868" s="11" t="n">
        <v>531.42</v>
      </c>
      <c r="I868" s="11" t="s">
        <v>155</v>
      </c>
      <c r="J868" s="11" t="n">
        <v>116.61</v>
      </c>
      <c r="K868" s="11" t="n">
        <v>93.97</v>
      </c>
      <c r="L868" s="11" t="n">
        <v>0.5314</v>
      </c>
      <c r="M868" s="11" t="n">
        <v>1.0628</v>
      </c>
      <c r="N868" s="11" t="n">
        <v>1</v>
      </c>
      <c r="O868" s="11" t="n">
        <v>4.5</v>
      </c>
      <c r="P868" s="11" t="n">
        <v>2.7</v>
      </c>
      <c r="Q868" s="11" t="n">
        <v>20.25</v>
      </c>
      <c r="R868" s="11" t="n">
        <f aca="false">SUM(K868:Q868)</f>
        <v>124.0142</v>
      </c>
      <c r="S868" s="11" t="n">
        <f aca="false">R868/(1-Resumo!$C$6)</f>
        <v>140.925227272727</v>
      </c>
      <c r="T868" s="11" t="n">
        <f aca="false">S868-J868</f>
        <v>24.3152272727273</v>
      </c>
      <c r="U868" s="12" t="n">
        <f aca="false">IFERROR(S868/J868-1,0)</f>
        <v>0.20851751370146</v>
      </c>
      <c r="V868" s="2" t="str">
        <f aca="false">IF(S868&lt;J868,"SIM","NÃO")</f>
        <v>NÃO</v>
      </c>
      <c r="W868" s="2" t="n">
        <v>5</v>
      </c>
      <c r="X868" s="2" t="s">
        <v>156</v>
      </c>
    </row>
    <row r="869" customFormat="false" ht="15" hidden="false" customHeight="false" outlineLevel="0" collapsed="false">
      <c r="A869" s="2" t="n">
        <v>374566868</v>
      </c>
      <c r="B869" s="29" t="n">
        <v>46245.5879282407</v>
      </c>
      <c r="C869" s="2" t="s">
        <v>191</v>
      </c>
      <c r="D869" s="2" t="s">
        <v>1034</v>
      </c>
      <c r="E869" s="2" t="s">
        <v>813</v>
      </c>
      <c r="F869" s="2" t="s">
        <v>117</v>
      </c>
      <c r="G869" s="30" t="n">
        <v>224</v>
      </c>
      <c r="H869" s="11" t="n">
        <v>4959.9</v>
      </c>
      <c r="I869" s="11" t="s">
        <v>350</v>
      </c>
      <c r="J869" s="11" t="n">
        <v>401.39</v>
      </c>
      <c r="K869" s="11" t="n">
        <v>441.4</v>
      </c>
      <c r="L869" s="11" t="n">
        <v>4.9599</v>
      </c>
      <c r="M869" s="11" t="n">
        <v>9.9198</v>
      </c>
      <c r="N869" s="11" t="n">
        <v>1</v>
      </c>
      <c r="O869" s="11" t="n">
        <v>13.5</v>
      </c>
      <c r="P869" s="11" t="n">
        <v>13.44</v>
      </c>
      <c r="Q869" s="11" t="n">
        <v>100.8</v>
      </c>
      <c r="R869" s="11" t="n">
        <f aca="false">SUM(K869:Q869)</f>
        <v>585.0197</v>
      </c>
      <c r="S869" s="11" t="n">
        <f aca="false">R869/(1-Resumo!$C$6)</f>
        <v>664.795113636364</v>
      </c>
      <c r="T869" s="11" t="n">
        <f aca="false">S869-J869</f>
        <v>263.405113636364</v>
      </c>
      <c r="U869" s="12" t="n">
        <f aca="false">IFERROR(S869/J869-1,0)</f>
        <v>0.656232376582286</v>
      </c>
      <c r="V869" s="2" t="str">
        <f aca="false">IF(S869&lt;J869,"SIM","NÃO")</f>
        <v>NÃO</v>
      </c>
      <c r="W869" s="2" t="n">
        <v>10</v>
      </c>
      <c r="X869" s="2" t="s">
        <v>161</v>
      </c>
    </row>
    <row r="870" customFormat="false" ht="15" hidden="false" customHeight="false" outlineLevel="0" collapsed="false">
      <c r="A870" s="2" t="n">
        <v>374689862</v>
      </c>
      <c r="B870" s="29" t="n">
        <v>46245.5937962963</v>
      </c>
      <c r="C870" s="2" t="s">
        <v>153</v>
      </c>
      <c r="D870" s="2" t="s">
        <v>1035</v>
      </c>
      <c r="E870" s="2" t="s">
        <v>78</v>
      </c>
      <c r="F870" s="2" t="s">
        <v>106</v>
      </c>
      <c r="G870" s="30" t="n">
        <v>27.4</v>
      </c>
      <c r="H870" s="11" t="n">
        <v>315.99</v>
      </c>
      <c r="I870" s="11" t="s">
        <v>155</v>
      </c>
      <c r="J870" s="11" t="n">
        <v>81.83</v>
      </c>
      <c r="K870" s="11" t="n">
        <v>82.21</v>
      </c>
      <c r="L870" s="11" t="n">
        <v>0.316</v>
      </c>
      <c r="M870" s="11" t="n">
        <v>0.632</v>
      </c>
      <c r="N870" s="11" t="n">
        <v>1</v>
      </c>
      <c r="O870" s="11" t="n">
        <v>4.5</v>
      </c>
      <c r="P870" s="11" t="n">
        <v>1.68</v>
      </c>
      <c r="Q870" s="11" t="n">
        <v>12.6</v>
      </c>
      <c r="R870" s="11" t="n">
        <f aca="false">SUM(K870:Q870)</f>
        <v>102.938</v>
      </c>
      <c r="S870" s="11" t="n">
        <f aca="false">R870/(1-Resumo!$C$6)</f>
        <v>116.975</v>
      </c>
      <c r="T870" s="11" t="n">
        <f aca="false">S870-J870</f>
        <v>35.145</v>
      </c>
      <c r="U870" s="12" t="n">
        <f aca="false">IFERROR(S870/J870-1,0)</f>
        <v>0.42948796284981</v>
      </c>
      <c r="V870" s="2" t="str">
        <f aca="false">IF(S870&lt;J870,"SIM","NÃO")</f>
        <v>NÃO</v>
      </c>
      <c r="W870" s="2" t="n">
        <v>5</v>
      </c>
      <c r="X870" s="2" t="s">
        <v>156</v>
      </c>
    </row>
    <row r="871" customFormat="false" ht="15" hidden="false" customHeight="false" outlineLevel="0" collapsed="false">
      <c r="A871" s="2" t="n">
        <v>374695526</v>
      </c>
      <c r="B871" s="29" t="n">
        <v>46245.6079513889</v>
      </c>
      <c r="C871" s="2" t="s">
        <v>1036</v>
      </c>
      <c r="D871" s="2" t="s">
        <v>1037</v>
      </c>
      <c r="E871" s="2" t="s">
        <v>219</v>
      </c>
      <c r="F871" s="2" t="s">
        <v>106</v>
      </c>
      <c r="G871" s="30" t="n">
        <v>35</v>
      </c>
      <c r="H871" s="11" t="n">
        <v>499.99</v>
      </c>
      <c r="I871" s="11" t="s">
        <v>350</v>
      </c>
      <c r="J871" s="11" t="n">
        <v>111.45</v>
      </c>
      <c r="K871" s="11" t="n">
        <v>108.83</v>
      </c>
      <c r="L871" s="11" t="n">
        <v>0.5</v>
      </c>
      <c r="M871" s="11" t="n">
        <v>1</v>
      </c>
      <c r="N871" s="11" t="n">
        <v>1</v>
      </c>
      <c r="O871" s="11" t="n">
        <v>4.5</v>
      </c>
      <c r="P871" s="11" t="n">
        <v>2.1</v>
      </c>
      <c r="Q871" s="11" t="n">
        <v>15.75</v>
      </c>
      <c r="R871" s="11" t="n">
        <f aca="false">SUM(K871:Q871)</f>
        <v>133.68</v>
      </c>
      <c r="S871" s="11" t="n">
        <f aca="false">R871/(1-Resumo!$C$6)</f>
        <v>151.909090909091</v>
      </c>
      <c r="T871" s="11" t="n">
        <f aca="false">S871-J871</f>
        <v>40.4590909090909</v>
      </c>
      <c r="U871" s="12" t="n">
        <f aca="false">IFERROR(S871/J871-1,0)</f>
        <v>0.363024593172641</v>
      </c>
      <c r="V871" s="2" t="str">
        <f aca="false">IF(S871&lt;J871,"SIM","NÃO")</f>
        <v>NÃO</v>
      </c>
      <c r="W871" s="2" t="n">
        <v>10</v>
      </c>
      <c r="X871" s="2" t="s">
        <v>161</v>
      </c>
    </row>
    <row r="872" customFormat="false" ht="15" hidden="false" customHeight="false" outlineLevel="0" collapsed="false">
      <c r="A872" s="2" t="n">
        <v>374708676</v>
      </c>
      <c r="B872" s="29" t="n">
        <v>46245.637337963</v>
      </c>
      <c r="C872" s="2" t="s">
        <v>153</v>
      </c>
      <c r="D872" s="2" t="s">
        <v>1038</v>
      </c>
      <c r="E872" s="2" t="s">
        <v>78</v>
      </c>
      <c r="F872" s="2" t="s">
        <v>109</v>
      </c>
      <c r="G872" s="30" t="n">
        <v>52.3</v>
      </c>
      <c r="H872" s="11" t="n">
        <v>616.99</v>
      </c>
      <c r="I872" s="11" t="s">
        <v>155</v>
      </c>
      <c r="J872" s="11" t="n">
        <v>114.09</v>
      </c>
      <c r="K872" s="11" t="n">
        <v>112.3</v>
      </c>
      <c r="L872" s="11" t="n">
        <v>0.617</v>
      </c>
      <c r="M872" s="11" t="n">
        <v>1.234</v>
      </c>
      <c r="N872" s="11" t="n">
        <v>1</v>
      </c>
      <c r="O872" s="11" t="n">
        <v>4.5</v>
      </c>
      <c r="P872" s="11" t="n">
        <v>3.18</v>
      </c>
      <c r="Q872" s="11" t="n">
        <v>23.85</v>
      </c>
      <c r="R872" s="11" t="n">
        <f aca="false">SUM(K872:Q872)</f>
        <v>146.681</v>
      </c>
      <c r="S872" s="11" t="n">
        <f aca="false">R872/(1-Resumo!$C$6)</f>
        <v>166.682954545455</v>
      </c>
      <c r="T872" s="11" t="n">
        <f aca="false">S872-J872</f>
        <v>52.5929545454545</v>
      </c>
      <c r="U872" s="12" t="n">
        <f aca="false">IFERROR(S872/J872-1,0)</f>
        <v>0.460977776715352</v>
      </c>
      <c r="V872" s="2" t="str">
        <f aca="false">IF(S872&lt;J872,"SIM","NÃO")</f>
        <v>NÃO</v>
      </c>
      <c r="W872" s="2" t="n">
        <v>5</v>
      </c>
      <c r="X872" s="2" t="s">
        <v>156</v>
      </c>
    </row>
    <row r="873" customFormat="false" ht="15" hidden="false" customHeight="false" outlineLevel="0" collapsed="false">
      <c r="A873" s="2" t="n">
        <v>374711837</v>
      </c>
      <c r="B873" s="29" t="n">
        <v>46245.6432060185</v>
      </c>
      <c r="C873" s="2" t="s">
        <v>158</v>
      </c>
      <c r="D873" s="2" t="s">
        <v>1039</v>
      </c>
      <c r="E873" s="2" t="s">
        <v>78</v>
      </c>
      <c r="F873" s="2" t="s">
        <v>107</v>
      </c>
      <c r="G873" s="30" t="n">
        <v>37.58</v>
      </c>
      <c r="H873" s="11" t="n">
        <v>427.92</v>
      </c>
      <c r="I873" s="11" t="s">
        <v>350</v>
      </c>
      <c r="J873" s="11" t="n">
        <v>93.01</v>
      </c>
      <c r="K873" s="11" t="n">
        <v>93.97</v>
      </c>
      <c r="L873" s="11" t="n">
        <v>0.4279</v>
      </c>
      <c r="M873" s="11" t="n">
        <v>0.8558</v>
      </c>
      <c r="N873" s="11" t="n">
        <v>1</v>
      </c>
      <c r="O873" s="11" t="n">
        <v>4.5</v>
      </c>
      <c r="P873" s="11" t="n">
        <v>2.28</v>
      </c>
      <c r="Q873" s="11" t="n">
        <v>17.1</v>
      </c>
      <c r="R873" s="11" t="n">
        <f aca="false">SUM(K873:Q873)</f>
        <v>120.1337</v>
      </c>
      <c r="S873" s="11" t="n">
        <f aca="false">R873/(1-Resumo!$C$6)</f>
        <v>136.515568181818</v>
      </c>
      <c r="T873" s="11" t="n">
        <f aca="false">S873-J873</f>
        <v>43.5055681818182</v>
      </c>
      <c r="U873" s="12" t="n">
        <f aca="false">IFERROR(S873/J873-1,0)</f>
        <v>0.467751512545083</v>
      </c>
      <c r="V873" s="2" t="str">
        <f aca="false">IF(S873&lt;J873,"SIM","NÃO")</f>
        <v>NÃO</v>
      </c>
      <c r="W873" s="2" t="n">
        <v>5</v>
      </c>
      <c r="X873" s="2" t="s">
        <v>156</v>
      </c>
    </row>
    <row r="874" customFormat="false" ht="15" hidden="false" customHeight="false" outlineLevel="0" collapsed="false">
      <c r="A874" s="2" t="n">
        <v>374715378</v>
      </c>
      <c r="B874" s="29" t="n">
        <v>46245.6574189815</v>
      </c>
      <c r="C874" s="2" t="s">
        <v>178</v>
      </c>
      <c r="D874" s="2" t="s">
        <v>1040</v>
      </c>
      <c r="E874" s="2" t="s">
        <v>78</v>
      </c>
      <c r="F874" s="2" t="s">
        <v>108</v>
      </c>
      <c r="G874" s="30" t="n">
        <v>41.69</v>
      </c>
      <c r="H874" s="11" t="n">
        <v>659.99</v>
      </c>
      <c r="I874" s="11" t="s">
        <v>155</v>
      </c>
      <c r="J874" s="11" t="n">
        <v>103.75</v>
      </c>
      <c r="K874" s="11" t="n">
        <v>93.97</v>
      </c>
      <c r="L874" s="11" t="n">
        <v>0.66</v>
      </c>
      <c r="M874" s="11" t="n">
        <v>1.32</v>
      </c>
      <c r="N874" s="11" t="n">
        <v>1</v>
      </c>
      <c r="O874" s="11" t="n">
        <v>4.5</v>
      </c>
      <c r="P874" s="11" t="n">
        <v>2.52</v>
      </c>
      <c r="Q874" s="11" t="n">
        <v>18.9</v>
      </c>
      <c r="R874" s="11" t="n">
        <f aca="false">SUM(K874:Q874)</f>
        <v>122.87</v>
      </c>
      <c r="S874" s="11" t="n">
        <f aca="false">R874/(1-Resumo!$C$6)</f>
        <v>139.625</v>
      </c>
      <c r="T874" s="11" t="n">
        <f aca="false">S874-J874</f>
        <v>35.875</v>
      </c>
      <c r="U874" s="12" t="n">
        <f aca="false">IFERROR(S874/J874-1,0)</f>
        <v>0.34578313253012</v>
      </c>
      <c r="V874" s="2" t="str">
        <f aca="false">IF(S874&lt;J874,"SIM","NÃO")</f>
        <v>NÃO</v>
      </c>
      <c r="W874" s="2" t="n">
        <v>5</v>
      </c>
      <c r="X874" s="2" t="s">
        <v>156</v>
      </c>
    </row>
    <row r="875" customFormat="false" ht="15" hidden="false" customHeight="false" outlineLevel="0" collapsed="false">
      <c r="A875" s="2" t="n">
        <v>374728048</v>
      </c>
      <c r="B875" s="29" t="n">
        <v>46245.6720023148</v>
      </c>
      <c r="C875" s="2" t="s">
        <v>158</v>
      </c>
      <c r="D875" s="2" t="s">
        <v>1041</v>
      </c>
      <c r="E875" s="2" t="s">
        <v>86</v>
      </c>
      <c r="F875" s="2" t="s">
        <v>114</v>
      </c>
      <c r="G875" s="30" t="n">
        <v>124.2</v>
      </c>
      <c r="H875" s="11" t="n">
        <v>1649.99</v>
      </c>
      <c r="I875" s="11" t="s">
        <v>350</v>
      </c>
      <c r="J875" s="11" t="n">
        <v>236.86</v>
      </c>
      <c r="K875" s="11" t="n">
        <v>239.25</v>
      </c>
      <c r="L875" s="11" t="n">
        <v>1.65</v>
      </c>
      <c r="M875" s="11" t="n">
        <v>3.3</v>
      </c>
      <c r="N875" s="11" t="n">
        <v>1</v>
      </c>
      <c r="O875" s="11" t="n">
        <v>9</v>
      </c>
      <c r="P875" s="11" t="n">
        <v>7.5</v>
      </c>
      <c r="Q875" s="11" t="n">
        <v>56.25</v>
      </c>
      <c r="R875" s="11" t="n">
        <f aca="false">SUM(K875:Q875)</f>
        <v>317.95</v>
      </c>
      <c r="S875" s="11" t="n">
        <f aca="false">R875/(1-Resumo!$C$6)</f>
        <v>361.306818181818</v>
      </c>
      <c r="T875" s="11" t="n">
        <f aca="false">S875-J875</f>
        <v>124.446818181818</v>
      </c>
      <c r="U875" s="12" t="n">
        <f aca="false">IFERROR(S875/J875-1,0)</f>
        <v>0.525402424140075</v>
      </c>
      <c r="V875" s="2" t="str">
        <f aca="false">IF(S875&lt;J875,"SIM","NÃO")</f>
        <v>NÃO</v>
      </c>
      <c r="W875" s="2" t="n">
        <v>5</v>
      </c>
      <c r="X875" s="2" t="s">
        <v>156</v>
      </c>
    </row>
    <row r="876" customFormat="false" ht="15" hidden="false" customHeight="false" outlineLevel="0" collapsed="false">
      <c r="A876" s="2" t="n">
        <v>374731766</v>
      </c>
      <c r="B876" s="29" t="n">
        <v>46245.6788078704</v>
      </c>
      <c r="C876" s="2" t="s">
        <v>153</v>
      </c>
      <c r="D876" s="2" t="s">
        <v>1042</v>
      </c>
      <c r="E876" s="2" t="s">
        <v>169</v>
      </c>
      <c r="F876" s="2" t="s">
        <v>106</v>
      </c>
      <c r="G876" s="30" t="n">
        <v>31.9</v>
      </c>
      <c r="H876" s="11" t="n">
        <v>578.18</v>
      </c>
      <c r="I876" s="11" t="s">
        <v>350</v>
      </c>
      <c r="J876" s="11" t="n">
        <v>110.28</v>
      </c>
      <c r="K876" s="11" t="n">
        <v>103.28</v>
      </c>
      <c r="L876" s="11" t="n">
        <v>0.5782</v>
      </c>
      <c r="M876" s="11" t="n">
        <v>1.1564</v>
      </c>
      <c r="N876" s="11" t="n">
        <v>1</v>
      </c>
      <c r="O876" s="11" t="n">
        <v>4.5</v>
      </c>
      <c r="P876" s="11" t="n">
        <v>1.92</v>
      </c>
      <c r="Q876" s="11" t="n">
        <v>14.4</v>
      </c>
      <c r="R876" s="11" t="n">
        <f aca="false">SUM(K876:Q876)</f>
        <v>126.8346</v>
      </c>
      <c r="S876" s="11" t="n">
        <f aca="false">R876/(1-Resumo!$C$6)</f>
        <v>144.130227272727</v>
      </c>
      <c r="T876" s="11" t="n">
        <f aca="false">S876-J876</f>
        <v>33.8502272727273</v>
      </c>
      <c r="U876" s="12" t="n">
        <f aca="false">IFERROR(S876/J876-1,0)</f>
        <v>0.306948016618855</v>
      </c>
      <c r="V876" s="2" t="str">
        <f aca="false">IF(S876&lt;J876,"SIM","NÃO")</f>
        <v>NÃO</v>
      </c>
      <c r="W876" s="2" t="n">
        <v>6</v>
      </c>
      <c r="X876" s="2" t="s">
        <v>161</v>
      </c>
    </row>
    <row r="877" customFormat="false" ht="15" hidden="false" customHeight="false" outlineLevel="0" collapsed="false">
      <c r="A877" s="2" t="n">
        <v>374745578</v>
      </c>
      <c r="B877" s="29" t="n">
        <v>46245.7019097222</v>
      </c>
      <c r="C877" s="2" t="s">
        <v>153</v>
      </c>
      <c r="D877" s="2" t="s">
        <v>1043</v>
      </c>
      <c r="E877" s="2" t="s">
        <v>78</v>
      </c>
      <c r="F877" s="2" t="s">
        <v>108</v>
      </c>
      <c r="G877" s="30" t="n">
        <v>40.1</v>
      </c>
      <c r="H877" s="11" t="n">
        <v>549.99</v>
      </c>
      <c r="I877" s="11" t="s">
        <v>155</v>
      </c>
      <c r="J877" s="11" t="n">
        <v>103.23</v>
      </c>
      <c r="K877" s="11" t="n">
        <v>93.97</v>
      </c>
      <c r="L877" s="11" t="n">
        <v>0.55</v>
      </c>
      <c r="M877" s="11" t="n">
        <v>1.1</v>
      </c>
      <c r="N877" s="11" t="n">
        <v>1</v>
      </c>
      <c r="O877" s="11" t="n">
        <v>4.5</v>
      </c>
      <c r="P877" s="11" t="n">
        <v>2.46</v>
      </c>
      <c r="Q877" s="11" t="n">
        <v>18.45</v>
      </c>
      <c r="R877" s="11" t="n">
        <f aca="false">SUM(K877:Q877)</f>
        <v>122.03</v>
      </c>
      <c r="S877" s="11" t="n">
        <f aca="false">R877/(1-Resumo!$C$6)</f>
        <v>138.670454545455</v>
      </c>
      <c r="T877" s="11" t="n">
        <f aca="false">S877-J877</f>
        <v>35.4404545454545</v>
      </c>
      <c r="U877" s="12" t="n">
        <f aca="false">IFERROR(S877/J877-1,0)</f>
        <v>0.343315456218682</v>
      </c>
      <c r="V877" s="2" t="str">
        <f aca="false">IF(S877&lt;J877,"SIM","NÃO")</f>
        <v>NÃO</v>
      </c>
      <c r="W877" s="2" t="n">
        <v>5</v>
      </c>
      <c r="X877" s="2" t="s">
        <v>156</v>
      </c>
    </row>
    <row r="878" customFormat="false" ht="15" hidden="false" customHeight="false" outlineLevel="0" collapsed="false">
      <c r="A878" s="2" t="n">
        <v>374746941</v>
      </c>
      <c r="B878" s="29" t="n">
        <v>46245.7044675926</v>
      </c>
      <c r="C878" s="2" t="s">
        <v>158</v>
      </c>
      <c r="D878" s="2" t="s">
        <v>1044</v>
      </c>
      <c r="E878" s="2" t="s">
        <v>79</v>
      </c>
      <c r="F878" s="2" t="s">
        <v>110</v>
      </c>
      <c r="G878" s="30" t="n">
        <v>69</v>
      </c>
      <c r="H878" s="11" t="n">
        <v>782.21</v>
      </c>
      <c r="I878" s="11" t="s">
        <v>350</v>
      </c>
      <c r="J878" s="11" t="n">
        <v>142.59</v>
      </c>
      <c r="K878" s="11" t="n">
        <v>149.5</v>
      </c>
      <c r="L878" s="11" t="n">
        <v>0.7822</v>
      </c>
      <c r="M878" s="11" t="n">
        <v>1.5644</v>
      </c>
      <c r="N878" s="11" t="n">
        <v>1</v>
      </c>
      <c r="O878" s="11" t="n">
        <v>4.5</v>
      </c>
      <c r="P878" s="11" t="n">
        <v>4.14</v>
      </c>
      <c r="Q878" s="11" t="n">
        <v>31.05</v>
      </c>
      <c r="R878" s="11" t="n">
        <f aca="false">SUM(K878:Q878)</f>
        <v>192.5366</v>
      </c>
      <c r="S878" s="11" t="n">
        <f aca="false">R878/(1-Resumo!$C$6)</f>
        <v>218.791590909091</v>
      </c>
      <c r="T878" s="11" t="n">
        <f aca="false">S878-J878</f>
        <v>76.2015909090909</v>
      </c>
      <c r="U878" s="12" t="n">
        <f aca="false">IFERROR(S878/J878-1,0)</f>
        <v>0.534410483968658</v>
      </c>
      <c r="V878" s="2" t="str">
        <f aca="false">IF(S878&lt;J878,"SIM","NÃO")</f>
        <v>NÃO</v>
      </c>
      <c r="W878" s="2" t="n">
        <v>7</v>
      </c>
      <c r="X878" s="2" t="s">
        <v>156</v>
      </c>
    </row>
    <row r="879" customFormat="false" ht="15" hidden="false" customHeight="false" outlineLevel="0" collapsed="false">
      <c r="A879" s="2" t="n">
        <v>374740622</v>
      </c>
      <c r="B879" s="29" t="n">
        <v>46245.7049305556</v>
      </c>
      <c r="C879" s="2" t="s">
        <v>194</v>
      </c>
      <c r="D879" s="2" t="s">
        <v>1045</v>
      </c>
      <c r="E879" s="2" t="s">
        <v>78</v>
      </c>
      <c r="F879" s="2" t="s">
        <v>110</v>
      </c>
      <c r="G879" s="30" t="n">
        <v>69</v>
      </c>
      <c r="H879" s="11" t="n">
        <v>791.99</v>
      </c>
      <c r="I879" s="11" t="s">
        <v>350</v>
      </c>
      <c r="J879" s="11" t="n">
        <v>127.48</v>
      </c>
      <c r="K879" s="11" t="n">
        <v>131.02</v>
      </c>
      <c r="L879" s="11" t="n">
        <v>0.792</v>
      </c>
      <c r="M879" s="11" t="n">
        <v>1.584</v>
      </c>
      <c r="N879" s="11" t="n">
        <v>1</v>
      </c>
      <c r="O879" s="11" t="n">
        <v>4.5</v>
      </c>
      <c r="P879" s="11" t="n">
        <v>4.14</v>
      </c>
      <c r="Q879" s="11" t="n">
        <v>31.05</v>
      </c>
      <c r="R879" s="11" t="n">
        <f aca="false">SUM(K879:Q879)</f>
        <v>174.086</v>
      </c>
      <c r="S879" s="11" t="n">
        <f aca="false">R879/(1-Resumo!$C$6)</f>
        <v>197.825</v>
      </c>
      <c r="T879" s="11" t="n">
        <f aca="false">S879-J879</f>
        <v>70.345</v>
      </c>
      <c r="U879" s="12" t="n">
        <f aca="false">IFERROR(S879/J879-1,0)</f>
        <v>0.551812048948855</v>
      </c>
      <c r="V879" s="2" t="str">
        <f aca="false">IF(S879&lt;J879,"SIM","NÃO")</f>
        <v>NÃO</v>
      </c>
      <c r="W879" s="2" t="n">
        <v>5</v>
      </c>
      <c r="X879" s="2" t="s">
        <v>156</v>
      </c>
    </row>
    <row r="880" customFormat="false" ht="15" hidden="false" customHeight="false" outlineLevel="0" collapsed="false">
      <c r="A880" s="2" t="n">
        <v>374747229</v>
      </c>
      <c r="B880" s="29" t="n">
        <v>46245.7050694445</v>
      </c>
      <c r="C880" s="2" t="s">
        <v>153</v>
      </c>
      <c r="D880" s="2" t="s">
        <v>1046</v>
      </c>
      <c r="E880" s="2" t="s">
        <v>78</v>
      </c>
      <c r="F880" s="2" t="s">
        <v>106</v>
      </c>
      <c r="G880" s="30" t="n">
        <v>27.5</v>
      </c>
      <c r="H880" s="11" t="n">
        <v>369.99</v>
      </c>
      <c r="I880" s="11" t="s">
        <v>155</v>
      </c>
      <c r="J880" s="11" t="n">
        <v>82.1</v>
      </c>
      <c r="K880" s="11" t="n">
        <v>82.21</v>
      </c>
      <c r="L880" s="11" t="n">
        <v>0.37</v>
      </c>
      <c r="M880" s="11" t="n">
        <v>0.74</v>
      </c>
      <c r="N880" s="11" t="n">
        <v>1</v>
      </c>
      <c r="O880" s="11" t="n">
        <v>4.5</v>
      </c>
      <c r="P880" s="11" t="n">
        <v>1.68</v>
      </c>
      <c r="Q880" s="11" t="n">
        <v>12.6</v>
      </c>
      <c r="R880" s="11" t="n">
        <f aca="false">SUM(K880:Q880)</f>
        <v>103.1</v>
      </c>
      <c r="S880" s="11" t="n">
        <f aca="false">R880/(1-Resumo!$C$6)</f>
        <v>117.159090909091</v>
      </c>
      <c r="T880" s="11" t="n">
        <f aca="false">S880-J880</f>
        <v>35.0590909090909</v>
      </c>
      <c r="U880" s="12" t="n">
        <f aca="false">IFERROR(S880/J880-1,0)</f>
        <v>0.427029121913409</v>
      </c>
      <c r="V880" s="2" t="str">
        <f aca="false">IF(S880&lt;J880,"SIM","NÃO")</f>
        <v>NÃO</v>
      </c>
      <c r="W880" s="2" t="n">
        <v>5</v>
      </c>
      <c r="X880" s="2" t="s">
        <v>156</v>
      </c>
    </row>
    <row r="881" customFormat="false" ht="15" hidden="false" customHeight="false" outlineLevel="0" collapsed="false">
      <c r="A881" s="2" t="n">
        <v>374747050</v>
      </c>
      <c r="B881" s="29" t="n">
        <v>46245.7068518519</v>
      </c>
      <c r="C881" s="2" t="s">
        <v>191</v>
      </c>
      <c r="D881" s="2" t="s">
        <v>1047</v>
      </c>
      <c r="E881" s="2" t="s">
        <v>78</v>
      </c>
      <c r="F881" s="2" t="s">
        <v>107</v>
      </c>
      <c r="G881" s="30" t="n">
        <v>37.58</v>
      </c>
      <c r="H881" s="11" t="n">
        <v>499.99</v>
      </c>
      <c r="I881" s="11" t="s">
        <v>155</v>
      </c>
      <c r="J881" s="11" t="n">
        <v>92.25</v>
      </c>
      <c r="K881" s="11" t="n">
        <v>93.97</v>
      </c>
      <c r="L881" s="11" t="n">
        <v>0.5</v>
      </c>
      <c r="M881" s="11" t="n">
        <v>1</v>
      </c>
      <c r="N881" s="11" t="n">
        <v>1</v>
      </c>
      <c r="O881" s="11" t="n">
        <v>4.5</v>
      </c>
      <c r="P881" s="11" t="n">
        <v>2.28</v>
      </c>
      <c r="Q881" s="11" t="n">
        <v>17.1</v>
      </c>
      <c r="R881" s="11" t="n">
        <f aca="false">SUM(K881:Q881)</f>
        <v>120.35</v>
      </c>
      <c r="S881" s="11" t="n">
        <f aca="false">R881/(1-Resumo!$C$6)</f>
        <v>136.761363636364</v>
      </c>
      <c r="T881" s="11" t="n">
        <f aca="false">S881-J881</f>
        <v>44.5113636363636</v>
      </c>
      <c r="U881" s="12" t="n">
        <f aca="false">IFERROR(S881/J881-1,0)</f>
        <v>0.482508006898251</v>
      </c>
      <c r="V881" s="2" t="str">
        <f aca="false">IF(S881&lt;J881,"SIM","NÃO")</f>
        <v>NÃO</v>
      </c>
      <c r="W881" s="2" t="n">
        <v>5</v>
      </c>
      <c r="X881" s="2" t="s">
        <v>156</v>
      </c>
    </row>
    <row r="882" customFormat="false" ht="15" hidden="false" customHeight="false" outlineLevel="0" collapsed="false">
      <c r="A882" s="2" t="n">
        <v>374755832</v>
      </c>
      <c r="B882" s="29" t="n">
        <v>46245.721400463</v>
      </c>
      <c r="C882" s="2" t="s">
        <v>158</v>
      </c>
      <c r="D882" s="2" t="s">
        <v>1048</v>
      </c>
      <c r="E882" s="2" t="s">
        <v>493</v>
      </c>
      <c r="F882" s="2" t="s">
        <v>106</v>
      </c>
      <c r="G882" s="30" t="n">
        <v>33</v>
      </c>
      <c r="H882" s="11" t="n">
        <v>468.7</v>
      </c>
      <c r="I882" s="11" t="s">
        <v>350</v>
      </c>
      <c r="J882" s="11" t="n">
        <v>110.27</v>
      </c>
      <c r="K882" s="11" t="n">
        <v>108.83</v>
      </c>
      <c r="L882" s="11" t="n">
        <v>0.4687</v>
      </c>
      <c r="M882" s="11" t="n">
        <v>0.9374</v>
      </c>
      <c r="N882" s="11" t="n">
        <v>1</v>
      </c>
      <c r="O882" s="11" t="n">
        <v>4.5</v>
      </c>
      <c r="P882" s="11" t="n">
        <v>1.98</v>
      </c>
      <c r="Q882" s="11" t="n">
        <v>14.85</v>
      </c>
      <c r="R882" s="11" t="n">
        <f aca="false">SUM(K882:Q882)</f>
        <v>132.5661</v>
      </c>
      <c r="S882" s="11" t="n">
        <f aca="false">R882/(1-Resumo!$C$6)</f>
        <v>150.643295454545</v>
      </c>
      <c r="T882" s="11" t="n">
        <f aca="false">S882-J882</f>
        <v>40.3732954545455</v>
      </c>
      <c r="U882" s="12" t="n">
        <f aca="false">IFERROR(S882/J882-1,0)</f>
        <v>0.366131272826204</v>
      </c>
      <c r="V882" s="2" t="str">
        <f aca="false">IF(S882&lt;J882,"SIM","NÃO")</f>
        <v>NÃO</v>
      </c>
      <c r="W882" s="2" t="n">
        <v>10</v>
      </c>
      <c r="X882" s="2" t="s">
        <v>161</v>
      </c>
    </row>
    <row r="883" customFormat="false" ht="15" hidden="false" customHeight="false" outlineLevel="0" collapsed="false">
      <c r="A883" s="2" t="n">
        <v>374756541</v>
      </c>
      <c r="B883" s="29" t="n">
        <v>46245.7228125</v>
      </c>
      <c r="C883" s="2" t="s">
        <v>153</v>
      </c>
      <c r="D883" s="2" t="s">
        <v>1049</v>
      </c>
      <c r="E883" s="2" t="s">
        <v>78</v>
      </c>
      <c r="F883" s="2" t="s">
        <v>105</v>
      </c>
      <c r="G883" s="30" t="n">
        <v>17.2</v>
      </c>
      <c r="H883" s="11" t="n">
        <v>236.28</v>
      </c>
      <c r="I883" s="11" t="s">
        <v>350</v>
      </c>
      <c r="J883" s="11" t="n">
        <v>64.91</v>
      </c>
      <c r="K883" s="11" t="n">
        <v>46.98</v>
      </c>
      <c r="L883" s="11" t="n">
        <v>0.2363</v>
      </c>
      <c r="M883" s="11" t="n">
        <v>0.4726</v>
      </c>
      <c r="N883" s="11" t="n">
        <v>1</v>
      </c>
      <c r="O883" s="11" t="n">
        <v>4.5</v>
      </c>
      <c r="P883" s="11" t="n">
        <v>1.08</v>
      </c>
      <c r="Q883" s="11" t="n">
        <v>8.1</v>
      </c>
      <c r="R883" s="11" t="n">
        <f aca="false">SUM(K883:Q883)</f>
        <v>62.3689</v>
      </c>
      <c r="S883" s="11" t="n">
        <f aca="false">R883/(1-Resumo!$C$6)</f>
        <v>70.87375</v>
      </c>
      <c r="T883" s="11" t="n">
        <f aca="false">S883-J883</f>
        <v>5.96375</v>
      </c>
      <c r="U883" s="12" t="n">
        <f aca="false">IFERROR(S883/J883-1,0)</f>
        <v>0.0918772146048374</v>
      </c>
      <c r="V883" s="2" t="str">
        <f aca="false">IF(S883&lt;J883,"SIM","NÃO")</f>
        <v>NÃO</v>
      </c>
      <c r="W883" s="2" t="n">
        <v>5</v>
      </c>
      <c r="X883" s="2" t="s">
        <v>156</v>
      </c>
    </row>
    <row r="884" customFormat="false" ht="15" hidden="false" customHeight="false" outlineLevel="0" collapsed="false">
      <c r="A884" s="2" t="n">
        <v>374763651</v>
      </c>
      <c r="B884" s="29" t="n">
        <v>46245.7363773148</v>
      </c>
      <c r="C884" s="2" t="s">
        <v>153</v>
      </c>
      <c r="D884" s="2" t="s">
        <v>1050</v>
      </c>
      <c r="E884" s="2" t="s">
        <v>91</v>
      </c>
      <c r="F884" s="2" t="s">
        <v>108</v>
      </c>
      <c r="G884" s="30" t="n">
        <v>46.8</v>
      </c>
      <c r="H884" s="11" t="n">
        <v>559.99</v>
      </c>
      <c r="I884" s="11" t="s">
        <v>350</v>
      </c>
      <c r="J884" s="11" t="n">
        <v>131.6</v>
      </c>
      <c r="K884" s="11" t="n">
        <v>129.29</v>
      </c>
      <c r="L884" s="11" t="n">
        <v>0.56</v>
      </c>
      <c r="M884" s="11" t="n">
        <v>1.12</v>
      </c>
      <c r="N884" s="11" t="n">
        <v>1</v>
      </c>
      <c r="O884" s="11" t="n">
        <v>4.5</v>
      </c>
      <c r="P884" s="11" t="n">
        <v>2.82</v>
      </c>
      <c r="Q884" s="11" t="n">
        <v>21.15</v>
      </c>
      <c r="R884" s="11" t="n">
        <f aca="false">SUM(K884:Q884)</f>
        <v>160.44</v>
      </c>
      <c r="S884" s="11" t="n">
        <f aca="false">R884/(1-Resumo!$C$6)</f>
        <v>182.318181818182</v>
      </c>
      <c r="T884" s="11" t="n">
        <f aca="false">S884-J884</f>
        <v>50.7181818181818</v>
      </c>
      <c r="U884" s="12" t="n">
        <f aca="false">IFERROR(S884/J884-1,0)</f>
        <v>0.385396518375242</v>
      </c>
      <c r="V884" s="2" t="str">
        <f aca="false">IF(S884&lt;J884,"SIM","NÃO")</f>
        <v>NÃO</v>
      </c>
      <c r="W884" s="2" t="n">
        <v>10</v>
      </c>
      <c r="X884" s="2" t="s">
        <v>156</v>
      </c>
    </row>
    <row r="885" customFormat="false" ht="15" hidden="false" customHeight="false" outlineLevel="0" collapsed="false">
      <c r="A885" s="2" t="n">
        <v>374767171</v>
      </c>
      <c r="B885" s="29" t="n">
        <v>46245.7506712963</v>
      </c>
      <c r="C885" s="2" t="s">
        <v>191</v>
      </c>
      <c r="D885" s="2" t="s">
        <v>1051</v>
      </c>
      <c r="E885" s="2" t="s">
        <v>78</v>
      </c>
      <c r="F885" s="2" t="s">
        <v>108</v>
      </c>
      <c r="G885" s="30" t="n">
        <v>46.8</v>
      </c>
      <c r="H885" s="11" t="n">
        <v>587.49</v>
      </c>
      <c r="I885" s="11" t="s">
        <v>350</v>
      </c>
      <c r="J885" s="11" t="n">
        <v>104.27</v>
      </c>
      <c r="K885" s="11" t="n">
        <v>93.97</v>
      </c>
      <c r="L885" s="11" t="n">
        <v>0.5875</v>
      </c>
      <c r="M885" s="11" t="n">
        <v>1.175</v>
      </c>
      <c r="N885" s="11" t="n">
        <v>1</v>
      </c>
      <c r="O885" s="11" t="n">
        <v>4.5</v>
      </c>
      <c r="P885" s="11" t="n">
        <v>2.82</v>
      </c>
      <c r="Q885" s="11" t="n">
        <v>21.15</v>
      </c>
      <c r="R885" s="11" t="n">
        <f aca="false">SUM(K885:Q885)</f>
        <v>125.2025</v>
      </c>
      <c r="S885" s="11" t="n">
        <f aca="false">R885/(1-Resumo!$C$6)</f>
        <v>142.275568181818</v>
      </c>
      <c r="T885" s="11" t="n">
        <f aca="false">S885-J885</f>
        <v>38.0055681818182</v>
      </c>
      <c r="U885" s="12" t="n">
        <f aca="false">IFERROR(S885/J885-1,0)</f>
        <v>0.364491878601881</v>
      </c>
      <c r="V885" s="2" t="str">
        <f aca="false">IF(S885&lt;J885,"SIM","NÃO")</f>
        <v>NÃO</v>
      </c>
      <c r="W885" s="2" t="n">
        <v>5</v>
      </c>
      <c r="X885" s="2" t="s">
        <v>156</v>
      </c>
    </row>
    <row r="886" customFormat="false" ht="15" hidden="false" customHeight="false" outlineLevel="0" collapsed="false">
      <c r="A886" s="2" t="n">
        <v>374770287</v>
      </c>
      <c r="B886" s="29" t="n">
        <v>46245.7525810185</v>
      </c>
      <c r="C886" s="2" t="s">
        <v>153</v>
      </c>
      <c r="D886" s="2" t="s">
        <v>1052</v>
      </c>
      <c r="E886" s="2" t="s">
        <v>78</v>
      </c>
      <c r="F886" s="2" t="s">
        <v>108</v>
      </c>
      <c r="G886" s="30" t="n">
        <v>48.3</v>
      </c>
      <c r="H886" s="11" t="n">
        <v>449.99</v>
      </c>
      <c r="I886" s="11" t="s">
        <v>155</v>
      </c>
      <c r="J886" s="11" t="n">
        <v>102.74</v>
      </c>
      <c r="K886" s="11" t="n">
        <v>93.97</v>
      </c>
      <c r="L886" s="11" t="n">
        <v>0.45</v>
      </c>
      <c r="M886" s="11" t="n">
        <v>0.9</v>
      </c>
      <c r="N886" s="11" t="n">
        <v>1</v>
      </c>
      <c r="O886" s="11" t="n">
        <v>4.5</v>
      </c>
      <c r="P886" s="11" t="n">
        <v>2.94</v>
      </c>
      <c r="Q886" s="11" t="n">
        <v>22.05</v>
      </c>
      <c r="R886" s="11" t="n">
        <f aca="false">SUM(K886:Q886)</f>
        <v>125.81</v>
      </c>
      <c r="S886" s="11" t="n">
        <f aca="false">R886/(1-Resumo!$C$6)</f>
        <v>142.965909090909</v>
      </c>
      <c r="T886" s="11" t="n">
        <f aca="false">S886-J886</f>
        <v>40.2259090909091</v>
      </c>
      <c r="U886" s="12" t="n">
        <f aca="false">IFERROR(S886/J886-1,0)</f>
        <v>0.391531137735148</v>
      </c>
      <c r="V886" s="2" t="str">
        <f aca="false">IF(S886&lt;J886,"SIM","NÃO")</f>
        <v>NÃO</v>
      </c>
      <c r="W886" s="2" t="n">
        <v>5</v>
      </c>
      <c r="X886" s="2" t="s">
        <v>156</v>
      </c>
    </row>
    <row r="887" customFormat="false" ht="15" hidden="false" customHeight="false" outlineLevel="0" collapsed="false">
      <c r="A887" s="2" t="n">
        <v>374772576</v>
      </c>
      <c r="B887" s="29" t="n">
        <v>46245.7574189815</v>
      </c>
      <c r="C887" s="2" t="s">
        <v>153</v>
      </c>
      <c r="D887" s="2" t="s">
        <v>1053</v>
      </c>
      <c r="E887" s="2" t="s">
        <v>81</v>
      </c>
      <c r="F887" s="2" t="s">
        <v>113</v>
      </c>
      <c r="G887" s="30" t="n">
        <v>106.5</v>
      </c>
      <c r="H887" s="11" t="n">
        <v>1249.99</v>
      </c>
      <c r="I887" s="11" t="s">
        <v>155</v>
      </c>
      <c r="J887" s="11" t="n">
        <v>195.82</v>
      </c>
      <c r="K887" s="11" t="n">
        <v>201.59</v>
      </c>
      <c r="L887" s="11" t="n">
        <v>1.25</v>
      </c>
      <c r="M887" s="11" t="n">
        <v>2.5</v>
      </c>
      <c r="N887" s="11" t="n">
        <v>1</v>
      </c>
      <c r="O887" s="11" t="n">
        <v>9</v>
      </c>
      <c r="P887" s="11" t="n">
        <v>6.42</v>
      </c>
      <c r="Q887" s="11" t="n">
        <v>48.15</v>
      </c>
      <c r="R887" s="11" t="n">
        <f aca="false">SUM(K887:Q887)</f>
        <v>269.91</v>
      </c>
      <c r="S887" s="11" t="n">
        <f aca="false">R887/(1-Resumo!$C$6)</f>
        <v>306.715909090909</v>
      </c>
      <c r="T887" s="11" t="n">
        <f aca="false">S887-J887</f>
        <v>110.895909090909</v>
      </c>
      <c r="U887" s="12" t="n">
        <f aca="false">IFERROR(S887/J887-1,0)</f>
        <v>0.56631554024568</v>
      </c>
      <c r="V887" s="2" t="str">
        <f aca="false">IF(S887&lt;J887,"SIM","NÃO")</f>
        <v>NÃO</v>
      </c>
      <c r="W887" s="2" t="n">
        <v>5</v>
      </c>
      <c r="X887" s="2" t="s">
        <v>156</v>
      </c>
    </row>
    <row r="888" customFormat="false" ht="15" hidden="false" customHeight="false" outlineLevel="0" collapsed="false">
      <c r="A888" s="2" t="n">
        <v>374784209</v>
      </c>
      <c r="B888" s="29" t="n">
        <v>46245.780462963</v>
      </c>
      <c r="C888" s="2" t="s">
        <v>158</v>
      </c>
      <c r="D888" s="2" t="s">
        <v>1054</v>
      </c>
      <c r="E888" s="2" t="s">
        <v>78</v>
      </c>
      <c r="F888" s="2" t="s">
        <v>106</v>
      </c>
      <c r="G888" s="30" t="n">
        <v>31.9</v>
      </c>
      <c r="H888" s="11" t="n">
        <v>589</v>
      </c>
      <c r="I888" s="11" t="s">
        <v>155</v>
      </c>
      <c r="J888" s="11" t="n">
        <v>83.15</v>
      </c>
      <c r="K888" s="11" t="n">
        <v>82.21</v>
      </c>
      <c r="L888" s="11" t="n">
        <v>0.589</v>
      </c>
      <c r="M888" s="11" t="n">
        <v>1.178</v>
      </c>
      <c r="N888" s="11" t="n">
        <v>1</v>
      </c>
      <c r="O888" s="11" t="n">
        <v>4.5</v>
      </c>
      <c r="P888" s="11" t="n">
        <v>1.92</v>
      </c>
      <c r="Q888" s="11" t="n">
        <v>14.4</v>
      </c>
      <c r="R888" s="11" t="n">
        <f aca="false">SUM(K888:Q888)</f>
        <v>105.797</v>
      </c>
      <c r="S888" s="11" t="n">
        <f aca="false">R888/(1-Resumo!$C$6)</f>
        <v>120.223863636364</v>
      </c>
      <c r="T888" s="11" t="n">
        <f aca="false">S888-J888</f>
        <v>37.0738636363636</v>
      </c>
      <c r="U888" s="12" t="n">
        <f aca="false">IFERROR(S888/J888-1,0)</f>
        <v>0.445867271633958</v>
      </c>
      <c r="V888" s="2" t="str">
        <f aca="false">IF(S888&lt;J888,"SIM","NÃO")</f>
        <v>NÃO</v>
      </c>
      <c r="W888" s="2" t="n">
        <v>5</v>
      </c>
      <c r="X888" s="2" t="s">
        <v>156</v>
      </c>
    </row>
    <row r="889" customFormat="false" ht="15" hidden="false" customHeight="false" outlineLevel="0" collapsed="false">
      <c r="A889" s="2" t="n">
        <v>374950220</v>
      </c>
      <c r="B889" s="29" t="n">
        <v>46245.787962963</v>
      </c>
      <c r="C889" s="2" t="s">
        <v>153</v>
      </c>
      <c r="D889" s="2" t="s">
        <v>1055</v>
      </c>
      <c r="E889" s="2" t="s">
        <v>78</v>
      </c>
      <c r="F889" s="2" t="s">
        <v>110</v>
      </c>
      <c r="G889" s="30" t="n">
        <v>66</v>
      </c>
      <c r="H889" s="11" t="n">
        <v>901.98</v>
      </c>
      <c r="I889" s="11" t="s">
        <v>155</v>
      </c>
      <c r="J889" s="11" t="n">
        <v>125.52</v>
      </c>
      <c r="K889" s="11" t="n">
        <v>131.02</v>
      </c>
      <c r="L889" s="11" t="n">
        <v>0.902</v>
      </c>
      <c r="M889" s="11" t="n">
        <v>1.804</v>
      </c>
      <c r="N889" s="11" t="n">
        <v>1</v>
      </c>
      <c r="O889" s="11" t="n">
        <v>4.5</v>
      </c>
      <c r="P889" s="11" t="n">
        <v>3.96</v>
      </c>
      <c r="Q889" s="11" t="n">
        <v>29.7</v>
      </c>
      <c r="R889" s="11" t="n">
        <f aca="false">SUM(K889:Q889)</f>
        <v>172.886</v>
      </c>
      <c r="S889" s="11" t="n">
        <f aca="false">R889/(1-Resumo!$C$6)</f>
        <v>196.461363636364</v>
      </c>
      <c r="T889" s="11" t="n">
        <f aca="false">S889-J889</f>
        <v>70.9413636363637</v>
      </c>
      <c r="U889" s="12" t="n">
        <f aca="false">IFERROR(S889/J889-1,0)</f>
        <v>0.565179761283968</v>
      </c>
      <c r="V889" s="2" t="str">
        <f aca="false">IF(S889&lt;J889,"SIM","NÃO")</f>
        <v>NÃO</v>
      </c>
      <c r="W889" s="2" t="n">
        <v>5</v>
      </c>
      <c r="X889" s="2" t="s">
        <v>156</v>
      </c>
    </row>
    <row r="890" customFormat="false" ht="15" hidden="false" customHeight="false" outlineLevel="0" collapsed="false">
      <c r="A890" s="2" t="n">
        <v>374790833</v>
      </c>
      <c r="B890" s="29" t="n">
        <v>46245.7890162037</v>
      </c>
      <c r="C890" s="2" t="s">
        <v>153</v>
      </c>
      <c r="D890" s="2" t="s">
        <v>1056</v>
      </c>
      <c r="E890" s="2" t="s">
        <v>78</v>
      </c>
      <c r="F890" s="2" t="s">
        <v>107</v>
      </c>
      <c r="G890" s="30" t="n">
        <v>36.8</v>
      </c>
      <c r="H890" s="11" t="n">
        <v>439.99</v>
      </c>
      <c r="I890" s="11" t="s">
        <v>155</v>
      </c>
      <c r="J890" s="11" t="n">
        <v>91.97</v>
      </c>
      <c r="K890" s="11" t="n">
        <v>93.97</v>
      </c>
      <c r="L890" s="11" t="n">
        <v>0.44</v>
      </c>
      <c r="M890" s="11" t="n">
        <v>0.88</v>
      </c>
      <c r="N890" s="11" t="n">
        <v>1</v>
      </c>
      <c r="O890" s="11" t="n">
        <v>4.5</v>
      </c>
      <c r="P890" s="11" t="n">
        <v>2.22</v>
      </c>
      <c r="Q890" s="11" t="n">
        <v>16.65</v>
      </c>
      <c r="R890" s="11" t="n">
        <f aca="false">SUM(K890:Q890)</f>
        <v>119.66</v>
      </c>
      <c r="S890" s="11" t="n">
        <f aca="false">R890/(1-Resumo!$C$6)</f>
        <v>135.977272727273</v>
      </c>
      <c r="T890" s="11" t="n">
        <f aca="false">S890-J890</f>
        <v>44.0072727272727</v>
      </c>
      <c r="U890" s="12" t="n">
        <f aca="false">IFERROR(S890/J890-1,0)</f>
        <v>0.47849595223739</v>
      </c>
      <c r="V890" s="2" t="str">
        <f aca="false">IF(S890&lt;J890,"SIM","NÃO")</f>
        <v>NÃO</v>
      </c>
      <c r="W890" s="2" t="n">
        <v>5</v>
      </c>
      <c r="X890" s="2" t="s">
        <v>156</v>
      </c>
    </row>
    <row r="891" customFormat="false" ht="15" hidden="false" customHeight="false" outlineLevel="0" collapsed="false">
      <c r="A891" s="2" t="n">
        <v>374800625</v>
      </c>
      <c r="B891" s="29" t="n">
        <v>46245.8042361111</v>
      </c>
      <c r="C891" s="2" t="s">
        <v>153</v>
      </c>
      <c r="D891" s="2" t="s">
        <v>1057</v>
      </c>
      <c r="E891" s="2" t="s">
        <v>78</v>
      </c>
      <c r="F891" s="2" t="s">
        <v>114</v>
      </c>
      <c r="G891" s="30" t="n">
        <v>127.8</v>
      </c>
      <c r="H891" s="11" t="n">
        <v>1429.99</v>
      </c>
      <c r="I891" s="11" t="s">
        <v>155</v>
      </c>
      <c r="J891" s="11" t="n">
        <v>233.15</v>
      </c>
      <c r="K891" s="11" t="n">
        <v>239.25</v>
      </c>
      <c r="L891" s="11" t="n">
        <v>1.43</v>
      </c>
      <c r="M891" s="11" t="n">
        <v>2.86</v>
      </c>
      <c r="N891" s="11" t="n">
        <v>1</v>
      </c>
      <c r="O891" s="11" t="n">
        <v>9</v>
      </c>
      <c r="P891" s="11" t="n">
        <v>7.68</v>
      </c>
      <c r="Q891" s="11" t="n">
        <v>57.6</v>
      </c>
      <c r="R891" s="11" t="n">
        <f aca="false">SUM(K891:Q891)</f>
        <v>318.82</v>
      </c>
      <c r="S891" s="11" t="n">
        <f aca="false">R891/(1-Resumo!$C$6)</f>
        <v>362.295454545455</v>
      </c>
      <c r="T891" s="11" t="n">
        <f aca="false">S891-J891</f>
        <v>129.145454545455</v>
      </c>
      <c r="U891" s="12" t="n">
        <f aca="false">IFERROR(S891/J891-1,0)</f>
        <v>0.553915738989726</v>
      </c>
      <c r="V891" s="2" t="str">
        <f aca="false">IF(S891&lt;J891,"SIM","NÃO")</f>
        <v>NÃO</v>
      </c>
      <c r="W891" s="2" t="n">
        <v>5</v>
      </c>
      <c r="X891" s="2" t="s">
        <v>156</v>
      </c>
    </row>
    <row r="892" customFormat="false" ht="15" hidden="false" customHeight="false" outlineLevel="0" collapsed="false">
      <c r="A892" s="2" t="n">
        <v>374809160</v>
      </c>
      <c r="B892" s="29" t="n">
        <v>46245.8224189815</v>
      </c>
      <c r="C892" s="2" t="s">
        <v>158</v>
      </c>
      <c r="D892" s="2" t="s">
        <v>1058</v>
      </c>
      <c r="E892" s="2" t="s">
        <v>78</v>
      </c>
      <c r="F892" s="2" t="s">
        <v>109</v>
      </c>
      <c r="G892" s="30" t="n">
        <v>56.7</v>
      </c>
      <c r="H892" s="11" t="n">
        <v>698.39</v>
      </c>
      <c r="I892" s="11" t="s">
        <v>155</v>
      </c>
      <c r="J892" s="11" t="n">
        <v>114.5</v>
      </c>
      <c r="K892" s="11" t="n">
        <v>112.3</v>
      </c>
      <c r="L892" s="11" t="n">
        <v>0.6984</v>
      </c>
      <c r="M892" s="11" t="n">
        <v>1.3968</v>
      </c>
      <c r="N892" s="11" t="n">
        <v>1</v>
      </c>
      <c r="O892" s="11" t="n">
        <v>4.5</v>
      </c>
      <c r="P892" s="11" t="n">
        <v>3.42</v>
      </c>
      <c r="Q892" s="11" t="n">
        <v>25.65</v>
      </c>
      <c r="R892" s="11" t="n">
        <f aca="false">SUM(K892:Q892)</f>
        <v>148.9652</v>
      </c>
      <c r="S892" s="11" t="n">
        <f aca="false">R892/(1-Resumo!$C$6)</f>
        <v>169.278636363636</v>
      </c>
      <c r="T892" s="11" t="n">
        <f aca="false">S892-J892</f>
        <v>54.7786363636363</v>
      </c>
      <c r="U892" s="12" t="n">
        <f aca="false">IFERROR(S892/J892-1,0)</f>
        <v>0.478416038110361</v>
      </c>
      <c r="V892" s="2" t="str">
        <f aca="false">IF(S892&lt;J892,"SIM","NÃO")</f>
        <v>NÃO</v>
      </c>
      <c r="W892" s="2" t="n">
        <v>5</v>
      </c>
      <c r="X892" s="2" t="s">
        <v>156</v>
      </c>
    </row>
    <row r="893" customFormat="false" ht="15" hidden="false" customHeight="false" outlineLevel="0" collapsed="false">
      <c r="A893" s="2" t="n">
        <v>374823827</v>
      </c>
      <c r="B893" s="29" t="n">
        <v>46245.8471875</v>
      </c>
      <c r="C893" s="2" t="s">
        <v>153</v>
      </c>
      <c r="D893" s="2" t="s">
        <v>1059</v>
      </c>
      <c r="E893" s="2" t="s">
        <v>78</v>
      </c>
      <c r="F893" s="2" t="s">
        <v>107</v>
      </c>
      <c r="G893" s="30" t="n">
        <v>37.6</v>
      </c>
      <c r="H893" s="11" t="n">
        <v>391.05</v>
      </c>
      <c r="I893" s="11" t="s">
        <v>350</v>
      </c>
      <c r="J893" s="11" t="n">
        <v>92.83</v>
      </c>
      <c r="K893" s="11" t="n">
        <v>93.97</v>
      </c>
      <c r="L893" s="11" t="n">
        <v>0.391</v>
      </c>
      <c r="M893" s="11" t="n">
        <v>0.7821</v>
      </c>
      <c r="N893" s="11" t="n">
        <v>1</v>
      </c>
      <c r="O893" s="11" t="n">
        <v>4.5</v>
      </c>
      <c r="P893" s="11" t="n">
        <v>2.28</v>
      </c>
      <c r="Q893" s="11" t="n">
        <v>17.1</v>
      </c>
      <c r="R893" s="11" t="n">
        <f aca="false">SUM(K893:Q893)</f>
        <v>120.0231</v>
      </c>
      <c r="S893" s="11" t="n">
        <f aca="false">R893/(1-Resumo!$C$6)</f>
        <v>136.389886363636</v>
      </c>
      <c r="T893" s="11" t="n">
        <f aca="false">S893-J893</f>
        <v>43.5598863636364</v>
      </c>
      <c r="U893" s="12" t="n">
        <f aca="false">IFERROR(S893/J893-1,0)</f>
        <v>0.469243632054684</v>
      </c>
      <c r="V893" s="2" t="str">
        <f aca="false">IF(S893&lt;J893,"SIM","NÃO")</f>
        <v>NÃO</v>
      </c>
      <c r="W893" s="2" t="n">
        <v>5</v>
      </c>
      <c r="X893" s="2" t="s">
        <v>156</v>
      </c>
    </row>
    <row r="894" customFormat="false" ht="15" hidden="false" customHeight="false" outlineLevel="0" collapsed="false">
      <c r="A894" s="2" t="n">
        <v>374836618</v>
      </c>
      <c r="B894" s="29" t="n">
        <v>46245.8625</v>
      </c>
      <c r="C894" s="2" t="s">
        <v>153</v>
      </c>
      <c r="D894" s="2" t="s">
        <v>387</v>
      </c>
      <c r="E894" s="2" t="s">
        <v>388</v>
      </c>
      <c r="F894" s="2" t="s">
        <v>109</v>
      </c>
      <c r="G894" s="30" t="n">
        <v>52.3</v>
      </c>
      <c r="H894" s="11" t="n">
        <v>616.99</v>
      </c>
      <c r="I894" s="11" t="s">
        <v>350</v>
      </c>
      <c r="J894" s="11" t="n">
        <v>141.63</v>
      </c>
      <c r="K894" s="11" t="n">
        <v>144.53</v>
      </c>
      <c r="L894" s="11" t="n">
        <v>0.617</v>
      </c>
      <c r="M894" s="11" t="n">
        <v>1.234</v>
      </c>
      <c r="N894" s="11" t="n">
        <v>1</v>
      </c>
      <c r="O894" s="11" t="n">
        <v>4.5</v>
      </c>
      <c r="P894" s="11" t="n">
        <v>3.18</v>
      </c>
      <c r="Q894" s="11" t="n">
        <v>23.85</v>
      </c>
      <c r="R894" s="11" t="n">
        <f aca="false">SUM(K894:Q894)</f>
        <v>178.911</v>
      </c>
      <c r="S894" s="11" t="n">
        <f aca="false">R894/(1-Resumo!$C$6)</f>
        <v>203.307954545455</v>
      </c>
      <c r="T894" s="11" t="n">
        <f aca="false">S894-J894</f>
        <v>61.6779545454546</v>
      </c>
      <c r="U894" s="12" t="n">
        <f aca="false">IFERROR(S894/J894-1,0)</f>
        <v>0.435486510947219</v>
      </c>
      <c r="V894" s="2" t="str">
        <f aca="false">IF(S894&lt;J894,"SIM","NÃO")</f>
        <v>NÃO</v>
      </c>
      <c r="W894" s="2" t="n">
        <v>10</v>
      </c>
      <c r="X894" s="2" t="s">
        <v>161</v>
      </c>
    </row>
    <row r="895" customFormat="false" ht="15" hidden="false" customHeight="false" outlineLevel="0" collapsed="false">
      <c r="A895" s="2" t="n">
        <v>374839975</v>
      </c>
      <c r="B895" s="29" t="n">
        <v>46245.8667824074</v>
      </c>
      <c r="C895" s="2" t="s">
        <v>153</v>
      </c>
      <c r="D895" s="2" t="s">
        <v>1060</v>
      </c>
      <c r="E895" s="2" t="s">
        <v>78</v>
      </c>
      <c r="F895" s="2" t="s">
        <v>109</v>
      </c>
      <c r="G895" s="30" t="n">
        <v>52.3</v>
      </c>
      <c r="H895" s="11" t="n">
        <v>643.99</v>
      </c>
      <c r="I895" s="11" t="s">
        <v>155</v>
      </c>
      <c r="J895" s="11" t="n">
        <v>114.24</v>
      </c>
      <c r="K895" s="11" t="n">
        <v>112.3</v>
      </c>
      <c r="L895" s="11" t="n">
        <v>0.644</v>
      </c>
      <c r="M895" s="11" t="n">
        <v>1.288</v>
      </c>
      <c r="N895" s="11" t="n">
        <v>1</v>
      </c>
      <c r="O895" s="11" t="n">
        <v>4.5</v>
      </c>
      <c r="P895" s="11" t="n">
        <v>3.18</v>
      </c>
      <c r="Q895" s="11" t="n">
        <v>23.85</v>
      </c>
      <c r="R895" s="11" t="n">
        <f aca="false">SUM(K895:Q895)</f>
        <v>146.762</v>
      </c>
      <c r="S895" s="11" t="n">
        <f aca="false">R895/(1-Resumo!$C$6)</f>
        <v>166.775</v>
      </c>
      <c r="T895" s="11" t="n">
        <f aca="false">S895-J895</f>
        <v>52.535</v>
      </c>
      <c r="U895" s="12" t="n">
        <f aca="false">IFERROR(S895/J895-1,0)</f>
        <v>0.459865196078431</v>
      </c>
      <c r="V895" s="2" t="str">
        <f aca="false">IF(S895&lt;J895,"SIM","NÃO")</f>
        <v>NÃO</v>
      </c>
      <c r="W895" s="2" t="n">
        <v>5</v>
      </c>
      <c r="X895" s="2" t="s">
        <v>156</v>
      </c>
    </row>
    <row r="896" customFormat="false" ht="15" hidden="false" customHeight="false" outlineLevel="0" collapsed="false">
      <c r="A896" s="2" t="n">
        <v>374857412</v>
      </c>
      <c r="B896" s="29" t="n">
        <v>46245.8897337963</v>
      </c>
      <c r="C896" s="2" t="s">
        <v>158</v>
      </c>
      <c r="D896" s="2" t="s">
        <v>1061</v>
      </c>
      <c r="E896" s="2" t="s">
        <v>78</v>
      </c>
      <c r="F896" s="2" t="s">
        <v>109</v>
      </c>
      <c r="G896" s="30" t="n">
        <v>52.3</v>
      </c>
      <c r="H896" s="11" t="n">
        <v>640.18</v>
      </c>
      <c r="I896" s="11" t="s">
        <v>155</v>
      </c>
      <c r="J896" s="11" t="n">
        <v>114.22</v>
      </c>
      <c r="K896" s="11" t="n">
        <v>112.3</v>
      </c>
      <c r="L896" s="11" t="n">
        <v>0.6402</v>
      </c>
      <c r="M896" s="11" t="n">
        <v>1.2804</v>
      </c>
      <c r="N896" s="11" t="n">
        <v>1</v>
      </c>
      <c r="O896" s="11" t="n">
        <v>4.5</v>
      </c>
      <c r="P896" s="11" t="n">
        <v>3.18</v>
      </c>
      <c r="Q896" s="11" t="n">
        <v>23.85</v>
      </c>
      <c r="R896" s="11" t="n">
        <f aca="false">SUM(K896:Q896)</f>
        <v>146.7506</v>
      </c>
      <c r="S896" s="11" t="n">
        <f aca="false">R896/(1-Resumo!$C$6)</f>
        <v>166.762045454545</v>
      </c>
      <c r="T896" s="11" t="n">
        <f aca="false">S896-J896</f>
        <v>52.5420454545454</v>
      </c>
      <c r="U896" s="12" t="n">
        <f aca="false">IFERROR(S896/J896-1,0)</f>
        <v>0.460007401983413</v>
      </c>
      <c r="V896" s="2" t="str">
        <f aca="false">IF(S896&lt;J896,"SIM","NÃO")</f>
        <v>NÃO</v>
      </c>
      <c r="W896" s="2" t="n">
        <v>5</v>
      </c>
      <c r="X896" s="2" t="s">
        <v>156</v>
      </c>
    </row>
    <row r="897" customFormat="false" ht="15" hidden="false" customHeight="false" outlineLevel="0" collapsed="false">
      <c r="A897" s="2" t="n">
        <v>374862950</v>
      </c>
      <c r="B897" s="29" t="n">
        <v>46245.8984490741</v>
      </c>
      <c r="C897" s="2" t="s">
        <v>158</v>
      </c>
      <c r="D897" s="2" t="s">
        <v>1062</v>
      </c>
      <c r="E897" s="2" t="s">
        <v>78</v>
      </c>
      <c r="F897" s="2" t="s">
        <v>107</v>
      </c>
      <c r="G897" s="30" t="n">
        <v>36.8</v>
      </c>
      <c r="H897" s="11" t="n">
        <v>444.99</v>
      </c>
      <c r="I897" s="11" t="s">
        <v>350</v>
      </c>
      <c r="J897" s="11" t="n">
        <v>92.57</v>
      </c>
      <c r="K897" s="11" t="n">
        <v>93.97</v>
      </c>
      <c r="L897" s="11" t="n">
        <v>0.445</v>
      </c>
      <c r="M897" s="11" t="n">
        <v>0.89</v>
      </c>
      <c r="N897" s="11" t="n">
        <v>1</v>
      </c>
      <c r="O897" s="11" t="n">
        <v>4.5</v>
      </c>
      <c r="P897" s="11" t="n">
        <v>2.22</v>
      </c>
      <c r="Q897" s="11" t="n">
        <v>16.65</v>
      </c>
      <c r="R897" s="11" t="n">
        <f aca="false">SUM(K897:Q897)</f>
        <v>119.675</v>
      </c>
      <c r="S897" s="11" t="n">
        <f aca="false">R897/(1-Resumo!$C$6)</f>
        <v>135.994318181818</v>
      </c>
      <c r="T897" s="11" t="n">
        <f aca="false">S897-J897</f>
        <v>43.4243181818182</v>
      </c>
      <c r="U897" s="12" t="n">
        <f aca="false">IFERROR(S897/J897-1,0)</f>
        <v>0.469097096055074</v>
      </c>
      <c r="V897" s="2" t="str">
        <f aca="false">IF(S897&lt;J897,"SIM","NÃO")</f>
        <v>NÃO</v>
      </c>
      <c r="W897" s="2" t="n">
        <v>5</v>
      </c>
      <c r="X897" s="2" t="s">
        <v>156</v>
      </c>
    </row>
    <row r="898" customFormat="false" ht="15" hidden="false" customHeight="false" outlineLevel="0" collapsed="false">
      <c r="A898" s="2" t="n">
        <v>374863275</v>
      </c>
      <c r="B898" s="29" t="n">
        <v>46245.8988078704</v>
      </c>
      <c r="C898" s="2" t="s">
        <v>153</v>
      </c>
      <c r="D898" s="2" t="s">
        <v>1063</v>
      </c>
      <c r="E898" s="2" t="s">
        <v>94</v>
      </c>
      <c r="F898" s="2" t="s">
        <v>106</v>
      </c>
      <c r="G898" s="30" t="n">
        <v>33.3</v>
      </c>
      <c r="H898" s="11" t="n">
        <v>389.99</v>
      </c>
      <c r="I898" s="11" t="s">
        <v>350</v>
      </c>
      <c r="J898" s="11" t="n">
        <v>102.66</v>
      </c>
      <c r="K898" s="11" t="n">
        <v>82.21</v>
      </c>
      <c r="L898" s="11" t="n">
        <v>0.39</v>
      </c>
      <c r="M898" s="11" t="n">
        <v>0.78</v>
      </c>
      <c r="N898" s="11" t="n">
        <v>1</v>
      </c>
      <c r="O898" s="11" t="n">
        <v>4.5</v>
      </c>
      <c r="P898" s="11" t="n">
        <v>2.04</v>
      </c>
      <c r="Q898" s="11" t="n">
        <v>15.3</v>
      </c>
      <c r="R898" s="11" t="n">
        <f aca="false">SUM(K898:Q898)</f>
        <v>106.22</v>
      </c>
      <c r="S898" s="11" t="n">
        <f aca="false">R898/(1-Resumo!$C$6)</f>
        <v>120.704545454545</v>
      </c>
      <c r="T898" s="11" t="n">
        <f aca="false">S898-J898</f>
        <v>18.0445454545454</v>
      </c>
      <c r="U898" s="12" t="n">
        <f aca="false">IFERROR(S898/J898-1,0)</f>
        <v>0.175769973256823</v>
      </c>
      <c r="V898" s="2" t="str">
        <f aca="false">IF(S898&lt;J898,"SIM","NÃO")</f>
        <v>NÃO</v>
      </c>
      <c r="W898" s="2" t="n">
        <v>5</v>
      </c>
      <c r="X898" s="2" t="s">
        <v>156</v>
      </c>
    </row>
    <row r="899" customFormat="false" ht="15" hidden="false" customHeight="false" outlineLevel="0" collapsed="false">
      <c r="A899" s="2" t="n">
        <v>374880207</v>
      </c>
      <c r="B899" s="29" t="n">
        <v>46245.9190277778</v>
      </c>
      <c r="C899" s="2" t="s">
        <v>158</v>
      </c>
      <c r="D899" s="2" t="s">
        <v>1064</v>
      </c>
      <c r="E899" s="2" t="s">
        <v>78</v>
      </c>
      <c r="F899" s="2" t="s">
        <v>109</v>
      </c>
      <c r="G899" s="30" t="n">
        <v>54.1</v>
      </c>
      <c r="H899" s="11" t="n">
        <v>1023.68</v>
      </c>
      <c r="I899" s="11" t="s">
        <v>155</v>
      </c>
      <c r="J899" s="11" t="n">
        <v>116.06</v>
      </c>
      <c r="K899" s="11" t="n">
        <v>112.3</v>
      </c>
      <c r="L899" s="11" t="n">
        <v>1.0237</v>
      </c>
      <c r="M899" s="11" t="n">
        <v>2.0474</v>
      </c>
      <c r="N899" s="11" t="n">
        <v>1</v>
      </c>
      <c r="O899" s="11" t="n">
        <v>4.5</v>
      </c>
      <c r="P899" s="11" t="n">
        <v>3.3</v>
      </c>
      <c r="Q899" s="11" t="n">
        <v>24.75</v>
      </c>
      <c r="R899" s="11" t="n">
        <f aca="false">SUM(K899:Q899)</f>
        <v>148.9211</v>
      </c>
      <c r="S899" s="11" t="n">
        <f aca="false">R899/(1-Resumo!$C$6)</f>
        <v>169.228522727273</v>
      </c>
      <c r="T899" s="11" t="n">
        <f aca="false">S899-J899</f>
        <v>53.1685227272727</v>
      </c>
      <c r="U899" s="12" t="n">
        <f aca="false">IFERROR(S899/J899-1,0)</f>
        <v>0.458112379176915</v>
      </c>
      <c r="V899" s="2" t="str">
        <f aca="false">IF(S899&lt;J899,"SIM","NÃO")</f>
        <v>NÃO</v>
      </c>
      <c r="W899" s="2" t="n">
        <v>5</v>
      </c>
      <c r="X899" s="2" t="s">
        <v>156</v>
      </c>
    </row>
    <row r="900" customFormat="false" ht="15" hidden="false" customHeight="false" outlineLevel="0" collapsed="false">
      <c r="A900" s="2" t="n">
        <v>374881560</v>
      </c>
      <c r="B900" s="29" t="n">
        <v>46245.9232407407</v>
      </c>
      <c r="C900" s="2" t="s">
        <v>191</v>
      </c>
      <c r="D900" s="2" t="s">
        <v>876</v>
      </c>
      <c r="E900" s="2" t="s">
        <v>78</v>
      </c>
      <c r="F900" s="2" t="s">
        <v>110</v>
      </c>
      <c r="G900" s="30" t="n">
        <v>63</v>
      </c>
      <c r="H900" s="11" t="n">
        <v>671.99</v>
      </c>
      <c r="I900" s="11" t="s">
        <v>350</v>
      </c>
      <c r="J900" s="11" t="n">
        <v>123.84</v>
      </c>
      <c r="K900" s="11" t="n">
        <v>131.02</v>
      </c>
      <c r="L900" s="11" t="n">
        <v>0.672</v>
      </c>
      <c r="M900" s="11" t="n">
        <v>1.344</v>
      </c>
      <c r="N900" s="11" t="n">
        <v>1</v>
      </c>
      <c r="O900" s="11" t="n">
        <v>4.5</v>
      </c>
      <c r="P900" s="11" t="n">
        <v>3.78</v>
      </c>
      <c r="Q900" s="11" t="n">
        <v>28.35</v>
      </c>
      <c r="R900" s="11" t="n">
        <f aca="false">SUM(K900:Q900)</f>
        <v>170.666</v>
      </c>
      <c r="S900" s="11" t="n">
        <f aca="false">R900/(1-Resumo!$C$6)</f>
        <v>193.938636363636</v>
      </c>
      <c r="T900" s="11" t="n">
        <f aca="false">S900-J900</f>
        <v>70.0986363636364</v>
      </c>
      <c r="U900" s="12" t="n">
        <f aca="false">IFERROR(S900/J900-1,0)</f>
        <v>0.566041960300681</v>
      </c>
      <c r="V900" s="2" t="str">
        <f aca="false">IF(S900&lt;J900,"SIM","NÃO")</f>
        <v>NÃO</v>
      </c>
      <c r="W900" s="2" t="n">
        <v>5</v>
      </c>
      <c r="X900" s="2" t="s">
        <v>156</v>
      </c>
    </row>
    <row r="901" customFormat="false" ht="15" hidden="false" customHeight="false" outlineLevel="0" collapsed="false">
      <c r="A901" s="2" t="n">
        <v>374889704</v>
      </c>
      <c r="B901" s="29" t="n">
        <v>46245.9305324074</v>
      </c>
      <c r="C901" s="2" t="s">
        <v>158</v>
      </c>
      <c r="D901" s="2" t="s">
        <v>1065</v>
      </c>
      <c r="E901" s="2" t="s">
        <v>78</v>
      </c>
      <c r="F901" s="2" t="s">
        <v>108</v>
      </c>
      <c r="G901" s="30" t="n">
        <v>48</v>
      </c>
      <c r="H901" s="11" t="n">
        <v>815.51</v>
      </c>
      <c r="I901" s="11" t="s">
        <v>350</v>
      </c>
      <c r="J901" s="11" t="n">
        <v>105.87</v>
      </c>
      <c r="K901" s="11" t="n">
        <v>93.97</v>
      </c>
      <c r="L901" s="11" t="n">
        <v>0.8155</v>
      </c>
      <c r="M901" s="11" t="n">
        <v>1.631</v>
      </c>
      <c r="N901" s="11" t="n">
        <v>1</v>
      </c>
      <c r="O901" s="11" t="n">
        <v>4.5</v>
      </c>
      <c r="P901" s="11" t="n">
        <v>2.88</v>
      </c>
      <c r="Q901" s="11" t="n">
        <v>21.6</v>
      </c>
      <c r="R901" s="11" t="n">
        <f aca="false">SUM(K901:Q901)</f>
        <v>126.3965</v>
      </c>
      <c r="S901" s="11" t="n">
        <f aca="false">R901/(1-Resumo!$C$6)</f>
        <v>143.632386363636</v>
      </c>
      <c r="T901" s="11" t="n">
        <f aca="false">S901-J901</f>
        <v>37.7623863636364</v>
      </c>
      <c r="U901" s="12" t="n">
        <f aca="false">IFERROR(S901/J901-1,0)</f>
        <v>0.356686373511253</v>
      </c>
      <c r="V901" s="2" t="str">
        <f aca="false">IF(S901&lt;J901,"SIM","NÃO")</f>
        <v>NÃO</v>
      </c>
      <c r="W901" s="2" t="n">
        <v>5</v>
      </c>
      <c r="X901" s="2" t="s">
        <v>156</v>
      </c>
    </row>
    <row r="902" customFormat="false" ht="15" hidden="false" customHeight="false" outlineLevel="0" collapsed="false">
      <c r="A902" s="2" t="n">
        <v>374891612</v>
      </c>
      <c r="B902" s="29" t="n">
        <v>46245.9332060185</v>
      </c>
      <c r="C902" s="2" t="s">
        <v>158</v>
      </c>
      <c r="D902" s="2" t="s">
        <v>1066</v>
      </c>
      <c r="E902" s="2" t="s">
        <v>219</v>
      </c>
      <c r="F902" s="2" t="s">
        <v>114</v>
      </c>
      <c r="G902" s="30" t="n">
        <v>124.2</v>
      </c>
      <c r="H902" s="11" t="n">
        <v>1589.99</v>
      </c>
      <c r="I902" s="11" t="s">
        <v>350</v>
      </c>
      <c r="J902" s="11" t="n">
        <v>253.2</v>
      </c>
      <c r="K902" s="11" t="n">
        <v>264.84</v>
      </c>
      <c r="L902" s="11" t="n">
        <v>1.59</v>
      </c>
      <c r="M902" s="11" t="n">
        <v>3.18</v>
      </c>
      <c r="N902" s="11" t="n">
        <v>1</v>
      </c>
      <c r="O902" s="11" t="n">
        <v>9</v>
      </c>
      <c r="P902" s="11" t="n">
        <v>7.5</v>
      </c>
      <c r="Q902" s="11" t="n">
        <v>56.25</v>
      </c>
      <c r="R902" s="11" t="n">
        <f aca="false">SUM(K902:Q902)</f>
        <v>343.36</v>
      </c>
      <c r="S902" s="11" t="n">
        <f aca="false">R902/(1-Resumo!$C$6)</f>
        <v>390.181818181818</v>
      </c>
      <c r="T902" s="11" t="n">
        <f aca="false">S902-J902</f>
        <v>136.981818181818</v>
      </c>
      <c r="U902" s="12" t="n">
        <f aca="false">IFERROR(S902/J902-1,0)</f>
        <v>0.541002441476375</v>
      </c>
      <c r="V902" s="2" t="str">
        <f aca="false">IF(S902&lt;J902,"SIM","NÃO")</f>
        <v>NÃO</v>
      </c>
      <c r="W902" s="2" t="n">
        <v>10</v>
      </c>
      <c r="X902" s="2" t="s">
        <v>161</v>
      </c>
    </row>
    <row r="903" customFormat="false" ht="15" hidden="false" customHeight="false" outlineLevel="0" collapsed="false">
      <c r="A903" s="2" t="n">
        <v>374898233</v>
      </c>
      <c r="B903" s="29" t="n">
        <v>46245.9411805556</v>
      </c>
      <c r="C903" s="2" t="s">
        <v>153</v>
      </c>
      <c r="D903" s="2" t="s">
        <v>1067</v>
      </c>
      <c r="E903" s="2" t="s">
        <v>88</v>
      </c>
      <c r="F903" s="2" t="s">
        <v>108</v>
      </c>
      <c r="G903" s="30" t="n">
        <v>44.5</v>
      </c>
      <c r="H903" s="11" t="n">
        <v>726.99</v>
      </c>
      <c r="I903" s="11" t="s">
        <v>350</v>
      </c>
      <c r="J903" s="11" t="n">
        <v>131.38</v>
      </c>
      <c r="K903" s="11" t="n">
        <v>124.38</v>
      </c>
      <c r="L903" s="11" t="n">
        <v>0.727</v>
      </c>
      <c r="M903" s="11" t="n">
        <v>1.454</v>
      </c>
      <c r="N903" s="11" t="n">
        <v>1</v>
      </c>
      <c r="O903" s="11" t="n">
        <v>4.5</v>
      </c>
      <c r="P903" s="11" t="n">
        <v>2.7</v>
      </c>
      <c r="Q903" s="11" t="n">
        <v>20.25</v>
      </c>
      <c r="R903" s="11" t="n">
        <f aca="false">SUM(K903:Q903)</f>
        <v>155.011</v>
      </c>
      <c r="S903" s="11" t="n">
        <f aca="false">R903/(1-Resumo!$C$6)</f>
        <v>176.148863636364</v>
      </c>
      <c r="T903" s="11" t="n">
        <f aca="false">S903-J903</f>
        <v>44.7688636363637</v>
      </c>
      <c r="U903" s="12" t="n">
        <f aca="false">IFERROR(S903/J903-1,0)</f>
        <v>0.340758590625389</v>
      </c>
      <c r="V903" s="2" t="str">
        <f aca="false">IF(S903&lt;J903,"SIM","NÃO")</f>
        <v>NÃO</v>
      </c>
      <c r="W903" s="2" t="n">
        <v>10</v>
      </c>
      <c r="X903" s="2" t="s">
        <v>156</v>
      </c>
    </row>
    <row r="904" customFormat="false" ht="15" hidden="false" customHeight="false" outlineLevel="0" collapsed="false">
      <c r="A904" s="2" t="n">
        <v>374899469</v>
      </c>
      <c r="B904" s="29" t="n">
        <v>46245.9437847222</v>
      </c>
      <c r="C904" s="2" t="s">
        <v>153</v>
      </c>
      <c r="D904" s="2" t="s">
        <v>1068</v>
      </c>
      <c r="E904" s="2" t="s">
        <v>93</v>
      </c>
      <c r="F904" s="2" t="s">
        <v>108</v>
      </c>
      <c r="G904" s="30" t="n">
        <v>44.5</v>
      </c>
      <c r="H904" s="11" t="n">
        <v>726.99</v>
      </c>
      <c r="I904" s="11" t="s">
        <v>350</v>
      </c>
      <c r="J904" s="11" t="n">
        <v>131.38</v>
      </c>
      <c r="K904" s="11" t="n">
        <v>114.95</v>
      </c>
      <c r="L904" s="11" t="n">
        <v>0.727</v>
      </c>
      <c r="M904" s="11" t="n">
        <v>1.454</v>
      </c>
      <c r="N904" s="11" t="n">
        <v>1</v>
      </c>
      <c r="O904" s="11" t="n">
        <v>4.5</v>
      </c>
      <c r="P904" s="11" t="n">
        <v>2.7</v>
      </c>
      <c r="Q904" s="11" t="n">
        <v>20.25</v>
      </c>
      <c r="R904" s="11" t="n">
        <f aca="false">SUM(K904:Q904)</f>
        <v>145.581</v>
      </c>
      <c r="S904" s="11" t="n">
        <f aca="false">R904/(1-Resumo!$C$6)</f>
        <v>165.432954545455</v>
      </c>
      <c r="T904" s="11" t="n">
        <f aca="false">S904-J904</f>
        <v>34.0529545454546</v>
      </c>
      <c r="U904" s="12" t="n">
        <f aca="false">IFERROR(S904/J904-1,0)</f>
        <v>0.25919435641235</v>
      </c>
      <c r="V904" s="2" t="str">
        <f aca="false">IF(S904&lt;J904,"SIM","NÃO")</f>
        <v>NÃO</v>
      </c>
      <c r="W904" s="2" t="n">
        <v>7</v>
      </c>
      <c r="X904" s="2" t="s">
        <v>156</v>
      </c>
    </row>
    <row r="905" customFormat="false" ht="15" hidden="false" customHeight="false" outlineLevel="0" collapsed="false">
      <c r="A905" s="2" t="n">
        <v>374916394</v>
      </c>
      <c r="B905" s="29" t="n">
        <v>46245.9862615741</v>
      </c>
      <c r="C905" s="2" t="s">
        <v>153</v>
      </c>
      <c r="D905" s="2" t="s">
        <v>1069</v>
      </c>
      <c r="E905" s="2" t="s">
        <v>89</v>
      </c>
      <c r="F905" s="2" t="s">
        <v>110</v>
      </c>
      <c r="G905" s="30" t="n">
        <v>69</v>
      </c>
      <c r="H905" s="11" t="n">
        <v>779.99</v>
      </c>
      <c r="I905" s="11" t="s">
        <v>350</v>
      </c>
      <c r="J905" s="11" t="n">
        <v>158.1</v>
      </c>
      <c r="K905" s="11" t="n">
        <v>166.05</v>
      </c>
      <c r="L905" s="11" t="n">
        <v>0.78</v>
      </c>
      <c r="M905" s="11" t="n">
        <v>1.56</v>
      </c>
      <c r="N905" s="11" t="n">
        <v>1</v>
      </c>
      <c r="O905" s="11" t="n">
        <v>4.5</v>
      </c>
      <c r="P905" s="11" t="n">
        <v>4.14</v>
      </c>
      <c r="Q905" s="11" t="n">
        <v>31.05</v>
      </c>
      <c r="R905" s="11" t="n">
        <f aca="false">SUM(K905:Q905)</f>
        <v>209.08</v>
      </c>
      <c r="S905" s="11" t="n">
        <f aca="false">R905/(1-Resumo!$C$6)</f>
        <v>237.590909090909</v>
      </c>
      <c r="T905" s="11" t="n">
        <f aca="false">S905-J905</f>
        <v>79.4909090909091</v>
      </c>
      <c r="U905" s="12" t="n">
        <f aca="false">IFERROR(S905/J905-1,0)</f>
        <v>0.502788798803979</v>
      </c>
      <c r="V905" s="2" t="str">
        <f aca="false">IF(S905&lt;J905,"SIM","NÃO")</f>
        <v>NÃO</v>
      </c>
      <c r="W905" s="2" t="n">
        <v>8</v>
      </c>
      <c r="X905" s="2" t="s">
        <v>156</v>
      </c>
    </row>
    <row r="906" customFormat="false" ht="15" hidden="false" customHeight="false" outlineLevel="0" collapsed="false">
      <c r="A906" s="2" t="n">
        <v>374932798</v>
      </c>
      <c r="B906" s="29" t="n">
        <v>46246.0246296296</v>
      </c>
      <c r="C906" s="2" t="s">
        <v>153</v>
      </c>
      <c r="D906" s="2" t="s">
        <v>1070</v>
      </c>
      <c r="E906" s="2" t="s">
        <v>78</v>
      </c>
      <c r="F906" s="2" t="s">
        <v>105</v>
      </c>
      <c r="G906" s="30" t="n">
        <v>19.5</v>
      </c>
      <c r="H906" s="11" t="n">
        <v>379.99</v>
      </c>
      <c r="I906" s="11" t="s">
        <v>155</v>
      </c>
      <c r="J906" s="11" t="n">
        <v>65.03</v>
      </c>
      <c r="K906" s="11" t="n">
        <v>46.98</v>
      </c>
      <c r="L906" s="11" t="n">
        <v>0.38</v>
      </c>
      <c r="M906" s="11" t="n">
        <v>0.76</v>
      </c>
      <c r="N906" s="11" t="n">
        <v>1</v>
      </c>
      <c r="O906" s="11" t="n">
        <v>4.5</v>
      </c>
      <c r="P906" s="11" t="n">
        <v>1.2</v>
      </c>
      <c r="Q906" s="11" t="n">
        <v>9</v>
      </c>
      <c r="R906" s="11" t="n">
        <f aca="false">SUM(K906:Q906)</f>
        <v>63.82</v>
      </c>
      <c r="S906" s="11" t="n">
        <f aca="false">R906/(1-Resumo!$C$6)</f>
        <v>72.5227272727273</v>
      </c>
      <c r="T906" s="11" t="n">
        <f aca="false">S906-J906</f>
        <v>7.49272727272727</v>
      </c>
      <c r="U906" s="12" t="n">
        <f aca="false">IFERROR(S906/J906-1,0)</f>
        <v>0.115219549019334</v>
      </c>
      <c r="V906" s="2" t="str">
        <f aca="false">IF(S906&lt;J906,"SIM","NÃO")</f>
        <v>NÃO</v>
      </c>
      <c r="W906" s="2" t="n">
        <v>5</v>
      </c>
      <c r="X906" s="2" t="s">
        <v>156</v>
      </c>
    </row>
    <row r="907" customFormat="false" ht="15" hidden="false" customHeight="false" outlineLevel="0" collapsed="false">
      <c r="A907" s="2" t="n">
        <v>374941905</v>
      </c>
      <c r="B907" s="29" t="n">
        <v>46246.0421296296</v>
      </c>
      <c r="C907" s="2" t="s">
        <v>153</v>
      </c>
      <c r="D907" s="2" t="s">
        <v>1071</v>
      </c>
      <c r="E907" s="2" t="s">
        <v>78</v>
      </c>
      <c r="F907" s="2" t="s">
        <v>107</v>
      </c>
      <c r="G907" s="30" t="n">
        <v>36.8</v>
      </c>
      <c r="H907" s="11" t="n">
        <v>439.99</v>
      </c>
      <c r="I907" s="11" t="s">
        <v>155</v>
      </c>
      <c r="J907" s="11" t="n">
        <v>91.97</v>
      </c>
      <c r="K907" s="11" t="n">
        <v>93.97</v>
      </c>
      <c r="L907" s="11" t="n">
        <v>0.44</v>
      </c>
      <c r="M907" s="11" t="n">
        <v>0.88</v>
      </c>
      <c r="N907" s="11" t="n">
        <v>1</v>
      </c>
      <c r="O907" s="11" t="n">
        <v>4.5</v>
      </c>
      <c r="P907" s="11" t="n">
        <v>2.22</v>
      </c>
      <c r="Q907" s="11" t="n">
        <v>16.65</v>
      </c>
      <c r="R907" s="11" t="n">
        <f aca="false">SUM(K907:Q907)</f>
        <v>119.66</v>
      </c>
      <c r="S907" s="11" t="n">
        <f aca="false">R907/(1-Resumo!$C$6)</f>
        <v>135.977272727273</v>
      </c>
      <c r="T907" s="11" t="n">
        <f aca="false">S907-J907</f>
        <v>44.0072727272727</v>
      </c>
      <c r="U907" s="12" t="n">
        <f aca="false">IFERROR(S907/J907-1,0)</f>
        <v>0.47849595223739</v>
      </c>
      <c r="V907" s="2" t="str">
        <f aca="false">IF(S907&lt;J907,"SIM","NÃO")</f>
        <v>NÃO</v>
      </c>
      <c r="W907" s="2" t="n">
        <v>5</v>
      </c>
      <c r="X907" s="2" t="s">
        <v>156</v>
      </c>
    </row>
    <row r="908" customFormat="false" ht="15" hidden="false" customHeight="false" outlineLevel="0" collapsed="false">
      <c r="A908" s="2" t="n">
        <v>375088655</v>
      </c>
      <c r="B908" s="29" t="n">
        <v>46246.3245138889</v>
      </c>
      <c r="C908" s="2" t="s">
        <v>153</v>
      </c>
      <c r="D908" s="2" t="s">
        <v>1072</v>
      </c>
      <c r="E908" s="2" t="s">
        <v>78</v>
      </c>
      <c r="F908" s="2" t="s">
        <v>110</v>
      </c>
      <c r="G908" s="30" t="n">
        <v>66.8</v>
      </c>
      <c r="H908" s="11" t="n">
        <v>699.99</v>
      </c>
      <c r="I908" s="11" t="s">
        <v>155</v>
      </c>
      <c r="J908" s="11" t="n">
        <v>124.56</v>
      </c>
      <c r="K908" s="11" t="n">
        <v>131.02</v>
      </c>
      <c r="L908" s="11" t="n">
        <v>0.7</v>
      </c>
      <c r="M908" s="11" t="n">
        <v>1.4</v>
      </c>
      <c r="N908" s="11" t="n">
        <v>1</v>
      </c>
      <c r="O908" s="11" t="n">
        <v>4.5</v>
      </c>
      <c r="P908" s="11" t="n">
        <v>4.02</v>
      </c>
      <c r="Q908" s="11" t="n">
        <v>30.15</v>
      </c>
      <c r="R908" s="11" t="n">
        <f aca="false">SUM(K908:Q908)</f>
        <v>172.79</v>
      </c>
      <c r="S908" s="11" t="n">
        <f aca="false">R908/(1-Resumo!$C$6)</f>
        <v>196.352272727273</v>
      </c>
      <c r="T908" s="11" t="n">
        <f aca="false">S908-J908</f>
        <v>71.7922727272728</v>
      </c>
      <c r="U908" s="12" t="n">
        <f aca="false">IFERROR(S908/J908-1,0)</f>
        <v>0.57636699363578</v>
      </c>
      <c r="V908" s="2" t="str">
        <f aca="false">IF(S908&lt;J908,"SIM","NÃO")</f>
        <v>NÃO</v>
      </c>
      <c r="W908" s="2" t="n">
        <v>5</v>
      </c>
      <c r="X908" s="2" t="s">
        <v>156</v>
      </c>
    </row>
    <row r="909" customFormat="false" ht="15" hidden="false" customHeight="false" outlineLevel="0" collapsed="false">
      <c r="A909" s="2" t="n">
        <v>375099383</v>
      </c>
      <c r="B909" s="29" t="n">
        <v>46246.3423032407</v>
      </c>
      <c r="C909" s="2" t="s">
        <v>153</v>
      </c>
      <c r="D909" s="2" t="s">
        <v>1073</v>
      </c>
      <c r="E909" s="2" t="s">
        <v>94</v>
      </c>
      <c r="F909" s="2" t="s">
        <v>108</v>
      </c>
      <c r="G909" s="30" t="n">
        <v>45</v>
      </c>
      <c r="H909" s="11" t="n">
        <v>531.42</v>
      </c>
      <c r="I909" s="11" t="s">
        <v>350</v>
      </c>
      <c r="J909" s="11" t="n">
        <v>116.42</v>
      </c>
      <c r="K909" s="11" t="n">
        <v>93.97</v>
      </c>
      <c r="L909" s="11" t="n">
        <v>0.5314</v>
      </c>
      <c r="M909" s="11" t="n">
        <v>1.0628</v>
      </c>
      <c r="N909" s="11" t="n">
        <v>1</v>
      </c>
      <c r="O909" s="11" t="n">
        <v>4.5</v>
      </c>
      <c r="P909" s="11" t="n">
        <v>2.7</v>
      </c>
      <c r="Q909" s="11" t="n">
        <v>20.25</v>
      </c>
      <c r="R909" s="11" t="n">
        <f aca="false">SUM(K909:Q909)</f>
        <v>124.0142</v>
      </c>
      <c r="S909" s="11" t="n">
        <f aca="false">R909/(1-Resumo!$C$6)</f>
        <v>140.925227272727</v>
      </c>
      <c r="T909" s="11" t="n">
        <f aca="false">S909-J909</f>
        <v>24.5052272727273</v>
      </c>
      <c r="U909" s="12" t="n">
        <f aca="false">IFERROR(S909/J909-1,0)</f>
        <v>0.210489840858334</v>
      </c>
      <c r="V909" s="2" t="str">
        <f aca="false">IF(S909&lt;J909,"SIM","NÃO")</f>
        <v>NÃO</v>
      </c>
      <c r="W909" s="2" t="n">
        <v>5</v>
      </c>
      <c r="X909" s="2" t="s">
        <v>156</v>
      </c>
    </row>
    <row r="910" customFormat="false" ht="15" hidden="false" customHeight="false" outlineLevel="0" collapsed="false">
      <c r="A910" s="2" t="n">
        <v>375100630</v>
      </c>
      <c r="B910" s="29" t="n">
        <v>46246.3446527778</v>
      </c>
      <c r="C910" s="2" t="s">
        <v>153</v>
      </c>
      <c r="D910" s="2" t="s">
        <v>1074</v>
      </c>
      <c r="E910" s="2" t="s">
        <v>78</v>
      </c>
      <c r="F910" s="2" t="s">
        <v>106</v>
      </c>
      <c r="G910" s="30" t="n">
        <v>30.5</v>
      </c>
      <c r="H910" s="11" t="n">
        <v>439.99</v>
      </c>
      <c r="I910" s="11" t="s">
        <v>350</v>
      </c>
      <c r="J910" s="11" t="n">
        <v>82.39</v>
      </c>
      <c r="K910" s="11" t="n">
        <v>82.21</v>
      </c>
      <c r="L910" s="11" t="n">
        <v>0.44</v>
      </c>
      <c r="M910" s="11" t="n">
        <v>0.88</v>
      </c>
      <c r="N910" s="11" t="n">
        <v>1</v>
      </c>
      <c r="O910" s="11" t="n">
        <v>4.5</v>
      </c>
      <c r="P910" s="11" t="n">
        <v>1.86</v>
      </c>
      <c r="Q910" s="11" t="n">
        <v>13.95</v>
      </c>
      <c r="R910" s="11" t="n">
        <f aca="false">SUM(K910:Q910)</f>
        <v>104.84</v>
      </c>
      <c r="S910" s="11" t="n">
        <f aca="false">R910/(1-Resumo!$C$6)</f>
        <v>119.136363636364</v>
      </c>
      <c r="T910" s="11" t="n">
        <f aca="false">S910-J910</f>
        <v>36.7463636363636</v>
      </c>
      <c r="U910" s="12" t="n">
        <f aca="false">IFERROR(S910/J910-1,0)</f>
        <v>0.446005141842015</v>
      </c>
      <c r="V910" s="2" t="str">
        <f aca="false">IF(S910&lt;J910,"SIM","NÃO")</f>
        <v>NÃO</v>
      </c>
      <c r="W910" s="2" t="n">
        <v>5</v>
      </c>
      <c r="X910" s="2" t="s">
        <v>156</v>
      </c>
    </row>
    <row r="911" customFormat="false" ht="15" hidden="false" customHeight="false" outlineLevel="0" collapsed="false">
      <c r="A911" s="2" t="n">
        <v>375145828</v>
      </c>
      <c r="B911" s="29" t="n">
        <v>46246.4223263889</v>
      </c>
      <c r="C911" s="2" t="s">
        <v>153</v>
      </c>
      <c r="D911" s="2" t="s">
        <v>1075</v>
      </c>
      <c r="E911" s="2" t="s">
        <v>78</v>
      </c>
      <c r="F911" s="2" t="s">
        <v>108</v>
      </c>
      <c r="G911" s="30" t="n">
        <v>44.6</v>
      </c>
      <c r="H911" s="11" t="n">
        <v>549.99</v>
      </c>
      <c r="I911" s="11" t="s">
        <v>155</v>
      </c>
      <c r="J911" s="11" t="n">
        <v>103.23</v>
      </c>
      <c r="K911" s="11" t="n">
        <v>93.97</v>
      </c>
      <c r="L911" s="11" t="n">
        <v>0.55</v>
      </c>
      <c r="M911" s="11" t="n">
        <v>1.1</v>
      </c>
      <c r="N911" s="11" t="n">
        <v>1</v>
      </c>
      <c r="O911" s="11" t="n">
        <v>4.5</v>
      </c>
      <c r="P911" s="11" t="n">
        <v>2.7</v>
      </c>
      <c r="Q911" s="11" t="n">
        <v>20.25</v>
      </c>
      <c r="R911" s="11" t="n">
        <f aca="false">SUM(K911:Q911)</f>
        <v>124.07</v>
      </c>
      <c r="S911" s="11" t="n">
        <f aca="false">R911/(1-Resumo!$C$6)</f>
        <v>140.988636363636</v>
      </c>
      <c r="T911" s="11" t="n">
        <f aca="false">S911-J911</f>
        <v>37.7586363636363</v>
      </c>
      <c r="U911" s="12" t="n">
        <f aca="false">IFERROR(S911/J911-1,0)</f>
        <v>0.365771930288059</v>
      </c>
      <c r="V911" s="2" t="str">
        <f aca="false">IF(S911&lt;J911,"SIM","NÃO")</f>
        <v>NÃO</v>
      </c>
      <c r="W911" s="2" t="n">
        <v>5</v>
      </c>
      <c r="X911" s="2" t="s">
        <v>156</v>
      </c>
    </row>
    <row r="912" customFormat="false" ht="15" hidden="false" customHeight="false" outlineLevel="0" collapsed="false">
      <c r="A912" s="2" t="n">
        <v>375165178</v>
      </c>
      <c r="B912" s="29" t="n">
        <v>46246.4470717593</v>
      </c>
      <c r="C912" s="2" t="s">
        <v>153</v>
      </c>
      <c r="D912" s="2" t="s">
        <v>1076</v>
      </c>
      <c r="E912" s="2" t="s">
        <v>813</v>
      </c>
      <c r="F912" s="2" t="s">
        <v>107</v>
      </c>
      <c r="G912" s="30" t="n">
        <v>37.2</v>
      </c>
      <c r="H912" s="11" t="n">
        <v>360.99</v>
      </c>
      <c r="I912" s="11" t="s">
        <v>350</v>
      </c>
      <c r="J912" s="11" t="n">
        <v>122.94</v>
      </c>
      <c r="K912" s="11" t="n">
        <v>124.38</v>
      </c>
      <c r="L912" s="11" t="n">
        <v>0.361</v>
      </c>
      <c r="M912" s="11" t="n">
        <v>0.722</v>
      </c>
      <c r="N912" s="11" t="n">
        <v>1</v>
      </c>
      <c r="O912" s="11" t="n">
        <v>4.5</v>
      </c>
      <c r="P912" s="11" t="n">
        <v>2.28</v>
      </c>
      <c r="Q912" s="11" t="n">
        <v>17.1</v>
      </c>
      <c r="R912" s="11" t="n">
        <f aca="false">SUM(K912:Q912)</f>
        <v>150.343</v>
      </c>
      <c r="S912" s="11" t="n">
        <f aca="false">R912/(1-Resumo!$C$6)</f>
        <v>170.844318181818</v>
      </c>
      <c r="T912" s="11" t="n">
        <f aca="false">S912-J912</f>
        <v>47.9043181818182</v>
      </c>
      <c r="U912" s="12" t="n">
        <f aca="false">IFERROR(S912/J912-1,0)</f>
        <v>0.389656077613618</v>
      </c>
      <c r="V912" s="2" t="str">
        <f aca="false">IF(S912&lt;J912,"SIM","NÃO")</f>
        <v>NÃO</v>
      </c>
      <c r="W912" s="2" t="n">
        <v>10</v>
      </c>
      <c r="X912" s="2" t="s">
        <v>161</v>
      </c>
    </row>
    <row r="913" customFormat="false" ht="15" hidden="false" customHeight="false" outlineLevel="0" collapsed="false">
      <c r="A913" s="2" t="n">
        <v>375180731</v>
      </c>
      <c r="B913" s="29" t="n">
        <v>46246.4704976852</v>
      </c>
      <c r="C913" s="2" t="s">
        <v>194</v>
      </c>
      <c r="D913" s="2" t="s">
        <v>1077</v>
      </c>
      <c r="E913" s="2" t="s">
        <v>160</v>
      </c>
      <c r="F913" s="2" t="s">
        <v>110</v>
      </c>
      <c r="G913" s="30" t="n">
        <v>67.3</v>
      </c>
      <c r="H913" s="11" t="n">
        <v>702.92</v>
      </c>
      <c r="I913" s="11" t="s">
        <v>350</v>
      </c>
      <c r="J913" s="11" t="n">
        <v>141.72</v>
      </c>
      <c r="K913" s="11" t="n">
        <v>131.02</v>
      </c>
      <c r="L913" s="11" t="n">
        <v>0.7029</v>
      </c>
      <c r="M913" s="11" t="n">
        <v>1.4058</v>
      </c>
      <c r="N913" s="11" t="n">
        <v>1</v>
      </c>
      <c r="O913" s="11" t="n">
        <v>4.5</v>
      </c>
      <c r="P913" s="11" t="n">
        <v>4.08</v>
      </c>
      <c r="Q913" s="11" t="n">
        <v>30.6</v>
      </c>
      <c r="R913" s="11" t="n">
        <f aca="false">SUM(K913:Q913)</f>
        <v>173.3087</v>
      </c>
      <c r="S913" s="11" t="n">
        <f aca="false">R913/(1-Resumo!$C$6)</f>
        <v>196.941704545455</v>
      </c>
      <c r="T913" s="11" t="n">
        <f aca="false">S913-J913</f>
        <v>55.2217045454546</v>
      </c>
      <c r="U913" s="12" t="n">
        <f aca="false">IFERROR(S913/J913-1,0)</f>
        <v>0.389653574269366</v>
      </c>
      <c r="V913" s="2" t="str">
        <f aca="false">IF(S913&lt;J913,"SIM","NÃO")</f>
        <v>NÃO</v>
      </c>
      <c r="W913" s="2" t="n">
        <v>5</v>
      </c>
      <c r="X913" s="2" t="s">
        <v>161</v>
      </c>
    </row>
    <row r="914" customFormat="false" ht="15" hidden="false" customHeight="false" outlineLevel="0" collapsed="false">
      <c r="A914" s="2" t="n">
        <v>375207141</v>
      </c>
      <c r="B914" s="29" t="n">
        <v>46246.5179976852</v>
      </c>
      <c r="C914" s="2" t="s">
        <v>153</v>
      </c>
      <c r="D914" s="2" t="s">
        <v>1078</v>
      </c>
      <c r="E914" s="2" t="s">
        <v>79</v>
      </c>
      <c r="F914" s="2" t="s">
        <v>114</v>
      </c>
      <c r="G914" s="30" t="n">
        <v>124.2</v>
      </c>
      <c r="H914" s="11" t="n">
        <v>1699.99</v>
      </c>
      <c r="I914" s="11" t="s">
        <v>350</v>
      </c>
      <c r="J914" s="11" t="n">
        <v>237.11</v>
      </c>
      <c r="K914" s="11" t="n">
        <v>249.03</v>
      </c>
      <c r="L914" s="11" t="n">
        <v>1.7</v>
      </c>
      <c r="M914" s="11" t="n">
        <v>3.4</v>
      </c>
      <c r="N914" s="11" t="n">
        <v>1</v>
      </c>
      <c r="O914" s="11" t="n">
        <v>9</v>
      </c>
      <c r="P914" s="11" t="n">
        <v>7.5</v>
      </c>
      <c r="Q914" s="11" t="n">
        <v>56.25</v>
      </c>
      <c r="R914" s="11" t="n">
        <f aca="false">SUM(K914:Q914)</f>
        <v>327.88</v>
      </c>
      <c r="S914" s="11" t="n">
        <f aca="false">R914/(1-Resumo!$C$6)</f>
        <v>372.590909090909</v>
      </c>
      <c r="T914" s="11" t="n">
        <f aca="false">S914-J914</f>
        <v>135.480909090909</v>
      </c>
      <c r="U914" s="12" t="n">
        <f aca="false">IFERROR(S914/J914-1,0)</f>
        <v>0.571384206026355</v>
      </c>
      <c r="V914" s="2" t="str">
        <f aca="false">IF(S914&lt;J914,"SIM","NÃO")</f>
        <v>NÃO</v>
      </c>
      <c r="W914" s="2" t="n">
        <v>7</v>
      </c>
      <c r="X914" s="2" t="s">
        <v>156</v>
      </c>
    </row>
    <row r="915" customFormat="false" ht="15" hidden="false" customHeight="false" outlineLevel="0" collapsed="false">
      <c r="A915" s="2" t="n">
        <v>375245480</v>
      </c>
      <c r="B915" s="29" t="n">
        <v>46246.5649421296</v>
      </c>
      <c r="C915" s="2" t="s">
        <v>158</v>
      </c>
      <c r="D915" s="2" t="s">
        <v>1079</v>
      </c>
      <c r="E915" s="2" t="s">
        <v>78</v>
      </c>
      <c r="F915" s="2" t="s">
        <v>112</v>
      </c>
      <c r="G915" s="30" t="n">
        <v>97.2</v>
      </c>
      <c r="H915" s="11" t="n">
        <v>1164.49</v>
      </c>
      <c r="I915" s="11" t="s">
        <v>155</v>
      </c>
      <c r="J915" s="11" t="n">
        <v>164.67</v>
      </c>
      <c r="K915" s="11" t="n">
        <v>167.99</v>
      </c>
      <c r="L915" s="11" t="n">
        <v>1.1645</v>
      </c>
      <c r="M915" s="11" t="n">
        <v>2.329</v>
      </c>
      <c r="N915" s="11" t="n">
        <v>1</v>
      </c>
      <c r="O915" s="11" t="n">
        <v>4.5</v>
      </c>
      <c r="P915" s="11" t="n">
        <v>5.88</v>
      </c>
      <c r="Q915" s="11" t="n">
        <v>44.1</v>
      </c>
      <c r="R915" s="11" t="n">
        <f aca="false">SUM(K915:Q915)</f>
        <v>226.9635</v>
      </c>
      <c r="S915" s="11" t="n">
        <f aca="false">R915/(1-Resumo!$C$6)</f>
        <v>257.913068181818</v>
      </c>
      <c r="T915" s="11" t="n">
        <f aca="false">S915-J915</f>
        <v>93.2430681818182</v>
      </c>
      <c r="U915" s="12" t="n">
        <f aca="false">IFERROR(S915/J915-1,0)</f>
        <v>0.566241988108448</v>
      </c>
      <c r="V915" s="2" t="str">
        <f aca="false">IF(S915&lt;J915,"SIM","NÃO")</f>
        <v>NÃO</v>
      </c>
      <c r="W915" s="2" t="n">
        <v>5</v>
      </c>
      <c r="X915" s="2" t="s">
        <v>156</v>
      </c>
    </row>
    <row r="916" customFormat="false" ht="15" hidden="false" customHeight="false" outlineLevel="0" collapsed="false">
      <c r="A916" s="2" t="n">
        <v>375259828</v>
      </c>
      <c r="B916" s="29" t="n">
        <v>46246.5870138889</v>
      </c>
      <c r="C916" s="2" t="s">
        <v>153</v>
      </c>
      <c r="D916" s="2" t="s">
        <v>208</v>
      </c>
      <c r="E916" s="2" t="s">
        <v>78</v>
      </c>
      <c r="F916" s="2" t="s">
        <v>110</v>
      </c>
      <c r="G916" s="30" t="n">
        <v>63.9</v>
      </c>
      <c r="H916" s="11" t="n">
        <v>785.04</v>
      </c>
      <c r="I916" s="11" t="s">
        <v>155</v>
      </c>
      <c r="J916" s="11" t="n">
        <v>124.97</v>
      </c>
      <c r="K916" s="11" t="n">
        <v>131.02</v>
      </c>
      <c r="L916" s="11" t="n">
        <v>0.785</v>
      </c>
      <c r="M916" s="11" t="n">
        <v>1.5701</v>
      </c>
      <c r="N916" s="11" t="n">
        <v>1</v>
      </c>
      <c r="O916" s="11" t="n">
        <v>4.5</v>
      </c>
      <c r="P916" s="11" t="n">
        <v>3.84</v>
      </c>
      <c r="Q916" s="11" t="n">
        <v>28.8</v>
      </c>
      <c r="R916" s="11" t="n">
        <f aca="false">SUM(K916:Q916)</f>
        <v>171.5151</v>
      </c>
      <c r="S916" s="11" t="n">
        <f aca="false">R916/(1-Resumo!$C$6)</f>
        <v>194.903522727273</v>
      </c>
      <c r="T916" s="11" t="n">
        <f aca="false">S916-J916</f>
        <v>69.9335227272728</v>
      </c>
      <c r="U916" s="12" t="n">
        <f aca="false">IFERROR(S916/J916-1,0)</f>
        <v>0.559602486414922</v>
      </c>
      <c r="V916" s="2" t="str">
        <f aca="false">IF(S916&lt;J916,"SIM","NÃO")</f>
        <v>NÃO</v>
      </c>
      <c r="W916" s="2" t="n">
        <v>5</v>
      </c>
      <c r="X916" s="2" t="s">
        <v>156</v>
      </c>
    </row>
    <row r="917" customFormat="false" ht="15" hidden="false" customHeight="false" outlineLevel="0" collapsed="false">
      <c r="A917" s="2" t="n">
        <v>375268269</v>
      </c>
      <c r="B917" s="29" t="n">
        <v>46246.6023726852</v>
      </c>
      <c r="C917" s="2" t="s">
        <v>158</v>
      </c>
      <c r="D917" s="2" t="s">
        <v>1080</v>
      </c>
      <c r="E917" s="2" t="s">
        <v>87</v>
      </c>
      <c r="F917" s="2" t="s">
        <v>110</v>
      </c>
      <c r="G917" s="30" t="n">
        <v>63.1</v>
      </c>
      <c r="H917" s="11" t="n">
        <v>732</v>
      </c>
      <c r="I917" s="11" t="s">
        <v>350</v>
      </c>
      <c r="J917" s="11" t="n">
        <v>155.32</v>
      </c>
      <c r="K917" s="11" t="n">
        <v>166.05</v>
      </c>
      <c r="L917" s="11" t="n">
        <v>0.732</v>
      </c>
      <c r="M917" s="11" t="n">
        <v>1.464</v>
      </c>
      <c r="N917" s="11" t="n">
        <v>1</v>
      </c>
      <c r="O917" s="11" t="n">
        <v>4.5</v>
      </c>
      <c r="P917" s="11" t="n">
        <v>3.84</v>
      </c>
      <c r="Q917" s="11" t="n">
        <v>28.8</v>
      </c>
      <c r="R917" s="11" t="n">
        <f aca="false">SUM(K917:Q917)</f>
        <v>206.386</v>
      </c>
      <c r="S917" s="11" t="n">
        <f aca="false">R917/(1-Resumo!$C$6)</f>
        <v>234.529545454545</v>
      </c>
      <c r="T917" s="11" t="n">
        <f aca="false">S917-J917</f>
        <v>79.2095454545455</v>
      </c>
      <c r="U917" s="12" t="n">
        <f aca="false">IFERROR(S917/J917-1,0)</f>
        <v>0.509976470863672</v>
      </c>
      <c r="V917" s="2" t="str">
        <f aca="false">IF(S917&lt;J917,"SIM","NÃO")</f>
        <v>NÃO</v>
      </c>
      <c r="W917" s="2" t="n">
        <v>10</v>
      </c>
      <c r="X917" s="2" t="s">
        <v>156</v>
      </c>
    </row>
    <row r="918" customFormat="false" ht="15" hidden="false" customHeight="false" outlineLevel="0" collapsed="false">
      <c r="A918" s="2" t="n">
        <v>375273173</v>
      </c>
      <c r="B918" s="29" t="n">
        <v>46246.61</v>
      </c>
      <c r="C918" s="2" t="s">
        <v>153</v>
      </c>
      <c r="D918" s="2" t="s">
        <v>1081</v>
      </c>
      <c r="E918" s="2" t="s">
        <v>78</v>
      </c>
      <c r="F918" s="2" t="s">
        <v>106</v>
      </c>
      <c r="G918" s="30" t="n">
        <v>22.4</v>
      </c>
      <c r="H918" s="11" t="n">
        <v>489.99</v>
      </c>
      <c r="I918" s="11" t="s">
        <v>350</v>
      </c>
      <c r="J918" s="11" t="n">
        <v>78.55</v>
      </c>
      <c r="K918" s="11" t="n">
        <v>82.21</v>
      </c>
      <c r="L918" s="11" t="n">
        <v>0.49</v>
      </c>
      <c r="M918" s="11" t="n">
        <v>0.98</v>
      </c>
      <c r="N918" s="11" t="n">
        <v>1</v>
      </c>
      <c r="O918" s="11" t="n">
        <v>4.5</v>
      </c>
      <c r="P918" s="11" t="n">
        <v>1.38</v>
      </c>
      <c r="Q918" s="11" t="n">
        <v>10.35</v>
      </c>
      <c r="R918" s="11" t="n">
        <f aca="false">SUM(K918:Q918)</f>
        <v>100.91</v>
      </c>
      <c r="S918" s="11" t="n">
        <f aca="false">R918/(1-Resumo!$C$6)</f>
        <v>114.670454545455</v>
      </c>
      <c r="T918" s="11" t="n">
        <f aca="false">S918-J918</f>
        <v>36.1204545454545</v>
      </c>
      <c r="U918" s="12" t="n">
        <f aca="false">IFERROR(S918/J918-1,0)</f>
        <v>0.459840287020427</v>
      </c>
      <c r="V918" s="2" t="str">
        <f aca="false">IF(S918&lt;J918,"SIM","NÃO")</f>
        <v>NÃO</v>
      </c>
      <c r="W918" s="2" t="n">
        <v>5</v>
      </c>
      <c r="X918" s="2" t="s">
        <v>156</v>
      </c>
    </row>
    <row r="919" customFormat="false" ht="15" hidden="false" customHeight="false" outlineLevel="0" collapsed="false">
      <c r="A919" s="2" t="n">
        <v>375274213</v>
      </c>
      <c r="B919" s="29" t="n">
        <v>46246.6116435185</v>
      </c>
      <c r="C919" s="2" t="s">
        <v>153</v>
      </c>
      <c r="D919" s="2" t="s">
        <v>1082</v>
      </c>
      <c r="E919" s="2" t="s">
        <v>79</v>
      </c>
      <c r="F919" s="2" t="s">
        <v>106</v>
      </c>
      <c r="G919" s="30" t="n">
        <v>33</v>
      </c>
      <c r="H919" s="11" t="n">
        <v>450.99</v>
      </c>
      <c r="I919" s="11" t="s">
        <v>350</v>
      </c>
      <c r="J919" s="11" t="n">
        <v>102.44</v>
      </c>
      <c r="K919" s="11" t="n">
        <v>100.58</v>
      </c>
      <c r="L919" s="11" t="n">
        <v>0.451</v>
      </c>
      <c r="M919" s="11" t="n">
        <v>0.902</v>
      </c>
      <c r="N919" s="11" t="n">
        <v>1</v>
      </c>
      <c r="O919" s="11" t="n">
        <v>4.5</v>
      </c>
      <c r="P919" s="11" t="n">
        <v>1.98</v>
      </c>
      <c r="Q919" s="11" t="n">
        <v>14.85</v>
      </c>
      <c r="R919" s="11" t="n">
        <f aca="false">SUM(K919:Q919)</f>
        <v>124.263</v>
      </c>
      <c r="S919" s="11" t="n">
        <f aca="false">R919/(1-Resumo!$C$6)</f>
        <v>141.207954545455</v>
      </c>
      <c r="T919" s="11" t="n">
        <f aca="false">S919-J919</f>
        <v>38.7679545454545</v>
      </c>
      <c r="U919" s="12" t="n">
        <f aca="false">IFERROR(S919/J919-1,0)</f>
        <v>0.378445475843953</v>
      </c>
      <c r="V919" s="2" t="str">
        <f aca="false">IF(S919&lt;J919,"SIM","NÃO")</f>
        <v>NÃO</v>
      </c>
      <c r="W919" s="2" t="n">
        <v>7</v>
      </c>
      <c r="X919" s="2" t="s">
        <v>156</v>
      </c>
    </row>
    <row r="920" customFormat="false" ht="15" hidden="false" customHeight="false" outlineLevel="0" collapsed="false">
      <c r="A920" s="2" t="n">
        <v>375285772</v>
      </c>
      <c r="B920" s="29" t="n">
        <v>46246.6279398148</v>
      </c>
      <c r="C920" s="2" t="s">
        <v>153</v>
      </c>
      <c r="D920" s="2" t="s">
        <v>1083</v>
      </c>
      <c r="E920" s="2" t="s">
        <v>78</v>
      </c>
      <c r="F920" s="2" t="s">
        <v>107</v>
      </c>
      <c r="G920" s="30" t="n">
        <v>37.2</v>
      </c>
      <c r="H920" s="11" t="n">
        <v>360.99</v>
      </c>
      <c r="I920" s="11" t="s">
        <v>155</v>
      </c>
      <c r="J920" s="11" t="n">
        <v>91.58</v>
      </c>
      <c r="K920" s="11" t="n">
        <v>93.97</v>
      </c>
      <c r="L920" s="11" t="n">
        <v>0.361</v>
      </c>
      <c r="M920" s="11" t="n">
        <v>0.722</v>
      </c>
      <c r="N920" s="11" t="n">
        <v>1</v>
      </c>
      <c r="O920" s="11" t="n">
        <v>4.5</v>
      </c>
      <c r="P920" s="11" t="n">
        <v>2.28</v>
      </c>
      <c r="Q920" s="11" t="n">
        <v>17.1</v>
      </c>
      <c r="R920" s="11" t="n">
        <f aca="false">SUM(K920:Q920)</f>
        <v>119.933</v>
      </c>
      <c r="S920" s="11" t="n">
        <f aca="false">R920/(1-Resumo!$C$6)</f>
        <v>136.2875</v>
      </c>
      <c r="T920" s="11" t="n">
        <f aca="false">S920-J920</f>
        <v>44.7075</v>
      </c>
      <c r="U920" s="12" t="n">
        <f aca="false">IFERROR(S920/J920-1,0)</f>
        <v>0.488179733566281</v>
      </c>
      <c r="V920" s="2" t="str">
        <f aca="false">IF(S920&lt;J920,"SIM","NÃO")</f>
        <v>NÃO</v>
      </c>
      <c r="W920" s="2" t="n">
        <v>5</v>
      </c>
      <c r="X920" s="2" t="s">
        <v>156</v>
      </c>
    </row>
    <row r="921" customFormat="false" ht="15" hidden="false" customHeight="false" outlineLevel="0" collapsed="false">
      <c r="A921" s="2" t="n">
        <v>375296391</v>
      </c>
      <c r="B921" s="29" t="n">
        <v>46246.6416898148</v>
      </c>
      <c r="C921" s="2" t="s">
        <v>153</v>
      </c>
      <c r="D921" s="2" t="s">
        <v>1084</v>
      </c>
      <c r="E921" s="2" t="s">
        <v>88</v>
      </c>
      <c r="F921" s="2" t="s">
        <v>106</v>
      </c>
      <c r="G921" s="30" t="n">
        <v>34.4</v>
      </c>
      <c r="H921" s="11" t="n">
        <v>539.98</v>
      </c>
      <c r="I921" s="11" t="s">
        <v>350</v>
      </c>
      <c r="J921" s="11" t="n">
        <v>111.64</v>
      </c>
      <c r="K921" s="11" t="n">
        <v>108.83</v>
      </c>
      <c r="L921" s="11" t="n">
        <v>0.54</v>
      </c>
      <c r="M921" s="11" t="n">
        <v>1.08</v>
      </c>
      <c r="N921" s="11" t="n">
        <v>1</v>
      </c>
      <c r="O921" s="11" t="n">
        <v>4.5</v>
      </c>
      <c r="P921" s="11" t="n">
        <v>2.1</v>
      </c>
      <c r="Q921" s="11" t="n">
        <v>15.75</v>
      </c>
      <c r="R921" s="11" t="n">
        <f aca="false">SUM(K921:Q921)</f>
        <v>133.8</v>
      </c>
      <c r="S921" s="11" t="n">
        <f aca="false">R921/(1-Resumo!$C$6)</f>
        <v>152.045454545455</v>
      </c>
      <c r="T921" s="11" t="n">
        <f aca="false">S921-J921</f>
        <v>40.4054545454546</v>
      </c>
      <c r="U921" s="12" t="n">
        <f aca="false">IFERROR(S921/J921-1,0)</f>
        <v>0.361926321618189</v>
      </c>
      <c r="V921" s="2" t="str">
        <f aca="false">IF(S921&lt;J921,"SIM","NÃO")</f>
        <v>NÃO</v>
      </c>
      <c r="W921" s="2" t="n">
        <v>10</v>
      </c>
      <c r="X921" s="2" t="s">
        <v>156</v>
      </c>
    </row>
    <row r="922" customFormat="false" ht="15" hidden="false" customHeight="false" outlineLevel="0" collapsed="false">
      <c r="A922" s="2" t="n">
        <v>375297964</v>
      </c>
      <c r="B922" s="29" t="n">
        <v>46246.6432407407</v>
      </c>
      <c r="C922" s="2" t="s">
        <v>158</v>
      </c>
      <c r="D922" s="2" t="s">
        <v>1085</v>
      </c>
      <c r="E922" s="2" t="s">
        <v>78</v>
      </c>
      <c r="F922" s="2" t="s">
        <v>113</v>
      </c>
      <c r="G922" s="30" t="n">
        <v>117</v>
      </c>
      <c r="H922" s="11" t="n">
        <v>1167</v>
      </c>
      <c r="I922" s="11" t="s">
        <v>350</v>
      </c>
      <c r="J922" s="11" t="n">
        <v>188.11</v>
      </c>
      <c r="K922" s="11" t="n">
        <v>201.59</v>
      </c>
      <c r="L922" s="11" t="n">
        <v>1.167</v>
      </c>
      <c r="M922" s="11" t="n">
        <v>2.334</v>
      </c>
      <c r="N922" s="11" t="n">
        <v>1</v>
      </c>
      <c r="O922" s="11" t="n">
        <v>9</v>
      </c>
      <c r="P922" s="11" t="n">
        <v>7.02</v>
      </c>
      <c r="Q922" s="11" t="n">
        <v>52.65</v>
      </c>
      <c r="R922" s="11" t="n">
        <f aca="false">SUM(K922:Q922)</f>
        <v>274.761</v>
      </c>
      <c r="S922" s="11" t="n">
        <f aca="false">R922/(1-Resumo!$C$6)</f>
        <v>312.228409090909</v>
      </c>
      <c r="T922" s="11" t="n">
        <f aca="false">S922-J922</f>
        <v>124.118409090909</v>
      </c>
      <c r="U922" s="12" t="n">
        <f aca="false">IFERROR(S922/J922-1,0)</f>
        <v>0.659818239811329</v>
      </c>
      <c r="V922" s="2" t="str">
        <f aca="false">IF(S922&lt;J922,"SIM","NÃO")</f>
        <v>NÃO</v>
      </c>
      <c r="W922" s="2" t="n">
        <v>5</v>
      </c>
      <c r="X922" s="2" t="s">
        <v>156</v>
      </c>
    </row>
    <row r="923" customFormat="false" ht="15" hidden="false" customHeight="false" outlineLevel="0" collapsed="false">
      <c r="A923" s="2" t="n">
        <v>375307606</v>
      </c>
      <c r="B923" s="29" t="n">
        <v>46246.6555324074</v>
      </c>
      <c r="C923" s="2" t="s">
        <v>153</v>
      </c>
      <c r="D923" s="2" t="s">
        <v>1086</v>
      </c>
      <c r="E923" s="2" t="s">
        <v>86</v>
      </c>
      <c r="F923" s="2" t="s">
        <v>107</v>
      </c>
      <c r="G923" s="30" t="n">
        <v>36.8</v>
      </c>
      <c r="H923" s="11" t="n">
        <v>439.99</v>
      </c>
      <c r="I923" s="11" t="s">
        <v>350</v>
      </c>
      <c r="J923" s="11" t="n">
        <v>113.55</v>
      </c>
      <c r="K923" s="11" t="n">
        <v>93.97</v>
      </c>
      <c r="L923" s="11" t="n">
        <v>0.44</v>
      </c>
      <c r="M923" s="11" t="n">
        <v>0.88</v>
      </c>
      <c r="N923" s="11" t="n">
        <v>1</v>
      </c>
      <c r="O923" s="11" t="n">
        <v>4.5</v>
      </c>
      <c r="P923" s="11" t="n">
        <v>2.22</v>
      </c>
      <c r="Q923" s="11" t="n">
        <v>16.65</v>
      </c>
      <c r="R923" s="11" t="n">
        <f aca="false">SUM(K923:Q923)</f>
        <v>119.66</v>
      </c>
      <c r="S923" s="11" t="n">
        <f aca="false">R923/(1-Resumo!$C$6)</f>
        <v>135.977272727273</v>
      </c>
      <c r="T923" s="11" t="n">
        <f aca="false">S923-J923</f>
        <v>22.4272727272727</v>
      </c>
      <c r="U923" s="12" t="n">
        <f aca="false">IFERROR(S923/J923-1,0)</f>
        <v>0.197510107681838</v>
      </c>
      <c r="V923" s="2" t="str">
        <f aca="false">IF(S923&lt;J923,"SIM","NÃO")</f>
        <v>NÃO</v>
      </c>
      <c r="W923" s="2" t="n">
        <v>5</v>
      </c>
      <c r="X923" s="2" t="s">
        <v>156</v>
      </c>
    </row>
    <row r="924" customFormat="false" ht="15" hidden="false" customHeight="false" outlineLevel="0" collapsed="false">
      <c r="A924" s="2" t="n">
        <v>375312716</v>
      </c>
      <c r="B924" s="29" t="n">
        <v>46246.6626041667</v>
      </c>
      <c r="C924" s="2" t="s">
        <v>198</v>
      </c>
      <c r="D924" s="2" t="s">
        <v>1087</v>
      </c>
      <c r="E924" s="2" t="s">
        <v>86</v>
      </c>
      <c r="F924" s="2" t="s">
        <v>114</v>
      </c>
      <c r="G924" s="30" t="n">
        <v>135</v>
      </c>
      <c r="H924" s="11" t="n">
        <v>1599.99</v>
      </c>
      <c r="I924" s="11" t="s">
        <v>350</v>
      </c>
      <c r="J924" s="11" t="n">
        <v>241.75</v>
      </c>
      <c r="K924" s="11" t="n">
        <v>239.25</v>
      </c>
      <c r="L924" s="11" t="n">
        <v>1.6</v>
      </c>
      <c r="M924" s="11" t="n">
        <v>3.2</v>
      </c>
      <c r="N924" s="11" t="n">
        <v>1</v>
      </c>
      <c r="O924" s="11" t="n">
        <v>9</v>
      </c>
      <c r="P924" s="11" t="n">
        <v>8.1</v>
      </c>
      <c r="Q924" s="11" t="n">
        <v>60.75</v>
      </c>
      <c r="R924" s="11" t="n">
        <f aca="false">SUM(K924:Q924)</f>
        <v>322.9</v>
      </c>
      <c r="S924" s="11" t="n">
        <f aca="false">R924/(1-Resumo!$C$6)</f>
        <v>366.931818181818</v>
      </c>
      <c r="T924" s="11" t="n">
        <f aca="false">S924-J924</f>
        <v>125.181818181818</v>
      </c>
      <c r="U924" s="12" t="n">
        <f aca="false">IFERROR(S924/J924-1,0)</f>
        <v>0.517815173451161</v>
      </c>
      <c r="V924" s="2" t="str">
        <f aca="false">IF(S924&lt;J924,"SIM","NÃO")</f>
        <v>NÃO</v>
      </c>
      <c r="W924" s="2" t="n">
        <v>5</v>
      </c>
      <c r="X924" s="2" t="s">
        <v>156</v>
      </c>
    </row>
    <row r="925" customFormat="false" ht="15" hidden="false" customHeight="false" outlineLevel="0" collapsed="false">
      <c r="A925" s="2" t="n">
        <v>375286549</v>
      </c>
      <c r="B925" s="29" t="n">
        <v>46246.7041203704</v>
      </c>
      <c r="C925" s="2" t="s">
        <v>191</v>
      </c>
      <c r="D925" s="2" t="s">
        <v>1088</v>
      </c>
      <c r="E925" s="2" t="s">
        <v>79</v>
      </c>
      <c r="F925" s="2" t="s">
        <v>109</v>
      </c>
      <c r="G925" s="30" t="n">
        <v>60</v>
      </c>
      <c r="H925" s="11" t="n">
        <v>969.99</v>
      </c>
      <c r="I925" s="11" t="s">
        <v>350</v>
      </c>
      <c r="J925" s="11" t="n">
        <v>132.57</v>
      </c>
      <c r="K925" s="11" t="n">
        <v>128.14</v>
      </c>
      <c r="L925" s="11" t="n">
        <v>0.97</v>
      </c>
      <c r="M925" s="11" t="n">
        <v>1.94</v>
      </c>
      <c r="N925" s="11" t="n">
        <v>1</v>
      </c>
      <c r="O925" s="11" t="n">
        <v>4.5</v>
      </c>
      <c r="P925" s="11" t="n">
        <v>3.6</v>
      </c>
      <c r="Q925" s="11" t="n">
        <v>27</v>
      </c>
      <c r="R925" s="11" t="n">
        <f aca="false">SUM(K925:Q925)</f>
        <v>167.15</v>
      </c>
      <c r="S925" s="11" t="n">
        <f aca="false">R925/(1-Resumo!$C$6)</f>
        <v>189.943181818182</v>
      </c>
      <c r="T925" s="11" t="n">
        <f aca="false">S925-J925</f>
        <v>57.3731818181818</v>
      </c>
      <c r="U925" s="12" t="n">
        <f aca="false">IFERROR(S925/J925-1,0)</f>
        <v>0.432776509151254</v>
      </c>
      <c r="V925" s="2" t="str">
        <f aca="false">IF(S925&lt;J925,"SIM","NÃO")</f>
        <v>NÃO</v>
      </c>
      <c r="W925" s="2" t="n">
        <v>7</v>
      </c>
      <c r="X925" s="2" t="s">
        <v>156</v>
      </c>
    </row>
    <row r="926" customFormat="false" ht="15" hidden="false" customHeight="false" outlineLevel="0" collapsed="false">
      <c r="A926" s="2" t="n">
        <v>375342295</v>
      </c>
      <c r="B926" s="29" t="n">
        <v>46246.7088888889</v>
      </c>
      <c r="C926" s="2" t="s">
        <v>153</v>
      </c>
      <c r="D926" s="2" t="s">
        <v>1089</v>
      </c>
      <c r="E926" s="2" t="s">
        <v>80</v>
      </c>
      <c r="F926" s="2" t="s">
        <v>110</v>
      </c>
      <c r="G926" s="30" t="n">
        <v>66.8</v>
      </c>
      <c r="H926" s="11" t="n">
        <v>699.99</v>
      </c>
      <c r="I926" s="11" t="s">
        <v>155</v>
      </c>
      <c r="J926" s="11" t="n">
        <v>139.78</v>
      </c>
      <c r="K926" s="11" t="n">
        <v>131.02</v>
      </c>
      <c r="L926" s="11" t="n">
        <v>0.7</v>
      </c>
      <c r="M926" s="11" t="n">
        <v>1.4</v>
      </c>
      <c r="N926" s="11" t="n">
        <v>1</v>
      </c>
      <c r="O926" s="11" t="n">
        <v>4.5</v>
      </c>
      <c r="P926" s="11" t="n">
        <v>4.02</v>
      </c>
      <c r="Q926" s="11" t="n">
        <v>30.15</v>
      </c>
      <c r="R926" s="11" t="n">
        <f aca="false">SUM(K926:Q926)</f>
        <v>172.79</v>
      </c>
      <c r="S926" s="11" t="n">
        <f aca="false">R926/(1-Resumo!$C$6)</f>
        <v>196.352272727273</v>
      </c>
      <c r="T926" s="11" t="n">
        <f aca="false">S926-J926</f>
        <v>56.5722727272728</v>
      </c>
      <c r="U926" s="12" t="n">
        <f aca="false">IFERROR(S926/J926-1,0)</f>
        <v>0.404723656655264</v>
      </c>
      <c r="V926" s="2" t="str">
        <f aca="false">IF(S926&lt;J926,"SIM","NÃO")</f>
        <v>NÃO</v>
      </c>
      <c r="W926" s="2" t="n">
        <v>5</v>
      </c>
      <c r="X926" s="2" t="s">
        <v>156</v>
      </c>
    </row>
    <row r="927" customFormat="false" ht="15" hidden="false" customHeight="false" outlineLevel="0" collapsed="false">
      <c r="A927" s="2" t="n">
        <v>375346285</v>
      </c>
      <c r="B927" s="29" t="n">
        <v>46246.7187152778</v>
      </c>
      <c r="C927" s="2" t="s">
        <v>153</v>
      </c>
      <c r="D927" s="2" t="s">
        <v>1090</v>
      </c>
      <c r="E927" s="2" t="s">
        <v>82</v>
      </c>
      <c r="F927" s="2" t="s">
        <v>110</v>
      </c>
      <c r="G927" s="30" t="n">
        <v>69</v>
      </c>
      <c r="H927" s="11" t="n">
        <v>839.99</v>
      </c>
      <c r="I927" s="11" t="s">
        <v>155</v>
      </c>
      <c r="J927" s="11" t="n">
        <v>140.45</v>
      </c>
      <c r="K927" s="11" t="n">
        <v>149.5</v>
      </c>
      <c r="L927" s="11" t="n">
        <v>0.84</v>
      </c>
      <c r="M927" s="11" t="n">
        <v>1.68</v>
      </c>
      <c r="N927" s="11" t="n">
        <v>1</v>
      </c>
      <c r="O927" s="11" t="n">
        <v>4.5</v>
      </c>
      <c r="P927" s="11" t="n">
        <v>4.14</v>
      </c>
      <c r="Q927" s="11" t="n">
        <v>31.05</v>
      </c>
      <c r="R927" s="11" t="n">
        <f aca="false">SUM(K927:Q927)</f>
        <v>192.71</v>
      </c>
      <c r="S927" s="11" t="n">
        <f aca="false">R927/(1-Resumo!$C$6)</f>
        <v>218.988636363636</v>
      </c>
      <c r="T927" s="11" t="n">
        <f aca="false">S927-J927</f>
        <v>78.5386363636364</v>
      </c>
      <c r="U927" s="12" t="n">
        <f aca="false">IFERROR(S927/J927-1,0)</f>
        <v>0.559192854137675</v>
      </c>
      <c r="V927" s="2" t="str">
        <f aca="false">IF(S927&lt;J927,"SIM","NÃO")</f>
        <v>NÃO</v>
      </c>
      <c r="W927" s="2" t="n">
        <v>7</v>
      </c>
      <c r="X927" s="2" t="s">
        <v>156</v>
      </c>
    </row>
    <row r="928" customFormat="false" ht="15" hidden="false" customHeight="false" outlineLevel="0" collapsed="false">
      <c r="A928" s="2" t="n">
        <v>375352277</v>
      </c>
      <c r="B928" s="29" t="n">
        <v>46246.7330208333</v>
      </c>
      <c r="C928" s="2" t="s">
        <v>153</v>
      </c>
      <c r="D928" s="2" t="s">
        <v>1091</v>
      </c>
      <c r="E928" s="2" t="s">
        <v>813</v>
      </c>
      <c r="F928" s="2" t="s">
        <v>107</v>
      </c>
      <c r="G928" s="30" t="n">
        <v>37.2</v>
      </c>
      <c r="H928" s="11" t="n">
        <v>360.99</v>
      </c>
      <c r="I928" s="11" t="s">
        <v>350</v>
      </c>
      <c r="J928" s="11" t="n">
        <v>122.94</v>
      </c>
      <c r="K928" s="11" t="n">
        <v>124.38</v>
      </c>
      <c r="L928" s="11" t="n">
        <v>0.361</v>
      </c>
      <c r="M928" s="11" t="n">
        <v>0.722</v>
      </c>
      <c r="N928" s="11" t="n">
        <v>1</v>
      </c>
      <c r="O928" s="11" t="n">
        <v>4.5</v>
      </c>
      <c r="P928" s="11" t="n">
        <v>2.28</v>
      </c>
      <c r="Q928" s="11" t="n">
        <v>17.1</v>
      </c>
      <c r="R928" s="11" t="n">
        <f aca="false">SUM(K928:Q928)</f>
        <v>150.343</v>
      </c>
      <c r="S928" s="11" t="n">
        <f aca="false">R928/(1-Resumo!$C$6)</f>
        <v>170.844318181818</v>
      </c>
      <c r="T928" s="11" t="n">
        <f aca="false">S928-J928</f>
        <v>47.9043181818182</v>
      </c>
      <c r="U928" s="12" t="n">
        <f aca="false">IFERROR(S928/J928-1,0)</f>
        <v>0.389656077613618</v>
      </c>
      <c r="V928" s="2" t="str">
        <f aca="false">IF(S928&lt;J928,"SIM","NÃO")</f>
        <v>NÃO</v>
      </c>
      <c r="W928" s="2" t="n">
        <v>10</v>
      </c>
      <c r="X928" s="2" t="s">
        <v>161</v>
      </c>
    </row>
    <row r="929" customFormat="false" ht="15" hidden="false" customHeight="false" outlineLevel="0" collapsed="false">
      <c r="A929" s="2" t="n">
        <v>375352666</v>
      </c>
      <c r="B929" s="29" t="n">
        <v>46246.7342013889</v>
      </c>
      <c r="C929" s="2" t="s">
        <v>194</v>
      </c>
      <c r="D929" s="2" t="s">
        <v>1083</v>
      </c>
      <c r="E929" s="2" t="s">
        <v>78</v>
      </c>
      <c r="F929" s="2" t="s">
        <v>106</v>
      </c>
      <c r="G929" s="30" t="n">
        <v>22.04</v>
      </c>
      <c r="H929" s="11" t="n">
        <v>271.43</v>
      </c>
      <c r="I929" s="11" t="s">
        <v>155</v>
      </c>
      <c r="J929" s="11" t="n">
        <v>81.61</v>
      </c>
      <c r="K929" s="11" t="n">
        <v>82.21</v>
      </c>
      <c r="L929" s="11" t="n">
        <v>0.2714</v>
      </c>
      <c r="M929" s="11" t="n">
        <v>0.5429</v>
      </c>
      <c r="N929" s="11" t="n">
        <v>1</v>
      </c>
      <c r="O929" s="11" t="n">
        <v>4.5</v>
      </c>
      <c r="P929" s="11" t="n">
        <v>1.38</v>
      </c>
      <c r="Q929" s="11" t="n">
        <v>10.35</v>
      </c>
      <c r="R929" s="11" t="n">
        <f aca="false">SUM(K929:Q929)</f>
        <v>100.2543</v>
      </c>
      <c r="S929" s="11" t="n">
        <f aca="false">R929/(1-Resumo!$C$6)</f>
        <v>113.925340909091</v>
      </c>
      <c r="T929" s="11" t="n">
        <f aca="false">S929-J929</f>
        <v>32.3153409090909</v>
      </c>
      <c r="U929" s="12" t="n">
        <f aca="false">IFERROR(S929/J929-1,0)</f>
        <v>0.395972808590747</v>
      </c>
      <c r="V929" s="2" t="str">
        <f aca="false">IF(S929&lt;J929,"SIM","NÃO")</f>
        <v>NÃO</v>
      </c>
      <c r="W929" s="2" t="n">
        <v>5</v>
      </c>
      <c r="X929" s="2" t="s">
        <v>156</v>
      </c>
    </row>
    <row r="930" customFormat="false" ht="15" hidden="false" customHeight="false" outlineLevel="0" collapsed="false">
      <c r="A930" s="2" t="n">
        <v>375353973</v>
      </c>
      <c r="B930" s="29" t="n">
        <v>46246.7470486111</v>
      </c>
      <c r="C930" s="2" t="s">
        <v>178</v>
      </c>
      <c r="D930" s="2" t="s">
        <v>1092</v>
      </c>
      <c r="E930" s="2" t="s">
        <v>186</v>
      </c>
      <c r="F930" s="2" t="s">
        <v>106</v>
      </c>
      <c r="G930" s="30" t="n">
        <v>31.9</v>
      </c>
      <c r="H930" s="11" t="n">
        <v>659.99</v>
      </c>
      <c r="I930" s="11" t="s">
        <v>350</v>
      </c>
      <c r="J930" s="11" t="n">
        <v>110.69</v>
      </c>
      <c r="K930" s="11" t="n">
        <v>82.21</v>
      </c>
      <c r="L930" s="11" t="n">
        <v>0.66</v>
      </c>
      <c r="M930" s="11" t="n">
        <v>1.32</v>
      </c>
      <c r="N930" s="11" t="n">
        <v>1</v>
      </c>
      <c r="O930" s="11" t="n">
        <v>4.5</v>
      </c>
      <c r="P930" s="11" t="n">
        <v>1.92</v>
      </c>
      <c r="Q930" s="11" t="n">
        <v>14.4</v>
      </c>
      <c r="R930" s="11" t="n">
        <f aca="false">SUM(K930:Q930)</f>
        <v>106.01</v>
      </c>
      <c r="S930" s="11" t="n">
        <f aca="false">R930/(1-Resumo!$C$6)</f>
        <v>120.465909090909</v>
      </c>
      <c r="T930" s="11" t="n">
        <f aca="false">S930-J930</f>
        <v>9.7759090909091</v>
      </c>
      <c r="U930" s="12" t="n">
        <f aca="false">IFERROR(S930/J930-1,0)</f>
        <v>0.0883179066845161</v>
      </c>
      <c r="V930" s="2" t="str">
        <f aca="false">IF(S930&lt;J930,"SIM","NÃO")</f>
        <v>NÃO</v>
      </c>
      <c r="W930" s="2" t="n">
        <v>5</v>
      </c>
      <c r="X930" s="2" t="s">
        <v>161</v>
      </c>
    </row>
    <row r="931" customFormat="false" ht="15" hidden="false" customHeight="false" outlineLevel="0" collapsed="false">
      <c r="A931" s="2" t="n">
        <v>375387267</v>
      </c>
      <c r="B931" s="29" t="n">
        <v>46246.7806365741</v>
      </c>
      <c r="C931" s="2" t="s">
        <v>153</v>
      </c>
      <c r="D931" s="2" t="s">
        <v>1093</v>
      </c>
      <c r="E931" s="2" t="s">
        <v>160</v>
      </c>
      <c r="F931" s="2" t="s">
        <v>106</v>
      </c>
      <c r="G931" s="30" t="n">
        <v>33</v>
      </c>
      <c r="H931" s="11" t="n">
        <v>599.99</v>
      </c>
      <c r="I931" s="11" t="s">
        <v>350</v>
      </c>
      <c r="J931" s="11" t="n">
        <v>103.15</v>
      </c>
      <c r="K931" s="11" t="n">
        <v>82.21</v>
      </c>
      <c r="L931" s="11" t="n">
        <v>0.6</v>
      </c>
      <c r="M931" s="11" t="n">
        <v>1.2</v>
      </c>
      <c r="N931" s="11" t="n">
        <v>1</v>
      </c>
      <c r="O931" s="11" t="n">
        <v>4.5</v>
      </c>
      <c r="P931" s="11" t="n">
        <v>1.98</v>
      </c>
      <c r="Q931" s="11" t="n">
        <v>14.85</v>
      </c>
      <c r="R931" s="11" t="n">
        <f aca="false">SUM(K931:Q931)</f>
        <v>106.34</v>
      </c>
      <c r="S931" s="11" t="n">
        <f aca="false">R931/(1-Resumo!$C$6)</f>
        <v>120.840909090909</v>
      </c>
      <c r="T931" s="11" t="n">
        <f aca="false">S931-J931</f>
        <v>17.6909090909091</v>
      </c>
      <c r="U931" s="12" t="n">
        <f aca="false">IFERROR(S931/J931-1,0)</f>
        <v>0.171506632001057</v>
      </c>
      <c r="V931" s="2" t="str">
        <f aca="false">IF(S931&lt;J931,"SIM","NÃO")</f>
        <v>NÃO</v>
      </c>
      <c r="W931" s="2" t="n">
        <v>5</v>
      </c>
      <c r="X931" s="2" t="s">
        <v>161</v>
      </c>
    </row>
    <row r="932" customFormat="false" ht="15" hidden="false" customHeight="false" outlineLevel="0" collapsed="false">
      <c r="A932" s="2" t="n">
        <v>375401937</v>
      </c>
      <c r="B932" s="29" t="n">
        <v>46246.8162384259</v>
      </c>
      <c r="C932" s="2" t="s">
        <v>153</v>
      </c>
      <c r="D932" s="2" t="s">
        <v>1094</v>
      </c>
      <c r="E932" s="2" t="s">
        <v>94</v>
      </c>
      <c r="F932" s="2" t="s">
        <v>110</v>
      </c>
      <c r="G932" s="30" t="n">
        <v>69.15</v>
      </c>
      <c r="H932" s="11" t="n">
        <v>829.99</v>
      </c>
      <c r="I932" s="11" t="s">
        <v>350</v>
      </c>
      <c r="J932" s="11" t="n">
        <v>143.33</v>
      </c>
      <c r="K932" s="11" t="n">
        <v>131.02</v>
      </c>
      <c r="L932" s="11" t="n">
        <v>0.83</v>
      </c>
      <c r="M932" s="11" t="n">
        <v>1.66</v>
      </c>
      <c r="N932" s="11" t="n">
        <v>1</v>
      </c>
      <c r="O932" s="11" t="n">
        <v>4.5</v>
      </c>
      <c r="P932" s="11" t="n">
        <v>4.2</v>
      </c>
      <c r="Q932" s="11" t="n">
        <v>31.5</v>
      </c>
      <c r="R932" s="11" t="n">
        <f aca="false">SUM(K932:Q932)</f>
        <v>174.71</v>
      </c>
      <c r="S932" s="11" t="n">
        <f aca="false">R932/(1-Resumo!$C$6)</f>
        <v>198.534090909091</v>
      </c>
      <c r="T932" s="11" t="n">
        <f aca="false">S932-J932</f>
        <v>55.2040909090909</v>
      </c>
      <c r="U932" s="12" t="n">
        <f aca="false">IFERROR(S932/J932-1,0)</f>
        <v>0.385153777360573</v>
      </c>
      <c r="V932" s="2" t="str">
        <f aca="false">IF(S932&lt;J932,"SIM","NÃO")</f>
        <v>NÃO</v>
      </c>
      <c r="W932" s="2" t="n">
        <v>5</v>
      </c>
      <c r="X932" s="2" t="s">
        <v>156</v>
      </c>
    </row>
    <row r="933" customFormat="false" ht="15" hidden="false" customHeight="false" outlineLevel="0" collapsed="false">
      <c r="A933" s="2" t="n">
        <v>375403060</v>
      </c>
      <c r="B933" s="29" t="n">
        <v>46246.8178472222</v>
      </c>
      <c r="C933" s="2" t="s">
        <v>153</v>
      </c>
      <c r="D933" s="2" t="s">
        <v>1095</v>
      </c>
      <c r="E933" s="2" t="s">
        <v>93</v>
      </c>
      <c r="F933" s="2" t="s">
        <v>105</v>
      </c>
      <c r="G933" s="30" t="n">
        <v>17</v>
      </c>
      <c r="H933" s="11" t="n">
        <v>249.99</v>
      </c>
      <c r="I933" s="11" t="s">
        <v>350</v>
      </c>
      <c r="J933" s="11" t="n">
        <v>79.82</v>
      </c>
      <c r="K933" s="11" t="n">
        <v>57.47</v>
      </c>
      <c r="L933" s="11" t="n">
        <v>0.25</v>
      </c>
      <c r="M933" s="11" t="n">
        <v>0.5</v>
      </c>
      <c r="N933" s="11" t="n">
        <v>1</v>
      </c>
      <c r="O933" s="11" t="n">
        <v>4.5</v>
      </c>
      <c r="P933" s="11" t="n">
        <v>1.02</v>
      </c>
      <c r="Q933" s="11" t="n">
        <v>7.65</v>
      </c>
      <c r="R933" s="11" t="n">
        <f aca="false">SUM(K933:Q933)</f>
        <v>72.39</v>
      </c>
      <c r="S933" s="11" t="n">
        <f aca="false">R933/(1-Resumo!$C$6)</f>
        <v>82.2613636363636</v>
      </c>
      <c r="T933" s="11" t="n">
        <f aca="false">S933-J933</f>
        <v>2.44136363636365</v>
      </c>
      <c r="U933" s="12" t="n">
        <f aca="false">IFERROR(S933/J933-1,0)</f>
        <v>0.030585863647753</v>
      </c>
      <c r="V933" s="2" t="str">
        <f aca="false">IF(S933&lt;J933,"SIM","NÃO")</f>
        <v>NÃO</v>
      </c>
      <c r="W933" s="2" t="n">
        <v>7</v>
      </c>
      <c r="X933" s="2" t="s">
        <v>156</v>
      </c>
    </row>
    <row r="934" customFormat="false" ht="15" hidden="false" customHeight="false" outlineLevel="0" collapsed="false">
      <c r="A934" s="2" t="n">
        <v>375417244</v>
      </c>
      <c r="B934" s="29" t="n">
        <v>46246.8444097222</v>
      </c>
      <c r="C934" s="2" t="s">
        <v>153</v>
      </c>
      <c r="D934" s="2" t="s">
        <v>1096</v>
      </c>
      <c r="E934" s="2" t="s">
        <v>813</v>
      </c>
      <c r="F934" s="2" t="s">
        <v>108</v>
      </c>
      <c r="G934" s="30" t="n">
        <v>44.5</v>
      </c>
      <c r="H934" s="11" t="n">
        <v>726.99</v>
      </c>
      <c r="I934" s="11" t="s">
        <v>350</v>
      </c>
      <c r="J934" s="11" t="n">
        <v>131.38</v>
      </c>
      <c r="K934" s="11" t="n">
        <v>129.29</v>
      </c>
      <c r="L934" s="11" t="n">
        <v>0.727</v>
      </c>
      <c r="M934" s="11" t="n">
        <v>1.454</v>
      </c>
      <c r="N934" s="11" t="n">
        <v>1</v>
      </c>
      <c r="O934" s="11" t="n">
        <v>4.5</v>
      </c>
      <c r="P934" s="11" t="n">
        <v>2.7</v>
      </c>
      <c r="Q934" s="11" t="n">
        <v>20.25</v>
      </c>
      <c r="R934" s="11" t="n">
        <f aca="false">SUM(K934:Q934)</f>
        <v>159.921</v>
      </c>
      <c r="S934" s="11" t="n">
        <f aca="false">R934/(1-Resumo!$C$6)</f>
        <v>181.728409090909</v>
      </c>
      <c r="T934" s="11" t="n">
        <f aca="false">S934-J934</f>
        <v>50.3484090909091</v>
      </c>
      <c r="U934" s="12" t="n">
        <f aca="false">IFERROR(S934/J934-1,0)</f>
        <v>0.383227348842359</v>
      </c>
      <c r="V934" s="2" t="str">
        <f aca="false">IF(S934&lt;J934,"SIM","NÃO")</f>
        <v>NÃO</v>
      </c>
      <c r="W934" s="2" t="n">
        <v>10</v>
      </c>
      <c r="X934" s="2" t="s">
        <v>161</v>
      </c>
    </row>
    <row r="935" customFormat="false" ht="15" hidden="false" customHeight="false" outlineLevel="0" collapsed="false">
      <c r="A935" s="2" t="n">
        <v>375432759</v>
      </c>
      <c r="B935" s="29" t="n">
        <v>46246.8766319445</v>
      </c>
      <c r="C935" s="2" t="s">
        <v>326</v>
      </c>
      <c r="D935" s="2" t="s">
        <v>1097</v>
      </c>
      <c r="E935" s="2" t="s">
        <v>78</v>
      </c>
      <c r="F935" s="2" t="s">
        <v>106</v>
      </c>
      <c r="G935" s="30" t="n">
        <v>28.1</v>
      </c>
      <c r="H935" s="11" t="n">
        <v>348.47</v>
      </c>
      <c r="I935" s="11" t="s">
        <v>350</v>
      </c>
      <c r="J935" s="11" t="n">
        <v>80.93</v>
      </c>
      <c r="K935" s="11" t="n">
        <v>82.21</v>
      </c>
      <c r="L935" s="11" t="n">
        <v>0.3485</v>
      </c>
      <c r="M935" s="11" t="n">
        <v>0.6969</v>
      </c>
      <c r="N935" s="11" t="n">
        <v>1</v>
      </c>
      <c r="O935" s="11" t="n">
        <v>4.5</v>
      </c>
      <c r="P935" s="11" t="n">
        <v>1.74</v>
      </c>
      <c r="Q935" s="11" t="n">
        <v>13.05</v>
      </c>
      <c r="R935" s="11" t="n">
        <f aca="false">SUM(K935:Q935)</f>
        <v>103.5454</v>
      </c>
      <c r="S935" s="11" t="n">
        <f aca="false">R935/(1-Resumo!$C$6)</f>
        <v>117.665227272727</v>
      </c>
      <c r="T935" s="11" t="n">
        <f aca="false">S935-J935</f>
        <v>36.7352272727272</v>
      </c>
      <c r="U935" s="12" t="n">
        <f aca="false">IFERROR(S935/J935-1,0)</f>
        <v>0.453913595362996</v>
      </c>
      <c r="V935" s="2" t="str">
        <f aca="false">IF(S935&lt;J935,"SIM","NÃO")</f>
        <v>NÃO</v>
      </c>
      <c r="W935" s="2" t="n">
        <v>5</v>
      </c>
      <c r="X935" s="2" t="s">
        <v>156</v>
      </c>
    </row>
    <row r="936" customFormat="false" ht="15" hidden="false" customHeight="false" outlineLevel="0" collapsed="false">
      <c r="A936" s="2" t="n">
        <v>375438317</v>
      </c>
      <c r="B936" s="29" t="n">
        <v>46246.8840393519</v>
      </c>
      <c r="C936" s="2" t="s">
        <v>153</v>
      </c>
      <c r="D936" s="2" t="s">
        <v>1098</v>
      </c>
      <c r="E936" s="2" t="s">
        <v>164</v>
      </c>
      <c r="F936" s="2" t="s">
        <v>107</v>
      </c>
      <c r="G936" s="30" t="n">
        <v>37.2</v>
      </c>
      <c r="H936" s="11" t="n">
        <v>360.99</v>
      </c>
      <c r="I936" s="11" t="s">
        <v>350</v>
      </c>
      <c r="J936" s="11" t="n">
        <v>113.69</v>
      </c>
      <c r="K936" s="11" t="n">
        <v>93.97</v>
      </c>
      <c r="L936" s="11" t="n">
        <v>0.361</v>
      </c>
      <c r="M936" s="11" t="n">
        <v>0.722</v>
      </c>
      <c r="N936" s="11" t="n">
        <v>1</v>
      </c>
      <c r="O936" s="11" t="n">
        <v>4.5</v>
      </c>
      <c r="P936" s="11" t="n">
        <v>2.28</v>
      </c>
      <c r="Q936" s="11" t="n">
        <v>17.1</v>
      </c>
      <c r="R936" s="11" t="n">
        <f aca="false">SUM(K936:Q936)</f>
        <v>119.933</v>
      </c>
      <c r="S936" s="11" t="n">
        <f aca="false">R936/(1-Resumo!$C$6)</f>
        <v>136.2875</v>
      </c>
      <c r="T936" s="11" t="n">
        <f aca="false">S936-J936</f>
        <v>22.5975</v>
      </c>
      <c r="U936" s="12" t="n">
        <f aca="false">IFERROR(S936/J936-1,0)</f>
        <v>0.19876418330548</v>
      </c>
      <c r="V936" s="2" t="str">
        <f aca="false">IF(S936&lt;J936,"SIM","NÃO")</f>
        <v>NÃO</v>
      </c>
      <c r="W936" s="2" t="n">
        <v>5</v>
      </c>
      <c r="X936" s="2" t="s">
        <v>161</v>
      </c>
    </row>
    <row r="937" customFormat="false" ht="15" hidden="false" customHeight="false" outlineLevel="0" collapsed="false">
      <c r="A937" s="2" t="n">
        <v>375437054</v>
      </c>
      <c r="B937" s="29" t="n">
        <v>46246.8916087963</v>
      </c>
      <c r="C937" s="2" t="s">
        <v>178</v>
      </c>
      <c r="D937" s="2" t="s">
        <v>1099</v>
      </c>
      <c r="E937" s="2" t="s">
        <v>78</v>
      </c>
      <c r="F937" s="2" t="s">
        <v>107</v>
      </c>
      <c r="G937" s="30" t="n">
        <v>36.8</v>
      </c>
      <c r="H937" s="11" t="n">
        <v>424.99</v>
      </c>
      <c r="I937" s="11" t="s">
        <v>155</v>
      </c>
      <c r="J937" s="11" t="n">
        <v>91.9</v>
      </c>
      <c r="K937" s="11" t="n">
        <v>93.97</v>
      </c>
      <c r="L937" s="11" t="n">
        <v>0.425</v>
      </c>
      <c r="M937" s="11" t="n">
        <v>0.85</v>
      </c>
      <c r="N937" s="11" t="n">
        <v>1</v>
      </c>
      <c r="O937" s="11" t="n">
        <v>4.5</v>
      </c>
      <c r="P937" s="11" t="n">
        <v>2.22</v>
      </c>
      <c r="Q937" s="11" t="n">
        <v>16.65</v>
      </c>
      <c r="R937" s="11" t="n">
        <f aca="false">SUM(K937:Q937)</f>
        <v>119.615</v>
      </c>
      <c r="S937" s="11" t="n">
        <f aca="false">R937/(1-Resumo!$C$6)</f>
        <v>135.926136363636</v>
      </c>
      <c r="T937" s="11" t="n">
        <f aca="false">S937-J937</f>
        <v>44.0261363636364</v>
      </c>
      <c r="U937" s="12" t="n">
        <f aca="false">IFERROR(S937/J937-1,0)</f>
        <v>0.479065684043921</v>
      </c>
      <c r="V937" s="2" t="str">
        <f aca="false">IF(S937&lt;J937,"SIM","NÃO")</f>
        <v>NÃO</v>
      </c>
      <c r="W937" s="2" t="n">
        <v>5</v>
      </c>
      <c r="X937" s="2" t="s">
        <v>156</v>
      </c>
    </row>
    <row r="938" customFormat="false" ht="15" hidden="false" customHeight="false" outlineLevel="0" collapsed="false">
      <c r="A938" s="2" t="n">
        <v>375474705</v>
      </c>
      <c r="B938" s="29" t="n">
        <v>46246.943587963</v>
      </c>
      <c r="C938" s="2" t="s">
        <v>153</v>
      </c>
      <c r="D938" s="2" t="s">
        <v>1100</v>
      </c>
      <c r="E938" s="2" t="s">
        <v>78</v>
      </c>
      <c r="F938" s="2" t="s">
        <v>107</v>
      </c>
      <c r="G938" s="30" t="n">
        <v>37.2</v>
      </c>
      <c r="H938" s="11" t="n">
        <v>360.99</v>
      </c>
      <c r="I938" s="11" t="s">
        <v>155</v>
      </c>
      <c r="J938" s="11" t="n">
        <v>91.58</v>
      </c>
      <c r="K938" s="11" t="n">
        <v>93.97</v>
      </c>
      <c r="L938" s="11" t="n">
        <v>0.361</v>
      </c>
      <c r="M938" s="11" t="n">
        <v>0.722</v>
      </c>
      <c r="N938" s="11" t="n">
        <v>1</v>
      </c>
      <c r="O938" s="11" t="n">
        <v>4.5</v>
      </c>
      <c r="P938" s="11" t="n">
        <v>2.28</v>
      </c>
      <c r="Q938" s="11" t="n">
        <v>17.1</v>
      </c>
      <c r="R938" s="11" t="n">
        <f aca="false">SUM(K938:Q938)</f>
        <v>119.933</v>
      </c>
      <c r="S938" s="11" t="n">
        <f aca="false">R938/(1-Resumo!$C$6)</f>
        <v>136.2875</v>
      </c>
      <c r="T938" s="11" t="n">
        <f aca="false">S938-J938</f>
        <v>44.7075</v>
      </c>
      <c r="U938" s="12" t="n">
        <f aca="false">IFERROR(S938/J938-1,0)</f>
        <v>0.488179733566281</v>
      </c>
      <c r="V938" s="2" t="str">
        <f aca="false">IF(S938&lt;J938,"SIM","NÃO")</f>
        <v>NÃO</v>
      </c>
      <c r="W938" s="2" t="n">
        <v>5</v>
      </c>
      <c r="X938" s="2" t="s">
        <v>156</v>
      </c>
    </row>
    <row r="939" customFormat="false" ht="15" hidden="false" customHeight="false" outlineLevel="0" collapsed="false">
      <c r="A939" s="2" t="n">
        <v>375492024</v>
      </c>
      <c r="B939" s="29" t="n">
        <v>46246.9739814815</v>
      </c>
      <c r="C939" s="2" t="s">
        <v>326</v>
      </c>
      <c r="D939" s="2" t="s">
        <v>273</v>
      </c>
      <c r="E939" s="2" t="s">
        <v>78</v>
      </c>
      <c r="F939" s="2" t="s">
        <v>106</v>
      </c>
      <c r="G939" s="30" t="n">
        <v>27</v>
      </c>
      <c r="H939" s="11" t="n">
        <v>316.79</v>
      </c>
      <c r="I939" s="11" t="s">
        <v>155</v>
      </c>
      <c r="J939" s="11" t="n">
        <v>81.83</v>
      </c>
      <c r="K939" s="11" t="n">
        <v>82.21</v>
      </c>
      <c r="L939" s="11" t="n">
        <v>0.3168</v>
      </c>
      <c r="M939" s="11" t="n">
        <v>0.6336</v>
      </c>
      <c r="N939" s="11" t="n">
        <v>1</v>
      </c>
      <c r="O939" s="11" t="n">
        <v>4.5</v>
      </c>
      <c r="P939" s="11" t="n">
        <v>1.62</v>
      </c>
      <c r="Q939" s="11" t="n">
        <v>12.15</v>
      </c>
      <c r="R939" s="11" t="n">
        <f aca="false">SUM(K939:Q939)</f>
        <v>102.4304</v>
      </c>
      <c r="S939" s="11" t="n">
        <f aca="false">R939/(1-Resumo!$C$6)</f>
        <v>116.398181818182</v>
      </c>
      <c r="T939" s="11" t="n">
        <f aca="false">S939-J939</f>
        <v>34.5681818181818</v>
      </c>
      <c r="U939" s="12" t="n">
        <f aca="false">IFERROR(S939/J939-1,0)</f>
        <v>0.422438981036073</v>
      </c>
      <c r="V939" s="2" t="str">
        <f aca="false">IF(S939&lt;J939,"SIM","NÃO")</f>
        <v>NÃO</v>
      </c>
      <c r="W939" s="2" t="n">
        <v>5</v>
      </c>
      <c r="X939" s="2" t="s">
        <v>156</v>
      </c>
    </row>
    <row r="940" customFormat="false" ht="15" hidden="false" customHeight="false" outlineLevel="0" collapsed="false">
      <c r="A940" s="2" t="n">
        <v>375495487</v>
      </c>
      <c r="B940" s="29" t="n">
        <v>46246.98375</v>
      </c>
      <c r="C940" s="2" t="s">
        <v>153</v>
      </c>
      <c r="D940" s="2" t="s">
        <v>1101</v>
      </c>
      <c r="E940" s="2" t="s">
        <v>78</v>
      </c>
      <c r="F940" s="2" t="s">
        <v>105</v>
      </c>
      <c r="G940" s="30" t="n">
        <v>15</v>
      </c>
      <c r="H940" s="11" t="n">
        <v>216.99</v>
      </c>
      <c r="I940" s="11" t="s">
        <v>155</v>
      </c>
      <c r="J940" s="11" t="n">
        <v>64.25</v>
      </c>
      <c r="K940" s="11" t="n">
        <v>46.98</v>
      </c>
      <c r="L940" s="11" t="n">
        <v>0.217</v>
      </c>
      <c r="M940" s="11" t="n">
        <v>0.434</v>
      </c>
      <c r="N940" s="11" t="n">
        <v>1</v>
      </c>
      <c r="O940" s="11" t="n">
        <v>4.5</v>
      </c>
      <c r="P940" s="11" t="n">
        <v>0.9</v>
      </c>
      <c r="Q940" s="11" t="n">
        <v>6.75</v>
      </c>
      <c r="R940" s="11" t="n">
        <f aca="false">SUM(K940:Q940)</f>
        <v>60.781</v>
      </c>
      <c r="S940" s="11" t="n">
        <f aca="false">R940/(1-Resumo!$C$6)</f>
        <v>69.0693181818182</v>
      </c>
      <c r="T940" s="11" t="n">
        <f aca="false">S940-J940</f>
        <v>4.81931818181818</v>
      </c>
      <c r="U940" s="12" t="n">
        <f aca="false">IFERROR(S940/J940-1,0)</f>
        <v>0.075008843296781</v>
      </c>
      <c r="V940" s="2" t="str">
        <f aca="false">IF(S940&lt;J940,"SIM","NÃO")</f>
        <v>NÃO</v>
      </c>
      <c r="W940" s="2" t="n">
        <v>5</v>
      </c>
      <c r="X940" s="2" t="s">
        <v>156</v>
      </c>
    </row>
    <row r="941" customFormat="false" ht="15" hidden="false" customHeight="false" outlineLevel="0" collapsed="false">
      <c r="A941" s="2" t="n">
        <v>375619995</v>
      </c>
      <c r="B941" s="29" t="n">
        <v>46247.3481597222</v>
      </c>
      <c r="C941" s="2" t="s">
        <v>153</v>
      </c>
      <c r="D941" s="2" t="s">
        <v>1102</v>
      </c>
      <c r="E941" s="2" t="s">
        <v>83</v>
      </c>
      <c r="F941" s="2" t="s">
        <v>106</v>
      </c>
      <c r="G941" s="30" t="n">
        <v>27</v>
      </c>
      <c r="H941" s="11" t="n">
        <v>297.99</v>
      </c>
      <c r="I941" s="11" t="s">
        <v>350</v>
      </c>
      <c r="J941" s="11" t="n">
        <v>106.41</v>
      </c>
      <c r="K941" s="11" t="n">
        <v>138.29</v>
      </c>
      <c r="L941" s="11" t="n">
        <v>0.298</v>
      </c>
      <c r="M941" s="11" t="n">
        <v>0.596</v>
      </c>
      <c r="N941" s="11" t="n">
        <v>1</v>
      </c>
      <c r="O941" s="11" t="n">
        <v>4.5</v>
      </c>
      <c r="P941" s="11" t="n">
        <v>1.62</v>
      </c>
      <c r="Q941" s="11" t="n">
        <v>12.15</v>
      </c>
      <c r="R941" s="11" t="n">
        <f aca="false">SUM(K941:Q941)</f>
        <v>158.454</v>
      </c>
      <c r="S941" s="11" t="n">
        <f aca="false">R941/(1-Resumo!$C$6)</f>
        <v>180.061363636364</v>
      </c>
      <c r="T941" s="11" t="n">
        <f aca="false">S941-J941</f>
        <v>73.6513636363636</v>
      </c>
      <c r="U941" s="12" t="n">
        <f aca="false">IFERROR(S941/J941-1,0)</f>
        <v>0.692147012840557</v>
      </c>
      <c r="V941" s="2" t="str">
        <f aca="false">IF(S941&lt;J941,"SIM","NÃO")</f>
        <v>NÃO</v>
      </c>
      <c r="W941" s="2" t="n">
        <v>11</v>
      </c>
      <c r="X941" s="2" t="s">
        <v>156</v>
      </c>
    </row>
    <row r="942" customFormat="false" ht="15" hidden="false" customHeight="false" outlineLevel="0" collapsed="false">
      <c r="A942" s="2" t="n">
        <v>375655215</v>
      </c>
      <c r="B942" s="29" t="n">
        <v>46247.4041782407</v>
      </c>
      <c r="C942" s="2" t="s">
        <v>153</v>
      </c>
      <c r="D942" s="2" t="s">
        <v>1103</v>
      </c>
      <c r="E942" s="2" t="s">
        <v>97</v>
      </c>
      <c r="F942" s="2" t="s">
        <v>109</v>
      </c>
      <c r="G942" s="30" t="n">
        <v>59.9</v>
      </c>
      <c r="H942" s="11" t="n">
        <v>919.99</v>
      </c>
      <c r="I942" s="11" t="s">
        <v>350</v>
      </c>
      <c r="J942" s="11" t="n">
        <v>146.64</v>
      </c>
      <c r="K942" s="11" t="n">
        <v>142.32</v>
      </c>
      <c r="L942" s="11" t="n">
        <v>0.92</v>
      </c>
      <c r="M942" s="11" t="n">
        <v>1.84</v>
      </c>
      <c r="N942" s="11" t="n">
        <v>1</v>
      </c>
      <c r="O942" s="11" t="n">
        <v>4.5</v>
      </c>
      <c r="P942" s="11" t="n">
        <v>3.6</v>
      </c>
      <c r="Q942" s="11" t="n">
        <v>27</v>
      </c>
      <c r="R942" s="11" t="n">
        <f aca="false">SUM(K942:Q942)</f>
        <v>181.18</v>
      </c>
      <c r="S942" s="11" t="n">
        <f aca="false">R942/(1-Resumo!$C$6)</f>
        <v>205.886363636364</v>
      </c>
      <c r="T942" s="11" t="n">
        <f aca="false">S942-J942</f>
        <v>59.2463636363637</v>
      </c>
      <c r="U942" s="12" t="n">
        <f aca="false">IFERROR(S942/J942-1,0)</f>
        <v>0.404025938600407</v>
      </c>
      <c r="V942" s="2" t="str">
        <f aca="false">IF(S942&lt;J942,"SIM","NÃO")</f>
        <v>NÃO</v>
      </c>
      <c r="W942" s="2" t="n">
        <v>10</v>
      </c>
      <c r="X942" s="2" t="s">
        <v>156</v>
      </c>
    </row>
    <row r="943" customFormat="false" ht="15" hidden="false" customHeight="false" outlineLevel="0" collapsed="false">
      <c r="A943" s="2" t="n">
        <v>375682640</v>
      </c>
      <c r="B943" s="29" t="n">
        <v>46247.4541782407</v>
      </c>
      <c r="C943" s="2" t="s">
        <v>191</v>
      </c>
      <c r="D943" s="2" t="s">
        <v>1104</v>
      </c>
      <c r="E943" s="2" t="s">
        <v>83</v>
      </c>
      <c r="F943" s="2" t="s">
        <v>107</v>
      </c>
      <c r="G943" s="30" t="n">
        <v>39.9</v>
      </c>
      <c r="H943" s="11" t="n">
        <v>619.99</v>
      </c>
      <c r="I943" s="11" t="s">
        <v>350</v>
      </c>
      <c r="J943" s="11" t="n">
        <v>125.19</v>
      </c>
      <c r="K943" s="11" t="n">
        <v>143.04</v>
      </c>
      <c r="L943" s="11" t="n">
        <v>0.62</v>
      </c>
      <c r="M943" s="11" t="n">
        <v>1.24</v>
      </c>
      <c r="N943" s="11" t="n">
        <v>1</v>
      </c>
      <c r="O943" s="11" t="n">
        <v>4.5</v>
      </c>
      <c r="P943" s="11" t="n">
        <v>2.4</v>
      </c>
      <c r="Q943" s="11" t="n">
        <v>18</v>
      </c>
      <c r="R943" s="11" t="n">
        <f aca="false">SUM(K943:Q943)</f>
        <v>170.8</v>
      </c>
      <c r="S943" s="11" t="n">
        <f aca="false">R943/(1-Resumo!$C$6)</f>
        <v>194.090909090909</v>
      </c>
      <c r="T943" s="11" t="n">
        <f aca="false">S943-J943</f>
        <v>68.9009090909091</v>
      </c>
      <c r="U943" s="12" t="n">
        <f aca="false">IFERROR(S943/J943-1,0)</f>
        <v>0.550370709249214</v>
      </c>
      <c r="V943" s="2" t="str">
        <f aca="false">IF(S943&lt;J943,"SIM","NÃO")</f>
        <v>NÃO</v>
      </c>
      <c r="W943" s="2" t="n">
        <v>11</v>
      </c>
      <c r="X943" s="2" t="s">
        <v>156</v>
      </c>
    </row>
    <row r="944" customFormat="false" ht="15" hidden="false" customHeight="false" outlineLevel="0" collapsed="false">
      <c r="A944" s="2" t="n">
        <v>375690607</v>
      </c>
      <c r="B944" s="29" t="n">
        <v>46247.459849537</v>
      </c>
      <c r="C944" s="2" t="s">
        <v>158</v>
      </c>
      <c r="D944" s="2" t="s">
        <v>1105</v>
      </c>
      <c r="E944" s="2" t="s">
        <v>95</v>
      </c>
      <c r="F944" s="2" t="s">
        <v>106</v>
      </c>
      <c r="G944" s="30" t="n">
        <v>31.4</v>
      </c>
      <c r="H944" s="11" t="n">
        <v>369.52</v>
      </c>
      <c r="I944" s="11" t="s">
        <v>350</v>
      </c>
      <c r="J944" s="11" t="n">
        <v>109.31</v>
      </c>
      <c r="K944" s="11" t="n">
        <v>103.28</v>
      </c>
      <c r="L944" s="11" t="n">
        <v>0.3695</v>
      </c>
      <c r="M944" s="11" t="n">
        <v>0.739</v>
      </c>
      <c r="N944" s="11" t="n">
        <v>1</v>
      </c>
      <c r="O944" s="11" t="n">
        <v>4.5</v>
      </c>
      <c r="P944" s="11" t="n">
        <v>1.92</v>
      </c>
      <c r="Q944" s="11" t="n">
        <v>14.4</v>
      </c>
      <c r="R944" s="11" t="n">
        <f aca="false">SUM(K944:Q944)</f>
        <v>126.2085</v>
      </c>
      <c r="S944" s="11" t="n">
        <f aca="false">R944/(1-Resumo!$C$6)</f>
        <v>143.41875</v>
      </c>
      <c r="T944" s="11" t="n">
        <f aca="false">S944-J944</f>
        <v>34.10875</v>
      </c>
      <c r="U944" s="12" t="n">
        <f aca="false">IFERROR(S944/J944-1,0)</f>
        <v>0.312036867624188</v>
      </c>
      <c r="V944" s="2" t="str">
        <f aca="false">IF(S944&lt;J944,"SIM","NÃO")</f>
        <v>NÃO</v>
      </c>
      <c r="W944" s="2" t="n">
        <v>6</v>
      </c>
      <c r="X944" s="2" t="s">
        <v>156</v>
      </c>
    </row>
    <row r="945" customFormat="false" ht="15" hidden="false" customHeight="false" outlineLevel="0" collapsed="false">
      <c r="A945" s="2" t="n">
        <v>375691228</v>
      </c>
      <c r="B945" s="29" t="n">
        <v>46247.4607291667</v>
      </c>
      <c r="C945" s="2" t="s">
        <v>158</v>
      </c>
      <c r="D945" s="2" t="s">
        <v>1106</v>
      </c>
      <c r="E945" s="2" t="s">
        <v>78</v>
      </c>
      <c r="F945" s="2" t="s">
        <v>106</v>
      </c>
      <c r="G945" s="30" t="n">
        <v>27.5</v>
      </c>
      <c r="H945" s="11" t="n">
        <v>336.59</v>
      </c>
      <c r="I945" s="11" t="s">
        <v>155</v>
      </c>
      <c r="J945" s="11" t="n">
        <v>81.93</v>
      </c>
      <c r="K945" s="11" t="n">
        <v>82.21</v>
      </c>
      <c r="L945" s="11" t="n">
        <v>0.3366</v>
      </c>
      <c r="M945" s="11" t="n">
        <v>0.6732</v>
      </c>
      <c r="N945" s="11" t="n">
        <v>1</v>
      </c>
      <c r="O945" s="11" t="n">
        <v>4.5</v>
      </c>
      <c r="P945" s="11" t="n">
        <v>1.68</v>
      </c>
      <c r="Q945" s="11" t="n">
        <v>12.6</v>
      </c>
      <c r="R945" s="11" t="n">
        <f aca="false">SUM(K945:Q945)</f>
        <v>102.9998</v>
      </c>
      <c r="S945" s="11" t="n">
        <f aca="false">R945/(1-Resumo!$C$6)</f>
        <v>117.045227272727</v>
      </c>
      <c r="T945" s="11" t="n">
        <f aca="false">S945-J945</f>
        <v>35.1152272727273</v>
      </c>
      <c r="U945" s="12" t="n">
        <f aca="false">IFERROR(S945/J945-1,0)</f>
        <v>0.428600357289482</v>
      </c>
      <c r="V945" s="2" t="str">
        <f aca="false">IF(S945&lt;J945,"SIM","NÃO")</f>
        <v>NÃO</v>
      </c>
      <c r="W945" s="2" t="n">
        <v>5</v>
      </c>
      <c r="X945" s="2" t="s">
        <v>156</v>
      </c>
    </row>
    <row r="946" customFormat="false" ht="15" hidden="false" customHeight="false" outlineLevel="0" collapsed="false">
      <c r="A946" s="2" t="n">
        <v>375720720</v>
      </c>
      <c r="B946" s="29" t="n">
        <v>46247.4883564815</v>
      </c>
      <c r="C946" s="2" t="s">
        <v>369</v>
      </c>
      <c r="D946" s="2" t="s">
        <v>1107</v>
      </c>
      <c r="E946" s="2" t="s">
        <v>78</v>
      </c>
      <c r="F946" s="2" t="s">
        <v>106</v>
      </c>
      <c r="G946" s="30" t="n">
        <v>35</v>
      </c>
      <c r="H946" s="11" t="n">
        <v>459.99</v>
      </c>
      <c r="I946" s="11" t="s">
        <v>155</v>
      </c>
      <c r="J946" s="11" t="n">
        <v>82.53</v>
      </c>
      <c r="K946" s="11" t="n">
        <v>82.21</v>
      </c>
      <c r="L946" s="11" t="n">
        <v>0.46</v>
      </c>
      <c r="M946" s="11" t="n">
        <v>0.92</v>
      </c>
      <c r="N946" s="11" t="n">
        <v>1</v>
      </c>
      <c r="O946" s="11" t="n">
        <v>4.5</v>
      </c>
      <c r="P946" s="11" t="n">
        <v>2.1</v>
      </c>
      <c r="Q946" s="11" t="n">
        <v>15.75</v>
      </c>
      <c r="R946" s="11" t="n">
        <f aca="false">SUM(K946:Q946)</f>
        <v>106.94</v>
      </c>
      <c r="S946" s="11" t="n">
        <f aca="false">R946/(1-Resumo!$C$6)</f>
        <v>121.522727272727</v>
      </c>
      <c r="T946" s="11" t="n">
        <f aca="false">S946-J946</f>
        <v>38.9927272727273</v>
      </c>
      <c r="U946" s="12" t="n">
        <f aca="false">IFERROR(S946/J946-1,0)</f>
        <v>0.472467312161968</v>
      </c>
      <c r="V946" s="2" t="str">
        <f aca="false">IF(S946&lt;J946,"SIM","NÃO")</f>
        <v>NÃO</v>
      </c>
      <c r="W946" s="2" t="n">
        <v>5</v>
      </c>
      <c r="X946" s="2" t="s">
        <v>156</v>
      </c>
    </row>
    <row r="947" customFormat="false" ht="15" hidden="false" customHeight="false" outlineLevel="0" collapsed="false">
      <c r="A947" s="2" t="n">
        <v>375720188</v>
      </c>
      <c r="B947" s="29" t="n">
        <v>46247.5072453704</v>
      </c>
      <c r="C947" s="2" t="s">
        <v>153</v>
      </c>
      <c r="D947" s="2" t="s">
        <v>1108</v>
      </c>
      <c r="E947" s="2" t="s">
        <v>78</v>
      </c>
      <c r="F947" s="2" t="s">
        <v>107</v>
      </c>
      <c r="G947" s="30" t="n">
        <v>40</v>
      </c>
      <c r="H947" s="11" t="n">
        <v>599.99</v>
      </c>
      <c r="I947" s="11" t="s">
        <v>155</v>
      </c>
      <c r="J947" s="11" t="n">
        <v>92.73</v>
      </c>
      <c r="K947" s="11" t="n">
        <v>93.97</v>
      </c>
      <c r="L947" s="11" t="n">
        <v>0.6</v>
      </c>
      <c r="M947" s="11" t="n">
        <v>1.2</v>
      </c>
      <c r="N947" s="11" t="n">
        <v>1</v>
      </c>
      <c r="O947" s="11" t="n">
        <v>4.5</v>
      </c>
      <c r="P947" s="11" t="n">
        <v>2.4</v>
      </c>
      <c r="Q947" s="11" t="n">
        <v>18</v>
      </c>
      <c r="R947" s="11" t="n">
        <f aca="false">SUM(K947:Q947)</f>
        <v>121.67</v>
      </c>
      <c r="S947" s="11" t="n">
        <f aca="false">R947/(1-Resumo!$C$6)</f>
        <v>138.261363636364</v>
      </c>
      <c r="T947" s="11" t="n">
        <f aca="false">S947-J947</f>
        <v>45.5313636363636</v>
      </c>
      <c r="U947" s="12" t="n">
        <f aca="false">IFERROR(S947/J947-1,0)</f>
        <v>0.491010068331323</v>
      </c>
      <c r="V947" s="2" t="str">
        <f aca="false">IF(S947&lt;J947,"SIM","NÃO")</f>
        <v>NÃO</v>
      </c>
      <c r="W947" s="2" t="n">
        <v>5</v>
      </c>
      <c r="X947" s="2" t="s">
        <v>156</v>
      </c>
    </row>
    <row r="948" customFormat="false" ht="15" hidden="false" customHeight="false" outlineLevel="0" collapsed="false">
      <c r="A948" s="2" t="n">
        <v>375737534</v>
      </c>
      <c r="B948" s="29" t="n">
        <v>46247.5566435185</v>
      </c>
      <c r="C948" s="2" t="s">
        <v>178</v>
      </c>
      <c r="D948" s="2" t="s">
        <v>1109</v>
      </c>
      <c r="E948" s="2" t="s">
        <v>91</v>
      </c>
      <c r="F948" s="2" t="s">
        <v>107</v>
      </c>
      <c r="G948" s="30" t="n">
        <v>36.9</v>
      </c>
      <c r="H948" s="11" t="n">
        <v>390.99</v>
      </c>
      <c r="I948" s="11" t="s">
        <v>350</v>
      </c>
      <c r="J948" s="11" t="n">
        <v>122.57</v>
      </c>
      <c r="K948" s="11" t="n">
        <v>124.38</v>
      </c>
      <c r="L948" s="11" t="n">
        <v>0.391</v>
      </c>
      <c r="M948" s="11" t="n">
        <v>0.782</v>
      </c>
      <c r="N948" s="11" t="n">
        <v>1</v>
      </c>
      <c r="O948" s="11" t="n">
        <v>4.5</v>
      </c>
      <c r="P948" s="11" t="n">
        <v>2.22</v>
      </c>
      <c r="Q948" s="11" t="n">
        <v>16.65</v>
      </c>
      <c r="R948" s="11" t="n">
        <f aca="false">SUM(K948:Q948)</f>
        <v>149.923</v>
      </c>
      <c r="S948" s="11" t="n">
        <f aca="false">R948/(1-Resumo!$C$6)</f>
        <v>170.367045454545</v>
      </c>
      <c r="T948" s="11" t="n">
        <f aca="false">S948-J948</f>
        <v>47.7970454545455</v>
      </c>
      <c r="U948" s="12" t="n">
        <f aca="false">IFERROR(S948/J948-1,0)</f>
        <v>0.389957130248393</v>
      </c>
      <c r="V948" s="2" t="str">
        <f aca="false">IF(S948&lt;J948,"SIM","NÃO")</f>
        <v>NÃO</v>
      </c>
      <c r="W948" s="2" t="n">
        <v>10</v>
      </c>
      <c r="X948" s="2" t="s">
        <v>156</v>
      </c>
    </row>
    <row r="949" customFormat="false" ht="15" hidden="false" customHeight="false" outlineLevel="0" collapsed="false">
      <c r="A949" s="2" t="n">
        <v>375747703</v>
      </c>
      <c r="B949" s="29" t="n">
        <v>46247.5631597222</v>
      </c>
      <c r="C949" s="2" t="s">
        <v>153</v>
      </c>
      <c r="D949" s="2" t="s">
        <v>1058</v>
      </c>
      <c r="E949" s="2" t="s">
        <v>78</v>
      </c>
      <c r="F949" s="2" t="s">
        <v>110</v>
      </c>
      <c r="G949" s="30" t="n">
        <v>66.8</v>
      </c>
      <c r="H949" s="11" t="n">
        <v>629.99</v>
      </c>
      <c r="I949" s="11" t="s">
        <v>155</v>
      </c>
      <c r="J949" s="11" t="n">
        <v>124.23</v>
      </c>
      <c r="K949" s="11" t="n">
        <v>131.02</v>
      </c>
      <c r="L949" s="11" t="n">
        <v>0.63</v>
      </c>
      <c r="M949" s="11" t="n">
        <v>1.26</v>
      </c>
      <c r="N949" s="11" t="n">
        <v>1</v>
      </c>
      <c r="O949" s="11" t="n">
        <v>4.5</v>
      </c>
      <c r="P949" s="11" t="n">
        <v>4.02</v>
      </c>
      <c r="Q949" s="11" t="n">
        <v>30.15</v>
      </c>
      <c r="R949" s="11" t="n">
        <f aca="false">SUM(K949:Q949)</f>
        <v>172.58</v>
      </c>
      <c r="S949" s="11" t="n">
        <f aca="false">R949/(1-Resumo!$C$6)</f>
        <v>196.113636363636</v>
      </c>
      <c r="T949" s="11" t="n">
        <f aca="false">S949-J949</f>
        <v>71.8836363636364</v>
      </c>
      <c r="U949" s="12" t="n">
        <f aca="false">IFERROR(S949/J949-1,0)</f>
        <v>0.578633473103408</v>
      </c>
      <c r="V949" s="2" t="str">
        <f aca="false">IF(S949&lt;J949,"SIM","NÃO")</f>
        <v>NÃO</v>
      </c>
      <c r="W949" s="2" t="n">
        <v>5</v>
      </c>
      <c r="X949" s="2" t="s">
        <v>156</v>
      </c>
    </row>
    <row r="950" customFormat="false" ht="15" hidden="false" customHeight="false" outlineLevel="0" collapsed="false">
      <c r="A950" s="2" t="n">
        <v>375760304</v>
      </c>
      <c r="B950" s="29" t="n">
        <v>46247.5811921296</v>
      </c>
      <c r="C950" s="2" t="s">
        <v>153</v>
      </c>
      <c r="D950" s="2" t="s">
        <v>1110</v>
      </c>
      <c r="E950" s="2" t="s">
        <v>80</v>
      </c>
      <c r="F950" s="2" t="s">
        <v>106</v>
      </c>
      <c r="G950" s="30" t="n">
        <v>27</v>
      </c>
      <c r="H950" s="11" t="n">
        <v>329.99</v>
      </c>
      <c r="I950" s="11" t="s">
        <v>155</v>
      </c>
      <c r="J950" s="11" t="n">
        <v>100.97</v>
      </c>
      <c r="K950" s="11" t="n">
        <v>82.21</v>
      </c>
      <c r="L950" s="11" t="n">
        <v>0.33</v>
      </c>
      <c r="M950" s="11" t="n">
        <v>0.66</v>
      </c>
      <c r="N950" s="11" t="n">
        <v>1</v>
      </c>
      <c r="O950" s="11" t="n">
        <v>4.5</v>
      </c>
      <c r="P950" s="11" t="n">
        <v>1.62</v>
      </c>
      <c r="Q950" s="11" t="n">
        <v>12.15</v>
      </c>
      <c r="R950" s="11" t="n">
        <f aca="false">SUM(K950:Q950)</f>
        <v>102.47</v>
      </c>
      <c r="S950" s="11" t="n">
        <f aca="false">R950/(1-Resumo!$C$6)</f>
        <v>116.443181818182</v>
      </c>
      <c r="T950" s="11" t="n">
        <f aca="false">S950-J950</f>
        <v>15.4731818181818</v>
      </c>
      <c r="U950" s="12" t="n">
        <f aca="false">IFERROR(S950/J950-1,0)</f>
        <v>0.153245338399344</v>
      </c>
      <c r="V950" s="2" t="str">
        <f aca="false">IF(S950&lt;J950,"SIM","NÃO")</f>
        <v>NÃO</v>
      </c>
      <c r="W950" s="2" t="n">
        <v>5</v>
      </c>
      <c r="X950" s="2" t="s">
        <v>156</v>
      </c>
    </row>
    <row r="951" customFormat="false" ht="15" hidden="false" customHeight="false" outlineLevel="0" collapsed="false">
      <c r="A951" s="2" t="n">
        <v>375767251</v>
      </c>
      <c r="B951" s="29" t="n">
        <v>46247.5911921296</v>
      </c>
      <c r="C951" s="2" t="s">
        <v>153</v>
      </c>
      <c r="D951" s="2" t="s">
        <v>1111</v>
      </c>
      <c r="E951" s="2" t="s">
        <v>79</v>
      </c>
      <c r="F951" s="2" t="s">
        <v>110</v>
      </c>
      <c r="G951" s="30" t="n">
        <v>66.8</v>
      </c>
      <c r="H951" s="11" t="n">
        <v>629.99</v>
      </c>
      <c r="I951" s="11" t="s">
        <v>350</v>
      </c>
      <c r="J951" s="11" t="n">
        <v>140.84</v>
      </c>
      <c r="K951" s="11" t="n">
        <v>149.5</v>
      </c>
      <c r="L951" s="11" t="n">
        <v>0.63</v>
      </c>
      <c r="M951" s="11" t="n">
        <v>1.26</v>
      </c>
      <c r="N951" s="11" t="n">
        <v>1</v>
      </c>
      <c r="O951" s="11" t="n">
        <v>4.5</v>
      </c>
      <c r="P951" s="11" t="n">
        <v>4.02</v>
      </c>
      <c r="Q951" s="11" t="n">
        <v>30.15</v>
      </c>
      <c r="R951" s="11" t="n">
        <f aca="false">SUM(K951:Q951)</f>
        <v>191.06</v>
      </c>
      <c r="S951" s="11" t="n">
        <f aca="false">R951/(1-Resumo!$C$6)</f>
        <v>217.113636363636</v>
      </c>
      <c r="T951" s="11" t="n">
        <f aca="false">S951-J951</f>
        <v>76.2736363636364</v>
      </c>
      <c r="U951" s="12" t="n">
        <f aca="false">IFERROR(S951/J951-1,0)</f>
        <v>0.541562314425138</v>
      </c>
      <c r="V951" s="2" t="str">
        <f aca="false">IF(S951&lt;J951,"SIM","NÃO")</f>
        <v>NÃO</v>
      </c>
      <c r="W951" s="2" t="n">
        <v>7</v>
      </c>
      <c r="X951" s="2" t="s">
        <v>156</v>
      </c>
    </row>
    <row r="952" customFormat="false" ht="15" hidden="false" customHeight="false" outlineLevel="0" collapsed="false">
      <c r="A952" s="2" t="n">
        <v>375782386</v>
      </c>
      <c r="B952" s="29" t="n">
        <v>46247.6115162037</v>
      </c>
      <c r="C952" s="2" t="s">
        <v>153</v>
      </c>
      <c r="D952" s="2" t="s">
        <v>1112</v>
      </c>
      <c r="E952" s="2" t="s">
        <v>78</v>
      </c>
      <c r="F952" s="2" t="s">
        <v>110</v>
      </c>
      <c r="G952" s="30" t="n">
        <v>66.8</v>
      </c>
      <c r="H952" s="11" t="n">
        <v>629.99</v>
      </c>
      <c r="I952" s="11" t="s">
        <v>155</v>
      </c>
      <c r="J952" s="11" t="n">
        <v>124.23</v>
      </c>
      <c r="K952" s="11" t="n">
        <v>131.02</v>
      </c>
      <c r="L952" s="11" t="n">
        <v>0.63</v>
      </c>
      <c r="M952" s="11" t="n">
        <v>1.26</v>
      </c>
      <c r="N952" s="11" t="n">
        <v>1</v>
      </c>
      <c r="O952" s="11" t="n">
        <v>4.5</v>
      </c>
      <c r="P952" s="11" t="n">
        <v>4.02</v>
      </c>
      <c r="Q952" s="11" t="n">
        <v>30.15</v>
      </c>
      <c r="R952" s="11" t="n">
        <f aca="false">SUM(K952:Q952)</f>
        <v>172.58</v>
      </c>
      <c r="S952" s="11" t="n">
        <f aca="false">R952/(1-Resumo!$C$6)</f>
        <v>196.113636363636</v>
      </c>
      <c r="T952" s="11" t="n">
        <f aca="false">S952-J952</f>
        <v>71.8836363636364</v>
      </c>
      <c r="U952" s="12" t="n">
        <f aca="false">IFERROR(S952/J952-1,0)</f>
        <v>0.578633473103408</v>
      </c>
      <c r="V952" s="2" t="str">
        <f aca="false">IF(S952&lt;J952,"SIM","NÃO")</f>
        <v>NÃO</v>
      </c>
      <c r="W952" s="2" t="n">
        <v>5</v>
      </c>
      <c r="X952" s="2" t="s">
        <v>156</v>
      </c>
    </row>
    <row r="953" customFormat="false" ht="15" hidden="false" customHeight="false" outlineLevel="0" collapsed="false">
      <c r="A953" s="2" t="n">
        <v>375784299</v>
      </c>
      <c r="B953" s="29" t="n">
        <v>46247.6138078704</v>
      </c>
      <c r="C953" s="2" t="s">
        <v>153</v>
      </c>
      <c r="D953" s="2" t="s">
        <v>1113</v>
      </c>
      <c r="E953" s="2" t="s">
        <v>78</v>
      </c>
      <c r="F953" s="2" t="s">
        <v>105</v>
      </c>
      <c r="G953" s="30" t="n">
        <v>17</v>
      </c>
      <c r="H953" s="11" t="n">
        <v>225.99</v>
      </c>
      <c r="I953" s="11" t="s">
        <v>155</v>
      </c>
      <c r="J953" s="11" t="n">
        <v>64.3</v>
      </c>
      <c r="K953" s="11" t="n">
        <v>46.98</v>
      </c>
      <c r="L953" s="11" t="n">
        <v>0.226</v>
      </c>
      <c r="M953" s="11" t="n">
        <v>0.452</v>
      </c>
      <c r="N953" s="11" t="n">
        <v>1</v>
      </c>
      <c r="O953" s="11" t="n">
        <v>4.5</v>
      </c>
      <c r="P953" s="11" t="n">
        <v>1.02</v>
      </c>
      <c r="Q953" s="11" t="n">
        <v>7.65</v>
      </c>
      <c r="R953" s="11" t="n">
        <f aca="false">SUM(K953:Q953)</f>
        <v>61.828</v>
      </c>
      <c r="S953" s="11" t="n">
        <f aca="false">R953/(1-Resumo!$C$6)</f>
        <v>70.2590909090909</v>
      </c>
      <c r="T953" s="11" t="n">
        <f aca="false">S953-J953</f>
        <v>5.9590909090909</v>
      </c>
      <c r="U953" s="12" t="n">
        <f aca="false">IFERROR(S953/J953-1,0)</f>
        <v>0.0926763749469814</v>
      </c>
      <c r="V953" s="2" t="str">
        <f aca="false">IF(S953&lt;J953,"SIM","NÃO")</f>
        <v>NÃO</v>
      </c>
      <c r="W953" s="2" t="n">
        <v>5</v>
      </c>
      <c r="X953" s="2" t="s">
        <v>156</v>
      </c>
    </row>
    <row r="954" customFormat="false" ht="15" hidden="false" customHeight="false" outlineLevel="0" collapsed="false">
      <c r="A954" s="2" t="n">
        <v>375862314</v>
      </c>
      <c r="B954" s="29" t="n">
        <v>46247.6197685185</v>
      </c>
      <c r="C954" s="2" t="s">
        <v>158</v>
      </c>
      <c r="D954" s="2" t="s">
        <v>1114</v>
      </c>
      <c r="E954" s="2" t="s">
        <v>84</v>
      </c>
      <c r="F954" s="2" t="s">
        <v>108</v>
      </c>
      <c r="G954" s="30" t="n">
        <v>48</v>
      </c>
      <c r="H954" s="11" t="n">
        <v>798</v>
      </c>
      <c r="I954" s="11" t="s">
        <v>350</v>
      </c>
      <c r="J954" s="11" t="n">
        <v>119.23</v>
      </c>
      <c r="K954" s="11" t="n">
        <v>93.97</v>
      </c>
      <c r="L954" s="11" t="n">
        <v>0.798</v>
      </c>
      <c r="M954" s="11" t="n">
        <v>1.596</v>
      </c>
      <c r="N954" s="11" t="n">
        <v>1</v>
      </c>
      <c r="O954" s="11" t="n">
        <v>4.5</v>
      </c>
      <c r="P954" s="11" t="n">
        <v>2.88</v>
      </c>
      <c r="Q954" s="11" t="n">
        <v>21.6</v>
      </c>
      <c r="R954" s="11" t="n">
        <f aca="false">SUM(K954:Q954)</f>
        <v>126.344</v>
      </c>
      <c r="S954" s="11" t="n">
        <f aca="false">R954/(1-Resumo!$C$6)</f>
        <v>143.572727272727</v>
      </c>
      <c r="T954" s="11" t="n">
        <f aca="false">S954-J954</f>
        <v>24.3427272727273</v>
      </c>
      <c r="U954" s="12" t="n">
        <f aca="false">IFERROR(S954/J954-1,0)</f>
        <v>0.204166126584981</v>
      </c>
      <c r="V954" s="2" t="str">
        <f aca="false">IF(S954&lt;J954,"SIM","NÃO")</f>
        <v>NÃO</v>
      </c>
      <c r="W954" s="2" t="n">
        <v>5</v>
      </c>
      <c r="X954" s="2" t="s">
        <v>156</v>
      </c>
    </row>
    <row r="955" customFormat="false" ht="15" hidden="false" customHeight="false" outlineLevel="0" collapsed="false">
      <c r="A955" s="2" t="n">
        <v>375806355</v>
      </c>
      <c r="B955" s="29" t="n">
        <v>46247.6457638889</v>
      </c>
      <c r="C955" s="2" t="s">
        <v>153</v>
      </c>
      <c r="D955" s="2" t="s">
        <v>1115</v>
      </c>
      <c r="E955" s="2" t="s">
        <v>79</v>
      </c>
      <c r="F955" s="2" t="s">
        <v>109</v>
      </c>
      <c r="G955" s="30" t="n">
        <v>59.9</v>
      </c>
      <c r="H955" s="11" t="n">
        <v>919.99</v>
      </c>
      <c r="I955" s="11" t="s">
        <v>350</v>
      </c>
      <c r="J955" s="11" t="n">
        <v>132.32</v>
      </c>
      <c r="K955" s="11" t="n">
        <v>128.14</v>
      </c>
      <c r="L955" s="11" t="n">
        <v>0.92</v>
      </c>
      <c r="M955" s="11" t="n">
        <v>1.84</v>
      </c>
      <c r="N955" s="11" t="n">
        <v>1</v>
      </c>
      <c r="O955" s="11" t="n">
        <v>4.5</v>
      </c>
      <c r="P955" s="11" t="n">
        <v>3.6</v>
      </c>
      <c r="Q955" s="11" t="n">
        <v>27</v>
      </c>
      <c r="R955" s="11" t="n">
        <f aca="false">SUM(K955:Q955)</f>
        <v>167</v>
      </c>
      <c r="S955" s="11" t="n">
        <f aca="false">R955/(1-Resumo!$C$6)</f>
        <v>189.772727272727</v>
      </c>
      <c r="T955" s="11" t="n">
        <f aca="false">S955-J955</f>
        <v>57.4527272727273</v>
      </c>
      <c r="U955" s="12" t="n">
        <f aca="false">IFERROR(S955/J955-1,0)</f>
        <v>0.434195339122788</v>
      </c>
      <c r="V955" s="2" t="str">
        <f aca="false">IF(S955&lt;J955,"SIM","NÃO")</f>
        <v>NÃO</v>
      </c>
      <c r="W955" s="2" t="n">
        <v>7</v>
      </c>
      <c r="X955" s="2" t="s">
        <v>156</v>
      </c>
    </row>
    <row r="956" customFormat="false" ht="15" hidden="false" customHeight="false" outlineLevel="0" collapsed="false">
      <c r="A956" s="2" t="n">
        <v>375816499</v>
      </c>
      <c r="B956" s="29" t="n">
        <v>46247.6703356481</v>
      </c>
      <c r="C956" s="2" t="s">
        <v>153</v>
      </c>
      <c r="D956" s="2" t="s">
        <v>1116</v>
      </c>
      <c r="E956" s="2" t="s">
        <v>97</v>
      </c>
      <c r="F956" s="2" t="s">
        <v>109</v>
      </c>
      <c r="G956" s="30" t="n">
        <v>59.9</v>
      </c>
      <c r="H956" s="11" t="n">
        <v>919.99</v>
      </c>
      <c r="I956" s="11" t="s">
        <v>350</v>
      </c>
      <c r="J956" s="11" t="n">
        <v>146.64</v>
      </c>
      <c r="K956" s="11" t="n">
        <v>142.32</v>
      </c>
      <c r="L956" s="11" t="n">
        <v>0.92</v>
      </c>
      <c r="M956" s="11" t="n">
        <v>1.84</v>
      </c>
      <c r="N956" s="11" t="n">
        <v>1</v>
      </c>
      <c r="O956" s="11" t="n">
        <v>4.5</v>
      </c>
      <c r="P956" s="11" t="n">
        <v>3.6</v>
      </c>
      <c r="Q956" s="11" t="n">
        <v>27</v>
      </c>
      <c r="R956" s="11" t="n">
        <f aca="false">SUM(K956:Q956)</f>
        <v>181.18</v>
      </c>
      <c r="S956" s="11" t="n">
        <f aca="false">R956/(1-Resumo!$C$6)</f>
        <v>205.886363636364</v>
      </c>
      <c r="T956" s="11" t="n">
        <f aca="false">S956-J956</f>
        <v>59.2463636363637</v>
      </c>
      <c r="U956" s="12" t="n">
        <f aca="false">IFERROR(S956/J956-1,0)</f>
        <v>0.404025938600407</v>
      </c>
      <c r="V956" s="2" t="str">
        <f aca="false">IF(S956&lt;J956,"SIM","NÃO")</f>
        <v>NÃO</v>
      </c>
      <c r="W956" s="2" t="n">
        <v>10</v>
      </c>
      <c r="X956" s="2" t="s">
        <v>156</v>
      </c>
    </row>
    <row r="957" customFormat="false" ht="15" hidden="false" customHeight="false" outlineLevel="0" collapsed="false">
      <c r="A957" s="2" t="n">
        <v>375817760</v>
      </c>
      <c r="B957" s="29" t="n">
        <v>46247.6729050926</v>
      </c>
      <c r="C957" s="2" t="s">
        <v>153</v>
      </c>
      <c r="D957" s="2" t="s">
        <v>849</v>
      </c>
      <c r="E957" s="2" t="s">
        <v>83</v>
      </c>
      <c r="F957" s="2" t="s">
        <v>109</v>
      </c>
      <c r="G957" s="30" t="n">
        <v>52.3</v>
      </c>
      <c r="H957" s="11" t="n">
        <v>616.99</v>
      </c>
      <c r="I957" s="11" t="s">
        <v>350</v>
      </c>
      <c r="J957" s="11" t="n">
        <v>141.63</v>
      </c>
      <c r="K957" s="11" t="n">
        <v>162.04</v>
      </c>
      <c r="L957" s="11" t="n">
        <v>0.617</v>
      </c>
      <c r="M957" s="11" t="n">
        <v>1.234</v>
      </c>
      <c r="N957" s="11" t="n">
        <v>1</v>
      </c>
      <c r="O957" s="11" t="n">
        <v>4.5</v>
      </c>
      <c r="P957" s="11" t="n">
        <v>3.18</v>
      </c>
      <c r="Q957" s="11" t="n">
        <v>23.85</v>
      </c>
      <c r="R957" s="11" t="n">
        <f aca="false">SUM(K957:Q957)</f>
        <v>196.421</v>
      </c>
      <c r="S957" s="11" t="n">
        <f aca="false">R957/(1-Resumo!$C$6)</f>
        <v>223.205681818182</v>
      </c>
      <c r="T957" s="11" t="n">
        <f aca="false">S957-J957</f>
        <v>81.5756818181818</v>
      </c>
      <c r="U957" s="12" t="n">
        <f aca="false">IFERROR(S957/J957-1,0)</f>
        <v>0.575977418754373</v>
      </c>
      <c r="V957" s="2" t="str">
        <f aca="false">IF(S957&lt;J957,"SIM","NÃO")</f>
        <v>NÃO</v>
      </c>
      <c r="W957" s="2" t="n">
        <v>11</v>
      </c>
      <c r="X957" s="2" t="s">
        <v>156</v>
      </c>
    </row>
    <row r="958" customFormat="false" ht="15" hidden="false" customHeight="false" outlineLevel="0" collapsed="false">
      <c r="A958" s="2" t="n">
        <v>375852651</v>
      </c>
      <c r="B958" s="29" t="n">
        <v>46247.7295486111</v>
      </c>
      <c r="C958" s="2" t="s">
        <v>153</v>
      </c>
      <c r="D958" s="2" t="s">
        <v>1117</v>
      </c>
      <c r="E958" s="2" t="s">
        <v>78</v>
      </c>
      <c r="F958" s="2" t="s">
        <v>114</v>
      </c>
      <c r="G958" s="30" t="n">
        <v>134.6</v>
      </c>
      <c r="H958" s="11" t="n">
        <v>1579.98</v>
      </c>
      <c r="I958" s="11" t="s">
        <v>350</v>
      </c>
      <c r="J958" s="11" t="n">
        <v>231.4</v>
      </c>
      <c r="K958" s="11" t="n">
        <v>239.25</v>
      </c>
      <c r="L958" s="11" t="n">
        <v>1.58</v>
      </c>
      <c r="M958" s="11" t="n">
        <v>3.16</v>
      </c>
      <c r="N958" s="11" t="n">
        <v>1</v>
      </c>
      <c r="O958" s="11" t="n">
        <v>9</v>
      </c>
      <c r="P958" s="11" t="n">
        <v>8.1</v>
      </c>
      <c r="Q958" s="11" t="n">
        <v>60.75</v>
      </c>
      <c r="R958" s="11" t="n">
        <f aca="false">SUM(K958:Q958)</f>
        <v>322.84</v>
      </c>
      <c r="S958" s="11" t="n">
        <f aca="false">R958/(1-Resumo!$C$6)</f>
        <v>366.863636363636</v>
      </c>
      <c r="T958" s="11" t="n">
        <f aca="false">S958-J958</f>
        <v>135.463636363636</v>
      </c>
      <c r="U958" s="12" t="n">
        <f aca="false">IFERROR(S958/J958-1,0)</f>
        <v>0.585408973049422</v>
      </c>
      <c r="V958" s="2" t="str">
        <f aca="false">IF(S958&lt;J958,"SIM","NÃO")</f>
        <v>NÃO</v>
      </c>
      <c r="W958" s="2" t="n">
        <v>5</v>
      </c>
      <c r="X958" s="2" t="s">
        <v>156</v>
      </c>
    </row>
    <row r="959" customFormat="false" ht="15" hidden="false" customHeight="false" outlineLevel="0" collapsed="false">
      <c r="A959" s="2" t="n">
        <v>375854637</v>
      </c>
      <c r="B959" s="29" t="n">
        <v>46247.7455208333</v>
      </c>
      <c r="C959" s="2" t="s">
        <v>178</v>
      </c>
      <c r="D959" s="2" t="s">
        <v>1118</v>
      </c>
      <c r="E959" s="2" t="s">
        <v>81</v>
      </c>
      <c r="F959" s="2" t="s">
        <v>110</v>
      </c>
      <c r="G959" s="30" t="n">
        <v>69</v>
      </c>
      <c r="H959" s="11" t="n">
        <v>859.99</v>
      </c>
      <c r="I959" s="11" t="s">
        <v>155</v>
      </c>
      <c r="J959" s="11" t="n">
        <v>140.56</v>
      </c>
      <c r="K959" s="11" t="n">
        <v>131.02</v>
      </c>
      <c r="L959" s="11" t="n">
        <v>0.86</v>
      </c>
      <c r="M959" s="11" t="n">
        <v>1.72</v>
      </c>
      <c r="N959" s="11" t="n">
        <v>1</v>
      </c>
      <c r="O959" s="11" t="n">
        <v>4.5</v>
      </c>
      <c r="P959" s="11" t="n">
        <v>4.14</v>
      </c>
      <c r="Q959" s="11" t="n">
        <v>31.05</v>
      </c>
      <c r="R959" s="11" t="n">
        <f aca="false">SUM(K959:Q959)</f>
        <v>174.29</v>
      </c>
      <c r="S959" s="11" t="n">
        <f aca="false">R959/(1-Resumo!$C$6)</f>
        <v>198.056818181818</v>
      </c>
      <c r="T959" s="11" t="n">
        <f aca="false">S959-J959</f>
        <v>57.4968181818182</v>
      </c>
      <c r="U959" s="12" t="n">
        <f aca="false">IFERROR(S959/J959-1,0)</f>
        <v>0.409055337093186</v>
      </c>
      <c r="V959" s="2" t="str">
        <f aca="false">IF(S959&lt;J959,"SIM","NÃO")</f>
        <v>NÃO</v>
      </c>
      <c r="W959" s="2" t="n">
        <v>5</v>
      </c>
      <c r="X959" s="2" t="s">
        <v>156</v>
      </c>
    </row>
    <row r="960" customFormat="false" ht="15" hidden="false" customHeight="false" outlineLevel="0" collapsed="false">
      <c r="A960" s="2" t="n">
        <v>375955295</v>
      </c>
      <c r="B960" s="29" t="n">
        <v>46247.750162037</v>
      </c>
      <c r="C960" s="2" t="s">
        <v>158</v>
      </c>
      <c r="D960" s="2" t="s">
        <v>1119</v>
      </c>
      <c r="E960" s="2" t="s">
        <v>92</v>
      </c>
      <c r="F960" s="2" t="s">
        <v>107</v>
      </c>
      <c r="G960" s="30" t="n">
        <v>37.6</v>
      </c>
      <c r="H960" s="11" t="n">
        <v>403.94</v>
      </c>
      <c r="I960" s="11" t="s">
        <v>350</v>
      </c>
      <c r="J960" s="11" t="n">
        <v>123.15</v>
      </c>
      <c r="K960" s="11" t="n">
        <v>124.38</v>
      </c>
      <c r="L960" s="11" t="n">
        <v>0.4039</v>
      </c>
      <c r="M960" s="11" t="n">
        <v>0.8079</v>
      </c>
      <c r="N960" s="11" t="n">
        <v>1</v>
      </c>
      <c r="O960" s="11" t="n">
        <v>4.5</v>
      </c>
      <c r="P960" s="11" t="n">
        <v>2.28</v>
      </c>
      <c r="Q960" s="11" t="n">
        <v>17.1</v>
      </c>
      <c r="R960" s="11" t="n">
        <f aca="false">SUM(K960:Q960)</f>
        <v>150.4718</v>
      </c>
      <c r="S960" s="11" t="n">
        <f aca="false">R960/(1-Resumo!$C$6)</f>
        <v>170.990681818182</v>
      </c>
      <c r="T960" s="11" t="n">
        <f aca="false">S960-J960</f>
        <v>47.8406818181818</v>
      </c>
      <c r="U960" s="12" t="n">
        <f aca="false">IFERROR(S960/J960-1,0)</f>
        <v>0.388474882811058</v>
      </c>
      <c r="V960" s="2" t="str">
        <f aca="false">IF(S960&lt;J960,"SIM","NÃO")</f>
        <v>NÃO</v>
      </c>
      <c r="W960" s="2" t="n">
        <v>10</v>
      </c>
      <c r="X960" s="2" t="s">
        <v>156</v>
      </c>
    </row>
    <row r="961" customFormat="false" ht="15" hidden="false" customHeight="false" outlineLevel="0" collapsed="false">
      <c r="A961" s="2" t="n">
        <v>375860747</v>
      </c>
      <c r="B961" s="29" t="n">
        <v>46247.751400463</v>
      </c>
      <c r="C961" s="2" t="s">
        <v>178</v>
      </c>
      <c r="D961" s="2" t="s">
        <v>1120</v>
      </c>
      <c r="E961" s="2" t="s">
        <v>82</v>
      </c>
      <c r="F961" s="2" t="s">
        <v>107</v>
      </c>
      <c r="G961" s="30" t="n">
        <v>37.2</v>
      </c>
      <c r="H961" s="11" t="n">
        <v>390.99</v>
      </c>
      <c r="I961" s="11" t="s">
        <v>155</v>
      </c>
      <c r="J961" s="11" t="n">
        <v>112.83</v>
      </c>
      <c r="K961" s="11" t="n">
        <v>114.95</v>
      </c>
      <c r="L961" s="11" t="n">
        <v>0.391</v>
      </c>
      <c r="M961" s="11" t="n">
        <v>0.782</v>
      </c>
      <c r="N961" s="11" t="n">
        <v>1</v>
      </c>
      <c r="O961" s="11" t="n">
        <v>4.5</v>
      </c>
      <c r="P961" s="11" t="n">
        <v>2.28</v>
      </c>
      <c r="Q961" s="11" t="n">
        <v>17.1</v>
      </c>
      <c r="R961" s="11" t="n">
        <f aca="false">SUM(K961:Q961)</f>
        <v>141.003</v>
      </c>
      <c r="S961" s="11" t="n">
        <f aca="false">R961/(1-Resumo!$C$6)</f>
        <v>160.230681818182</v>
      </c>
      <c r="T961" s="11" t="n">
        <f aca="false">S961-J961</f>
        <v>47.4006818181818</v>
      </c>
      <c r="U961" s="12" t="n">
        <f aca="false">IFERROR(S961/J961-1,0)</f>
        <v>0.420107079838534</v>
      </c>
      <c r="V961" s="2" t="str">
        <f aca="false">IF(S961&lt;J961,"SIM","NÃO")</f>
        <v>NÃO</v>
      </c>
      <c r="W961" s="2" t="n">
        <v>7</v>
      </c>
      <c r="X961" s="2" t="s">
        <v>156</v>
      </c>
    </row>
    <row r="962" customFormat="false" ht="15" hidden="false" customHeight="false" outlineLevel="0" collapsed="false">
      <c r="A962" s="2" t="n">
        <v>375890921</v>
      </c>
      <c r="B962" s="29" t="n">
        <v>46247.7818171296</v>
      </c>
      <c r="C962" s="2" t="s">
        <v>153</v>
      </c>
      <c r="D962" s="2" t="s">
        <v>1121</v>
      </c>
      <c r="E962" s="2" t="s">
        <v>239</v>
      </c>
      <c r="F962" s="2" t="s">
        <v>109</v>
      </c>
      <c r="G962" s="30" t="n">
        <v>52.3</v>
      </c>
      <c r="H962" s="11" t="n">
        <v>685.88</v>
      </c>
      <c r="I962" s="11" t="s">
        <v>350</v>
      </c>
      <c r="J962" s="11" t="n">
        <v>141.94</v>
      </c>
      <c r="K962" s="11" t="n">
        <v>144.53</v>
      </c>
      <c r="L962" s="11" t="n">
        <v>0.6859</v>
      </c>
      <c r="M962" s="11" t="n">
        <v>1.3718</v>
      </c>
      <c r="N962" s="11" t="n">
        <v>1</v>
      </c>
      <c r="O962" s="11" t="n">
        <v>4.5</v>
      </c>
      <c r="P962" s="11" t="n">
        <v>3.18</v>
      </c>
      <c r="Q962" s="11" t="n">
        <v>23.85</v>
      </c>
      <c r="R962" s="11" t="n">
        <f aca="false">SUM(K962:Q962)</f>
        <v>179.1177</v>
      </c>
      <c r="S962" s="11" t="n">
        <f aca="false">R962/(1-Resumo!$C$6)</f>
        <v>203.542840909091</v>
      </c>
      <c r="T962" s="11" t="n">
        <f aca="false">S962-J962</f>
        <v>61.6028409090909</v>
      </c>
      <c r="U962" s="12" t="n">
        <f aca="false">IFERROR(S962/J962-1,0)</f>
        <v>0.434006206207488</v>
      </c>
      <c r="V962" s="2" t="str">
        <f aca="false">IF(S962&lt;J962,"SIM","NÃO")</f>
        <v>NÃO</v>
      </c>
      <c r="W962" s="2" t="n">
        <v>10</v>
      </c>
      <c r="X962" s="2" t="s">
        <v>161</v>
      </c>
    </row>
    <row r="963" customFormat="false" ht="15" hidden="false" customHeight="false" outlineLevel="0" collapsed="false">
      <c r="A963" s="2" t="n">
        <v>375910187</v>
      </c>
      <c r="B963" s="29" t="n">
        <v>46247.8030671296</v>
      </c>
      <c r="C963" s="2" t="s">
        <v>153</v>
      </c>
      <c r="D963" s="2" t="s">
        <v>1122</v>
      </c>
      <c r="E963" s="2" t="s">
        <v>81</v>
      </c>
      <c r="F963" s="2" t="s">
        <v>110</v>
      </c>
      <c r="G963" s="30" t="n">
        <v>66.8</v>
      </c>
      <c r="H963" s="11" t="n">
        <v>629.99</v>
      </c>
      <c r="I963" s="11" t="s">
        <v>155</v>
      </c>
      <c r="J963" s="11" t="n">
        <v>139.45</v>
      </c>
      <c r="K963" s="11" t="n">
        <v>131.02</v>
      </c>
      <c r="L963" s="11" t="n">
        <v>0.63</v>
      </c>
      <c r="M963" s="11" t="n">
        <v>1.26</v>
      </c>
      <c r="N963" s="11" t="n">
        <v>1</v>
      </c>
      <c r="O963" s="11" t="n">
        <v>4.5</v>
      </c>
      <c r="P963" s="11" t="n">
        <v>4.02</v>
      </c>
      <c r="Q963" s="11" t="n">
        <v>30.15</v>
      </c>
      <c r="R963" s="11" t="n">
        <f aca="false">SUM(K963:Q963)</f>
        <v>172.58</v>
      </c>
      <c r="S963" s="11" t="n">
        <f aca="false">R963/(1-Resumo!$C$6)</f>
        <v>196.113636363636</v>
      </c>
      <c r="T963" s="11" t="n">
        <f aca="false">S963-J963</f>
        <v>56.6636363636364</v>
      </c>
      <c r="U963" s="12" t="n">
        <f aca="false">IFERROR(S963/J963-1,0)</f>
        <v>0.406336582026794</v>
      </c>
      <c r="V963" s="2" t="str">
        <f aca="false">IF(S963&lt;J963,"SIM","NÃO")</f>
        <v>NÃO</v>
      </c>
      <c r="W963" s="2" t="n">
        <v>5</v>
      </c>
      <c r="X963" s="2" t="s">
        <v>156</v>
      </c>
    </row>
    <row r="964" customFormat="false" ht="15" hidden="false" customHeight="false" outlineLevel="0" collapsed="false">
      <c r="A964" s="2" t="n">
        <v>375913461</v>
      </c>
      <c r="B964" s="29" t="n">
        <v>46247.8067361111</v>
      </c>
      <c r="C964" s="2" t="s">
        <v>153</v>
      </c>
      <c r="D964" s="2" t="s">
        <v>1123</v>
      </c>
      <c r="E964" s="2" t="s">
        <v>78</v>
      </c>
      <c r="F964" s="2" t="s">
        <v>108</v>
      </c>
      <c r="G964" s="30" t="n">
        <v>45.3</v>
      </c>
      <c r="H964" s="11" t="n">
        <v>679.99</v>
      </c>
      <c r="I964" s="11" t="s">
        <v>155</v>
      </c>
      <c r="J964" s="11" t="n">
        <v>103.84</v>
      </c>
      <c r="K964" s="11" t="n">
        <v>93.97</v>
      </c>
      <c r="L964" s="11" t="n">
        <v>0.68</v>
      </c>
      <c r="M964" s="11" t="n">
        <v>1.36</v>
      </c>
      <c r="N964" s="11" t="n">
        <v>1</v>
      </c>
      <c r="O964" s="11" t="n">
        <v>4.5</v>
      </c>
      <c r="P964" s="11" t="n">
        <v>2.76</v>
      </c>
      <c r="Q964" s="11" t="n">
        <v>20.7</v>
      </c>
      <c r="R964" s="11" t="n">
        <f aca="false">SUM(K964:Q964)</f>
        <v>124.97</v>
      </c>
      <c r="S964" s="11" t="n">
        <f aca="false">R964/(1-Resumo!$C$6)</f>
        <v>142.011363636364</v>
      </c>
      <c r="T964" s="11" t="n">
        <f aca="false">S964-J964</f>
        <v>38.1713636363636</v>
      </c>
      <c r="U964" s="12" t="n">
        <f aca="false">IFERROR(S964/J964-1,0)</f>
        <v>0.367597877854041</v>
      </c>
      <c r="V964" s="2" t="str">
        <f aca="false">IF(S964&lt;J964,"SIM","NÃO")</f>
        <v>NÃO</v>
      </c>
      <c r="W964" s="2" t="n">
        <v>5</v>
      </c>
      <c r="X964" s="2" t="s">
        <v>156</v>
      </c>
    </row>
    <row r="965" customFormat="false" ht="15" hidden="false" customHeight="false" outlineLevel="0" collapsed="false">
      <c r="A965" s="2" t="n">
        <v>375993113</v>
      </c>
      <c r="B965" s="29" t="n">
        <v>46247.8256018519</v>
      </c>
      <c r="C965" s="2" t="s">
        <v>158</v>
      </c>
      <c r="D965" s="2" t="s">
        <v>1124</v>
      </c>
      <c r="E965" s="2" t="s">
        <v>78</v>
      </c>
      <c r="F965" s="2" t="s">
        <v>114</v>
      </c>
      <c r="G965" s="30" t="n">
        <v>137</v>
      </c>
      <c r="H965" s="11" t="n">
        <v>1600.45</v>
      </c>
      <c r="I965" s="11" t="s">
        <v>155</v>
      </c>
      <c r="J965" s="11" t="n">
        <v>233.95</v>
      </c>
      <c r="K965" s="11" t="n">
        <v>239.25</v>
      </c>
      <c r="L965" s="11" t="n">
        <v>1.6005</v>
      </c>
      <c r="M965" s="11" t="n">
        <v>3.2009</v>
      </c>
      <c r="N965" s="11" t="n">
        <v>1</v>
      </c>
      <c r="O965" s="11" t="n">
        <v>9</v>
      </c>
      <c r="P965" s="11" t="n">
        <v>8.22</v>
      </c>
      <c r="Q965" s="11" t="n">
        <v>61.65</v>
      </c>
      <c r="R965" s="11" t="n">
        <f aca="false">SUM(K965:Q965)</f>
        <v>323.9214</v>
      </c>
      <c r="S965" s="11" t="n">
        <f aca="false">R965/(1-Resumo!$C$6)</f>
        <v>368.0925</v>
      </c>
      <c r="T965" s="11" t="n">
        <f aca="false">S965-J965</f>
        <v>134.1425</v>
      </c>
      <c r="U965" s="12" t="n">
        <f aca="false">IFERROR(S965/J965-1,0)</f>
        <v>0.573381064329985</v>
      </c>
      <c r="V965" s="2" t="str">
        <f aca="false">IF(S965&lt;J965,"SIM","NÃO")</f>
        <v>NÃO</v>
      </c>
      <c r="W965" s="2" t="n">
        <v>5</v>
      </c>
      <c r="X965" s="2" t="s">
        <v>156</v>
      </c>
    </row>
    <row r="966" customFormat="false" ht="15" hidden="false" customHeight="false" outlineLevel="0" collapsed="false">
      <c r="A966" s="2" t="n">
        <v>375931914</v>
      </c>
      <c r="B966" s="29" t="n">
        <v>46247.8397106482</v>
      </c>
      <c r="C966" s="2" t="s">
        <v>153</v>
      </c>
      <c r="D966" s="2" t="s">
        <v>876</v>
      </c>
      <c r="E966" s="2" t="s">
        <v>78</v>
      </c>
      <c r="F966" s="2" t="s">
        <v>106</v>
      </c>
      <c r="G966" s="30" t="n">
        <v>29.2</v>
      </c>
      <c r="H966" s="11" t="n">
        <v>449.99</v>
      </c>
      <c r="I966" s="11" t="s">
        <v>350</v>
      </c>
      <c r="J966" s="11" t="n">
        <v>81.92</v>
      </c>
      <c r="K966" s="11" t="n">
        <v>82.21</v>
      </c>
      <c r="L966" s="11" t="n">
        <v>0.45</v>
      </c>
      <c r="M966" s="11" t="n">
        <v>0.9</v>
      </c>
      <c r="N966" s="11" t="n">
        <v>1</v>
      </c>
      <c r="O966" s="11" t="n">
        <v>4.5</v>
      </c>
      <c r="P966" s="11" t="n">
        <v>1.8</v>
      </c>
      <c r="Q966" s="11" t="n">
        <v>13.5</v>
      </c>
      <c r="R966" s="11" t="n">
        <f aca="false">SUM(K966:Q966)</f>
        <v>104.36</v>
      </c>
      <c r="S966" s="11" t="n">
        <f aca="false">R966/(1-Resumo!$C$6)</f>
        <v>118.590909090909</v>
      </c>
      <c r="T966" s="11" t="n">
        <f aca="false">S966-J966</f>
        <v>36.6709090909091</v>
      </c>
      <c r="U966" s="12" t="n">
        <f aca="false">IFERROR(S966/J966-1,0)</f>
        <v>0.447642933238636</v>
      </c>
      <c r="V966" s="2" t="str">
        <f aca="false">IF(S966&lt;J966,"SIM","NÃO")</f>
        <v>NÃO</v>
      </c>
      <c r="W966" s="2" t="n">
        <v>5</v>
      </c>
      <c r="X966" s="2" t="s">
        <v>156</v>
      </c>
    </row>
    <row r="967" customFormat="false" ht="15" hidden="false" customHeight="false" outlineLevel="0" collapsed="false">
      <c r="A967" s="2" t="n">
        <v>375946102</v>
      </c>
      <c r="B967" s="29" t="n">
        <v>46247.8641666667</v>
      </c>
      <c r="C967" s="2" t="s">
        <v>153</v>
      </c>
      <c r="D967" s="2" t="s">
        <v>232</v>
      </c>
      <c r="E967" s="2" t="s">
        <v>78</v>
      </c>
      <c r="F967" s="2" t="s">
        <v>106</v>
      </c>
      <c r="G967" s="30" t="n">
        <v>22.4</v>
      </c>
      <c r="H967" s="11" t="n">
        <v>489.99</v>
      </c>
      <c r="I967" s="11" t="s">
        <v>155</v>
      </c>
      <c r="J967" s="11" t="n">
        <v>82.67</v>
      </c>
      <c r="K967" s="11" t="n">
        <v>82.21</v>
      </c>
      <c r="L967" s="11" t="n">
        <v>0.49</v>
      </c>
      <c r="M967" s="11" t="n">
        <v>0.98</v>
      </c>
      <c r="N967" s="11" t="n">
        <v>1</v>
      </c>
      <c r="O967" s="11" t="n">
        <v>4.5</v>
      </c>
      <c r="P967" s="11" t="n">
        <v>1.38</v>
      </c>
      <c r="Q967" s="11" t="n">
        <v>10.35</v>
      </c>
      <c r="R967" s="11" t="n">
        <f aca="false">SUM(K967:Q967)</f>
        <v>100.91</v>
      </c>
      <c r="S967" s="11" t="n">
        <f aca="false">R967/(1-Resumo!$C$6)</f>
        <v>114.670454545455</v>
      </c>
      <c r="T967" s="11" t="n">
        <f aca="false">S967-J967</f>
        <v>32.0004545454545</v>
      </c>
      <c r="U967" s="12" t="n">
        <f aca="false">IFERROR(S967/J967-1,0)</f>
        <v>0.387086664394031</v>
      </c>
      <c r="V967" s="2" t="str">
        <f aca="false">IF(S967&lt;J967,"SIM","NÃO")</f>
        <v>NÃO</v>
      </c>
      <c r="W967" s="2" t="n">
        <v>5</v>
      </c>
      <c r="X967" s="2" t="s">
        <v>156</v>
      </c>
    </row>
    <row r="968" customFormat="false" ht="15" hidden="false" customHeight="false" outlineLevel="0" collapsed="false">
      <c r="A968" s="2" t="n">
        <v>375955275</v>
      </c>
      <c r="B968" s="29" t="n">
        <v>46247.8751041667</v>
      </c>
      <c r="C968" s="2" t="s">
        <v>158</v>
      </c>
      <c r="D968" s="2" t="s">
        <v>1119</v>
      </c>
      <c r="E968" s="2" t="s">
        <v>92</v>
      </c>
      <c r="F968" s="2" t="s">
        <v>108</v>
      </c>
      <c r="G968" s="30" t="n">
        <v>40.1</v>
      </c>
      <c r="H968" s="11" t="n">
        <v>475.48</v>
      </c>
      <c r="I968" s="11" t="s">
        <v>350</v>
      </c>
      <c r="J968" s="11" t="n">
        <v>128.13</v>
      </c>
      <c r="K968" s="11" t="n">
        <v>129.29</v>
      </c>
      <c r="L968" s="11" t="n">
        <v>0.4755</v>
      </c>
      <c r="M968" s="11" t="n">
        <v>0.951</v>
      </c>
      <c r="N968" s="11" t="n">
        <v>1</v>
      </c>
      <c r="O968" s="11" t="n">
        <v>4.5</v>
      </c>
      <c r="P968" s="11" t="n">
        <v>2.46</v>
      </c>
      <c r="Q968" s="11" t="n">
        <v>18.45</v>
      </c>
      <c r="R968" s="11" t="n">
        <f aca="false">SUM(K968:Q968)</f>
        <v>157.1265</v>
      </c>
      <c r="S968" s="11" t="n">
        <f aca="false">R968/(1-Resumo!$C$6)</f>
        <v>178.552840909091</v>
      </c>
      <c r="T968" s="11" t="n">
        <f aca="false">S968-J968</f>
        <v>50.4228409090909</v>
      </c>
      <c r="U968" s="12" t="n">
        <f aca="false">IFERROR(S968/J968-1,0)</f>
        <v>0.393528766948341</v>
      </c>
      <c r="V968" s="2" t="str">
        <f aca="false">IF(S968&lt;J968,"SIM","NÃO")</f>
        <v>NÃO</v>
      </c>
      <c r="W968" s="2" t="n">
        <v>10</v>
      </c>
      <c r="X968" s="2" t="s">
        <v>156</v>
      </c>
    </row>
    <row r="969" customFormat="false" ht="15" hidden="false" customHeight="false" outlineLevel="0" collapsed="false">
      <c r="A969" s="2" t="n">
        <v>375966390</v>
      </c>
      <c r="B969" s="29" t="n">
        <v>46247.9019212963</v>
      </c>
      <c r="C969" s="2" t="s">
        <v>153</v>
      </c>
      <c r="D969" s="2" t="s">
        <v>1125</v>
      </c>
      <c r="E969" s="2" t="s">
        <v>78</v>
      </c>
      <c r="F969" s="2" t="s">
        <v>107</v>
      </c>
      <c r="G969" s="30" t="n">
        <v>36.8</v>
      </c>
      <c r="H969" s="11" t="n">
        <v>439.99</v>
      </c>
      <c r="I969" s="11" t="s">
        <v>350</v>
      </c>
      <c r="J969" s="11" t="n">
        <v>92.55</v>
      </c>
      <c r="K969" s="11" t="n">
        <v>93.97</v>
      </c>
      <c r="L969" s="11" t="n">
        <v>0.44</v>
      </c>
      <c r="M969" s="11" t="n">
        <v>0.88</v>
      </c>
      <c r="N969" s="11" t="n">
        <v>1</v>
      </c>
      <c r="O969" s="11" t="n">
        <v>4.5</v>
      </c>
      <c r="P969" s="11" t="n">
        <v>2.22</v>
      </c>
      <c r="Q969" s="11" t="n">
        <v>16.65</v>
      </c>
      <c r="R969" s="11" t="n">
        <f aca="false">SUM(K969:Q969)</f>
        <v>119.66</v>
      </c>
      <c r="S969" s="11" t="n">
        <f aca="false">R969/(1-Resumo!$C$6)</f>
        <v>135.977272727273</v>
      </c>
      <c r="T969" s="11" t="n">
        <f aca="false">S969-J969</f>
        <v>43.4272727272727</v>
      </c>
      <c r="U969" s="12" t="n">
        <f aca="false">IFERROR(S969/J969-1,0)</f>
        <v>0.469230391434605</v>
      </c>
      <c r="V969" s="2" t="str">
        <f aca="false">IF(S969&lt;J969,"SIM","NÃO")</f>
        <v>NÃO</v>
      </c>
      <c r="W969" s="2" t="n">
        <v>5</v>
      </c>
      <c r="X969" s="2" t="s">
        <v>156</v>
      </c>
    </row>
    <row r="970" customFormat="false" ht="15" hidden="false" customHeight="false" outlineLevel="0" collapsed="false">
      <c r="A970" s="2" t="n">
        <v>375967194</v>
      </c>
      <c r="B970" s="29" t="n">
        <v>46247.9041666667</v>
      </c>
      <c r="C970" s="2" t="s">
        <v>153</v>
      </c>
      <c r="D970" s="2" t="s">
        <v>1126</v>
      </c>
      <c r="E970" s="2" t="s">
        <v>80</v>
      </c>
      <c r="F970" s="2" t="s">
        <v>107</v>
      </c>
      <c r="G970" s="30" t="n">
        <v>39</v>
      </c>
      <c r="H970" s="11" t="n">
        <v>539.99</v>
      </c>
      <c r="I970" s="11" t="s">
        <v>155</v>
      </c>
      <c r="J970" s="11" t="n">
        <v>113.55</v>
      </c>
      <c r="K970" s="11" t="n">
        <v>93.97</v>
      </c>
      <c r="L970" s="11" t="n">
        <v>0.54</v>
      </c>
      <c r="M970" s="11" t="n">
        <v>1.08</v>
      </c>
      <c r="N970" s="11" t="n">
        <v>1</v>
      </c>
      <c r="O970" s="11" t="n">
        <v>4.5</v>
      </c>
      <c r="P970" s="11" t="n">
        <v>2.34</v>
      </c>
      <c r="Q970" s="11" t="n">
        <v>17.55</v>
      </c>
      <c r="R970" s="11" t="n">
        <f aca="false">SUM(K970:Q970)</f>
        <v>120.98</v>
      </c>
      <c r="S970" s="11" t="n">
        <f aca="false">R970/(1-Resumo!$C$6)</f>
        <v>137.477272727273</v>
      </c>
      <c r="T970" s="11" t="n">
        <f aca="false">S970-J970</f>
        <v>23.9272727272727</v>
      </c>
      <c r="U970" s="12" t="n">
        <f aca="false">IFERROR(S970/J970-1,0)</f>
        <v>0.210720147311957</v>
      </c>
      <c r="V970" s="2" t="str">
        <f aca="false">IF(S970&lt;J970,"SIM","NÃO")</f>
        <v>NÃO</v>
      </c>
      <c r="W970" s="2" t="n">
        <v>5</v>
      </c>
      <c r="X970" s="2" t="s">
        <v>156</v>
      </c>
    </row>
    <row r="971" customFormat="false" ht="15" hidden="false" customHeight="false" outlineLevel="0" collapsed="false">
      <c r="A971" s="2" t="n">
        <v>375994642</v>
      </c>
      <c r="B971" s="29" t="n">
        <v>46247.9552430556</v>
      </c>
      <c r="C971" s="2" t="s">
        <v>153</v>
      </c>
      <c r="D971" s="2" t="s">
        <v>1127</v>
      </c>
      <c r="E971" s="2" t="s">
        <v>83</v>
      </c>
      <c r="F971" s="2" t="s">
        <v>107</v>
      </c>
      <c r="G971" s="30" t="n">
        <v>37.6</v>
      </c>
      <c r="H971" s="11" t="n">
        <v>391.05</v>
      </c>
      <c r="I971" s="11" t="s">
        <v>350</v>
      </c>
      <c r="J971" s="11" t="n">
        <v>123.08</v>
      </c>
      <c r="K971" s="11" t="n">
        <v>143.04</v>
      </c>
      <c r="L971" s="11" t="n">
        <v>0.391</v>
      </c>
      <c r="M971" s="11" t="n">
        <v>0.7821</v>
      </c>
      <c r="N971" s="11" t="n">
        <v>1</v>
      </c>
      <c r="O971" s="11" t="n">
        <v>4.5</v>
      </c>
      <c r="P971" s="11" t="n">
        <v>2.28</v>
      </c>
      <c r="Q971" s="11" t="n">
        <v>17.1</v>
      </c>
      <c r="R971" s="11" t="n">
        <f aca="false">SUM(K971:Q971)</f>
        <v>169.0931</v>
      </c>
      <c r="S971" s="11" t="n">
        <f aca="false">R971/(1-Resumo!$C$6)</f>
        <v>192.15125</v>
      </c>
      <c r="T971" s="11" t="n">
        <f aca="false">S971-J971</f>
        <v>69.07125</v>
      </c>
      <c r="U971" s="12" t="n">
        <f aca="false">IFERROR(S971/J971-1,0)</f>
        <v>0.561189876503087</v>
      </c>
      <c r="V971" s="2" t="str">
        <f aca="false">IF(S971&lt;J971,"SIM","NÃO")</f>
        <v>NÃO</v>
      </c>
      <c r="W971" s="2" t="n">
        <v>11</v>
      </c>
      <c r="X971" s="2" t="s">
        <v>156</v>
      </c>
    </row>
    <row r="972" customFormat="false" ht="15" hidden="false" customHeight="false" outlineLevel="0" collapsed="false">
      <c r="A972" s="2" t="n">
        <v>376000267</v>
      </c>
      <c r="B972" s="29" t="n">
        <v>46247.9709259259</v>
      </c>
      <c r="C972" s="2" t="s">
        <v>153</v>
      </c>
      <c r="D972" s="2" t="s">
        <v>1128</v>
      </c>
      <c r="E972" s="2" t="s">
        <v>79</v>
      </c>
      <c r="F972" s="2" t="s">
        <v>106</v>
      </c>
      <c r="G972" s="30" t="n">
        <v>30.5</v>
      </c>
      <c r="H972" s="11" t="n">
        <v>439.99</v>
      </c>
      <c r="I972" s="11" t="s">
        <v>350</v>
      </c>
      <c r="J972" s="11" t="n">
        <v>101.35</v>
      </c>
      <c r="K972" s="11" t="n">
        <v>100.58</v>
      </c>
      <c r="L972" s="11" t="n">
        <v>0.44</v>
      </c>
      <c r="M972" s="11" t="n">
        <v>0.88</v>
      </c>
      <c r="N972" s="11" t="n">
        <v>1</v>
      </c>
      <c r="O972" s="11" t="n">
        <v>4.5</v>
      </c>
      <c r="P972" s="11" t="n">
        <v>1.86</v>
      </c>
      <c r="Q972" s="11" t="n">
        <v>13.95</v>
      </c>
      <c r="R972" s="11" t="n">
        <f aca="false">SUM(K972:Q972)</f>
        <v>123.21</v>
      </c>
      <c r="S972" s="11" t="n">
        <f aca="false">R972/(1-Resumo!$C$6)</f>
        <v>140.011363636364</v>
      </c>
      <c r="T972" s="11" t="n">
        <f aca="false">S972-J972</f>
        <v>38.6613636363637</v>
      </c>
      <c r="U972" s="12" t="n">
        <f aca="false">IFERROR(S972/J972-1,0)</f>
        <v>0.381463874063776</v>
      </c>
      <c r="V972" s="2" t="str">
        <f aca="false">IF(S972&lt;J972,"SIM","NÃO")</f>
        <v>NÃO</v>
      </c>
      <c r="W972" s="2" t="n">
        <v>7</v>
      </c>
      <c r="X972" s="2" t="s">
        <v>156</v>
      </c>
    </row>
    <row r="973" customFormat="false" ht="15" hidden="false" customHeight="false" outlineLevel="0" collapsed="false">
      <c r="A973" s="2" t="n">
        <v>376003876</v>
      </c>
      <c r="B973" s="29" t="n">
        <v>46247.9777546296</v>
      </c>
      <c r="C973" s="2" t="s">
        <v>158</v>
      </c>
      <c r="D973" s="2" t="s">
        <v>1129</v>
      </c>
      <c r="E973" s="2" t="s">
        <v>203</v>
      </c>
      <c r="F973" s="2" t="s">
        <v>112</v>
      </c>
      <c r="G973" s="30" t="n">
        <v>81.7</v>
      </c>
      <c r="H973" s="11" t="n">
        <v>646.16</v>
      </c>
      <c r="I973" s="11" t="s">
        <v>350</v>
      </c>
      <c r="J973" s="11" t="n">
        <v>186.19</v>
      </c>
      <c r="K973" s="11" t="n">
        <v>177.99</v>
      </c>
      <c r="L973" s="11" t="n">
        <v>0.6462</v>
      </c>
      <c r="M973" s="11" t="n">
        <v>1.2923</v>
      </c>
      <c r="N973" s="11" t="n">
        <v>1</v>
      </c>
      <c r="O973" s="11" t="n">
        <v>4.5</v>
      </c>
      <c r="P973" s="11" t="n">
        <v>4.92</v>
      </c>
      <c r="Q973" s="11" t="n">
        <v>36.9</v>
      </c>
      <c r="R973" s="11" t="n">
        <f aca="false">SUM(K973:Q973)</f>
        <v>227.2485</v>
      </c>
      <c r="S973" s="11" t="n">
        <f aca="false">R973/(1-Resumo!$C$6)</f>
        <v>258.236931818182</v>
      </c>
      <c r="T973" s="11" t="n">
        <f aca="false">S973-J973</f>
        <v>72.0469318181818</v>
      </c>
      <c r="U973" s="12" t="n">
        <f aca="false">IFERROR(S973/J973-1,0)</f>
        <v>0.386953820388752</v>
      </c>
      <c r="V973" s="2" t="str">
        <f aca="false">IF(S973&lt;J973,"SIM","NÃO")</f>
        <v>NÃO</v>
      </c>
      <c r="W973" s="2" t="n">
        <v>5</v>
      </c>
      <c r="X973" s="2" t="s">
        <v>161</v>
      </c>
    </row>
    <row r="974" customFormat="false" ht="15" hidden="false" customHeight="false" outlineLevel="0" collapsed="false">
      <c r="A974" s="2" t="n">
        <v>376009577</v>
      </c>
      <c r="B974" s="29" t="n">
        <v>46247.9888310185</v>
      </c>
      <c r="C974" s="2" t="s">
        <v>153</v>
      </c>
      <c r="D974" s="2" t="s">
        <v>1130</v>
      </c>
      <c r="E974" s="2" t="s">
        <v>78</v>
      </c>
      <c r="F974" s="2" t="s">
        <v>105</v>
      </c>
      <c r="G974" s="30" t="n">
        <v>19.9</v>
      </c>
      <c r="H974" s="11" t="n">
        <v>279.99</v>
      </c>
      <c r="I974" s="11" t="s">
        <v>155</v>
      </c>
      <c r="J974" s="11" t="n">
        <v>64.56</v>
      </c>
      <c r="K974" s="11" t="n">
        <v>46.98</v>
      </c>
      <c r="L974" s="11" t="n">
        <v>0.28</v>
      </c>
      <c r="M974" s="11" t="n">
        <v>0.56</v>
      </c>
      <c r="N974" s="11" t="n">
        <v>1</v>
      </c>
      <c r="O974" s="11" t="n">
        <v>4.5</v>
      </c>
      <c r="P974" s="11" t="n">
        <v>1.2</v>
      </c>
      <c r="Q974" s="11" t="n">
        <v>9</v>
      </c>
      <c r="R974" s="11" t="n">
        <f aca="false">SUM(K974:Q974)</f>
        <v>63.52</v>
      </c>
      <c r="S974" s="11" t="n">
        <f aca="false">R974/(1-Resumo!$C$6)</f>
        <v>72.1818181818182</v>
      </c>
      <c r="T974" s="11" t="n">
        <f aca="false">S974-J974</f>
        <v>7.62181818181817</v>
      </c>
      <c r="U974" s="12" t="n">
        <f aca="false">IFERROR(S974/J974-1,0)</f>
        <v>0.118057902444519</v>
      </c>
      <c r="V974" s="2" t="str">
        <f aca="false">IF(S974&lt;J974,"SIM","NÃO")</f>
        <v>NÃO</v>
      </c>
      <c r="W974" s="2" t="n">
        <v>5</v>
      </c>
      <c r="X974" s="2" t="s">
        <v>156</v>
      </c>
    </row>
    <row r="975" customFormat="false" ht="15" hidden="false" customHeight="false" outlineLevel="0" collapsed="false">
      <c r="A975" s="2" t="n">
        <v>376218354</v>
      </c>
      <c r="B975" s="29" t="n">
        <v>46248.3380324074</v>
      </c>
      <c r="C975" s="2" t="s">
        <v>153</v>
      </c>
      <c r="D975" s="2" t="s">
        <v>1131</v>
      </c>
      <c r="E975" s="2" t="s">
        <v>78</v>
      </c>
      <c r="F975" s="2" t="s">
        <v>106</v>
      </c>
      <c r="G975" s="30" t="n">
        <v>30.5</v>
      </c>
      <c r="H975" s="11" t="n">
        <v>413.55</v>
      </c>
      <c r="I975" s="11" t="s">
        <v>350</v>
      </c>
      <c r="J975" s="11" t="n">
        <v>82.27</v>
      </c>
      <c r="K975" s="11" t="n">
        <v>82.21</v>
      </c>
      <c r="L975" s="11" t="n">
        <v>0.4136</v>
      </c>
      <c r="M975" s="11" t="n">
        <v>0.8271</v>
      </c>
      <c r="N975" s="11" t="n">
        <v>1</v>
      </c>
      <c r="O975" s="11" t="n">
        <v>4.5</v>
      </c>
      <c r="P975" s="11" t="n">
        <v>1.86</v>
      </c>
      <c r="Q975" s="11" t="n">
        <v>13.95</v>
      </c>
      <c r="R975" s="11" t="n">
        <f aca="false">SUM(K975:Q975)</f>
        <v>104.7607</v>
      </c>
      <c r="S975" s="11" t="n">
        <f aca="false">R975/(1-Resumo!$C$6)</f>
        <v>119.04625</v>
      </c>
      <c r="T975" s="11" t="n">
        <f aca="false">S975-J975</f>
        <v>36.77625</v>
      </c>
      <c r="U975" s="12" t="n">
        <f aca="false">IFERROR(S975/J975-1,0)</f>
        <v>0.44701896195454</v>
      </c>
      <c r="V975" s="2" t="str">
        <f aca="false">IF(S975&lt;J975,"SIM","NÃO")</f>
        <v>NÃO</v>
      </c>
      <c r="W975" s="2" t="n">
        <v>5</v>
      </c>
      <c r="X975" s="2" t="s">
        <v>156</v>
      </c>
    </row>
    <row r="976" customFormat="false" ht="15" hidden="false" customHeight="false" outlineLevel="0" collapsed="false">
      <c r="A976" s="2" t="n">
        <v>376220084</v>
      </c>
      <c r="B976" s="29" t="n">
        <v>46248.3404050926</v>
      </c>
      <c r="C976" s="2" t="s">
        <v>153</v>
      </c>
      <c r="D976" s="2" t="s">
        <v>1132</v>
      </c>
      <c r="E976" s="2" t="s">
        <v>80</v>
      </c>
      <c r="F976" s="2" t="s">
        <v>105</v>
      </c>
      <c r="G976" s="30" t="n">
        <v>19.5</v>
      </c>
      <c r="H976" s="11" t="n">
        <v>399.99</v>
      </c>
      <c r="I976" s="11" t="s">
        <v>155</v>
      </c>
      <c r="J976" s="11" t="n">
        <v>75.76</v>
      </c>
      <c r="K976" s="11" t="n">
        <v>46.98</v>
      </c>
      <c r="L976" s="11" t="n">
        <v>0.4</v>
      </c>
      <c r="M976" s="11" t="n">
        <v>0.8</v>
      </c>
      <c r="N976" s="11" t="n">
        <v>1</v>
      </c>
      <c r="O976" s="11" t="n">
        <v>4.5</v>
      </c>
      <c r="P976" s="11" t="n">
        <v>1.2</v>
      </c>
      <c r="Q976" s="11" t="n">
        <v>9</v>
      </c>
      <c r="R976" s="11" t="n">
        <f aca="false">SUM(K976:Q976)</f>
        <v>63.88</v>
      </c>
      <c r="S976" s="11" t="n">
        <f aca="false">R976/(1-Resumo!$C$6)</f>
        <v>72.5909090909091</v>
      </c>
      <c r="T976" s="11" t="n">
        <f aca="false">S976-J976</f>
        <v>-3.16909090909093</v>
      </c>
      <c r="U976" s="12" t="n">
        <f aca="false">IFERROR(S976/J976-1,0)</f>
        <v>-0.0418306614188349</v>
      </c>
      <c r="V976" s="2" t="str">
        <f aca="false">IF(S976&lt;J976,"SIM","NÃO")</f>
        <v>SIM</v>
      </c>
      <c r="W976" s="2" t="n">
        <v>5</v>
      </c>
      <c r="X976" s="2" t="s">
        <v>156</v>
      </c>
    </row>
    <row r="977" customFormat="false" ht="15" hidden="false" customHeight="false" outlineLevel="0" collapsed="false">
      <c r="A977" s="2" t="n">
        <v>376224969</v>
      </c>
      <c r="B977" s="29" t="n">
        <v>46248.3481018519</v>
      </c>
      <c r="C977" s="2" t="s">
        <v>153</v>
      </c>
      <c r="D977" s="2" t="s">
        <v>1133</v>
      </c>
      <c r="E977" s="2" t="s">
        <v>89</v>
      </c>
      <c r="F977" s="2" t="s">
        <v>107</v>
      </c>
      <c r="G977" s="30" t="n">
        <v>36.9</v>
      </c>
      <c r="H977" s="11" t="n">
        <v>391.88</v>
      </c>
      <c r="I977" s="11" t="s">
        <v>350</v>
      </c>
      <c r="J977" s="11" t="n">
        <v>122.57</v>
      </c>
      <c r="K977" s="11" t="n">
        <v>124.38</v>
      </c>
      <c r="L977" s="11" t="n">
        <v>0.3919</v>
      </c>
      <c r="M977" s="11" t="n">
        <v>0.7838</v>
      </c>
      <c r="N977" s="11" t="n">
        <v>1</v>
      </c>
      <c r="O977" s="11" t="n">
        <v>4.5</v>
      </c>
      <c r="P977" s="11" t="n">
        <v>2.22</v>
      </c>
      <c r="Q977" s="11" t="n">
        <v>16.65</v>
      </c>
      <c r="R977" s="11" t="n">
        <f aca="false">SUM(K977:Q977)</f>
        <v>149.9257</v>
      </c>
      <c r="S977" s="11" t="n">
        <f aca="false">R977/(1-Resumo!$C$6)</f>
        <v>170.370113636364</v>
      </c>
      <c r="T977" s="11" t="n">
        <f aca="false">S977-J977</f>
        <v>47.8001136363637</v>
      </c>
      <c r="U977" s="12" t="n">
        <f aca="false">IFERROR(S977/J977-1,0)</f>
        <v>0.389982162326537</v>
      </c>
      <c r="V977" s="2" t="str">
        <f aca="false">IF(S977&lt;J977,"SIM","NÃO")</f>
        <v>NÃO</v>
      </c>
      <c r="W977" s="2" t="n">
        <v>8</v>
      </c>
      <c r="X977" s="2" t="s">
        <v>156</v>
      </c>
    </row>
    <row r="978" customFormat="false" ht="15" hidden="false" customHeight="false" outlineLevel="0" collapsed="false">
      <c r="A978" s="2" t="n">
        <v>376225688</v>
      </c>
      <c r="B978" s="29" t="n">
        <v>46248.3489583333</v>
      </c>
      <c r="C978" s="2" t="s">
        <v>153</v>
      </c>
      <c r="D978" s="2" t="s">
        <v>294</v>
      </c>
      <c r="E978" s="2" t="s">
        <v>78</v>
      </c>
      <c r="F978" s="2" t="s">
        <v>106</v>
      </c>
      <c r="G978" s="30" t="n">
        <v>22.4</v>
      </c>
      <c r="H978" s="11" t="n">
        <v>489.99</v>
      </c>
      <c r="I978" s="11" t="s">
        <v>155</v>
      </c>
      <c r="J978" s="11" t="n">
        <v>82.67</v>
      </c>
      <c r="K978" s="11" t="n">
        <v>82.21</v>
      </c>
      <c r="L978" s="11" t="n">
        <v>0.49</v>
      </c>
      <c r="M978" s="11" t="n">
        <v>0.98</v>
      </c>
      <c r="N978" s="11" t="n">
        <v>1</v>
      </c>
      <c r="O978" s="11" t="n">
        <v>4.5</v>
      </c>
      <c r="P978" s="11" t="n">
        <v>1.38</v>
      </c>
      <c r="Q978" s="11" t="n">
        <v>10.35</v>
      </c>
      <c r="R978" s="11" t="n">
        <f aca="false">SUM(K978:Q978)</f>
        <v>100.91</v>
      </c>
      <c r="S978" s="11" t="n">
        <f aca="false">R978/(1-Resumo!$C$6)</f>
        <v>114.670454545455</v>
      </c>
      <c r="T978" s="11" t="n">
        <f aca="false">S978-J978</f>
        <v>32.0004545454545</v>
      </c>
      <c r="U978" s="12" t="n">
        <f aca="false">IFERROR(S978/J978-1,0)</f>
        <v>0.387086664394031</v>
      </c>
      <c r="V978" s="2" t="str">
        <f aca="false">IF(S978&lt;J978,"SIM","NÃO")</f>
        <v>NÃO</v>
      </c>
      <c r="W978" s="2" t="n">
        <v>5</v>
      </c>
      <c r="X978" s="2" t="s">
        <v>156</v>
      </c>
    </row>
    <row r="979" customFormat="false" ht="15" hidden="false" customHeight="false" outlineLevel="0" collapsed="false">
      <c r="A979" s="2" t="n">
        <v>376238500</v>
      </c>
      <c r="B979" s="29" t="n">
        <v>46248.3683912037</v>
      </c>
      <c r="C979" s="2" t="s">
        <v>153</v>
      </c>
      <c r="D979" s="2" t="s">
        <v>1134</v>
      </c>
      <c r="E979" s="2" t="s">
        <v>91</v>
      </c>
      <c r="F979" s="2" t="s">
        <v>108</v>
      </c>
      <c r="G979" s="30" t="n">
        <v>41.4</v>
      </c>
      <c r="H979" s="11" t="n">
        <v>449.99</v>
      </c>
      <c r="I979" s="11" t="s">
        <v>350</v>
      </c>
      <c r="J979" s="11" t="n">
        <v>128.5</v>
      </c>
      <c r="K979" s="11" t="n">
        <v>129.29</v>
      </c>
      <c r="L979" s="11" t="n">
        <v>0.45</v>
      </c>
      <c r="M979" s="11" t="n">
        <v>0.9</v>
      </c>
      <c r="N979" s="11" t="n">
        <v>1</v>
      </c>
      <c r="O979" s="11" t="n">
        <v>4.5</v>
      </c>
      <c r="P979" s="11" t="n">
        <v>2.52</v>
      </c>
      <c r="Q979" s="11" t="n">
        <v>18.9</v>
      </c>
      <c r="R979" s="11" t="n">
        <f aca="false">SUM(K979:Q979)</f>
        <v>157.56</v>
      </c>
      <c r="S979" s="11" t="n">
        <f aca="false">R979/(1-Resumo!$C$6)</f>
        <v>179.045454545455</v>
      </c>
      <c r="T979" s="11" t="n">
        <f aca="false">S979-J979</f>
        <v>50.5454545454546</v>
      </c>
      <c r="U979" s="12" t="n">
        <f aca="false">IFERROR(S979/J979-1,0)</f>
        <v>0.393349840820658</v>
      </c>
      <c r="V979" s="2" t="str">
        <f aca="false">IF(S979&lt;J979,"SIM","NÃO")</f>
        <v>NÃO</v>
      </c>
      <c r="W979" s="2" t="n">
        <v>10</v>
      </c>
      <c r="X979" s="2" t="s">
        <v>156</v>
      </c>
    </row>
    <row r="980" customFormat="false" ht="15" hidden="false" customHeight="false" outlineLevel="0" collapsed="false">
      <c r="A980" s="2" t="n">
        <v>376256435</v>
      </c>
      <c r="B980" s="29" t="n">
        <v>46248.3989467593</v>
      </c>
      <c r="C980" s="2" t="s">
        <v>153</v>
      </c>
      <c r="D980" s="2" t="s">
        <v>1135</v>
      </c>
      <c r="E980" s="2" t="s">
        <v>160</v>
      </c>
      <c r="F980" s="2" t="s">
        <v>107</v>
      </c>
      <c r="G980" s="30" t="n">
        <v>37.6</v>
      </c>
      <c r="H980" s="11" t="n">
        <v>391.05</v>
      </c>
      <c r="I980" s="11" t="s">
        <v>350</v>
      </c>
      <c r="J980" s="11" t="n">
        <v>113.83</v>
      </c>
      <c r="K980" s="11" t="n">
        <v>93.97</v>
      </c>
      <c r="L980" s="11" t="n">
        <v>0.391</v>
      </c>
      <c r="M980" s="11" t="n">
        <v>0.7821</v>
      </c>
      <c r="N980" s="11" t="n">
        <v>1</v>
      </c>
      <c r="O980" s="11" t="n">
        <v>4.5</v>
      </c>
      <c r="P980" s="11" t="n">
        <v>2.28</v>
      </c>
      <c r="Q980" s="11" t="n">
        <v>17.1</v>
      </c>
      <c r="R980" s="11" t="n">
        <f aca="false">SUM(K980:Q980)</f>
        <v>120.0231</v>
      </c>
      <c r="S980" s="11" t="n">
        <f aca="false">R980/(1-Resumo!$C$6)</f>
        <v>136.389886363636</v>
      </c>
      <c r="T980" s="11" t="n">
        <f aca="false">S980-J980</f>
        <v>22.5598863636364</v>
      </c>
      <c r="U980" s="12" t="n">
        <f aca="false">IFERROR(S980/J980-1,0)</f>
        <v>0.19818928545758</v>
      </c>
      <c r="V980" s="2" t="str">
        <f aca="false">IF(S980&lt;J980,"SIM","NÃO")</f>
        <v>NÃO</v>
      </c>
      <c r="W980" s="2" t="n">
        <v>5</v>
      </c>
      <c r="X980" s="2" t="s">
        <v>161</v>
      </c>
    </row>
    <row r="981" customFormat="false" ht="15" hidden="false" customHeight="false" outlineLevel="0" collapsed="false">
      <c r="A981" s="2" t="n">
        <v>376269648</v>
      </c>
      <c r="B981" s="29" t="n">
        <v>46248.4164351852</v>
      </c>
      <c r="C981" s="2" t="s">
        <v>153</v>
      </c>
      <c r="D981" s="2" t="s">
        <v>882</v>
      </c>
      <c r="E981" s="2" t="s">
        <v>78</v>
      </c>
      <c r="F981" s="2" t="s">
        <v>109</v>
      </c>
      <c r="G981" s="30" t="n">
        <v>52.3</v>
      </c>
      <c r="H981" s="11" t="n">
        <v>699.99</v>
      </c>
      <c r="I981" s="11" t="s">
        <v>155</v>
      </c>
      <c r="J981" s="11" t="n">
        <v>114.5</v>
      </c>
      <c r="K981" s="11" t="n">
        <v>112.3</v>
      </c>
      <c r="L981" s="11" t="n">
        <v>0.7</v>
      </c>
      <c r="M981" s="11" t="n">
        <v>1.4</v>
      </c>
      <c r="N981" s="11" t="n">
        <v>1</v>
      </c>
      <c r="O981" s="11" t="n">
        <v>4.5</v>
      </c>
      <c r="P981" s="11" t="n">
        <v>3.18</v>
      </c>
      <c r="Q981" s="11" t="n">
        <v>23.85</v>
      </c>
      <c r="R981" s="11" t="n">
        <f aca="false">SUM(K981:Q981)</f>
        <v>146.93</v>
      </c>
      <c r="S981" s="11" t="n">
        <f aca="false">R981/(1-Resumo!$C$6)</f>
        <v>166.965909090909</v>
      </c>
      <c r="T981" s="11" t="n">
        <f aca="false">S981-J981</f>
        <v>52.4659090909091</v>
      </c>
      <c r="U981" s="12" t="n">
        <f aca="false">IFERROR(S981/J981-1,0)</f>
        <v>0.458217546645494</v>
      </c>
      <c r="V981" s="2" t="str">
        <f aca="false">IF(S981&lt;J981,"SIM","NÃO")</f>
        <v>NÃO</v>
      </c>
      <c r="W981" s="2" t="n">
        <v>5</v>
      </c>
      <c r="X981" s="2" t="s">
        <v>156</v>
      </c>
    </row>
    <row r="982" customFormat="false" ht="15" hidden="false" customHeight="false" outlineLevel="0" collapsed="false">
      <c r="A982" s="2" t="n">
        <v>376270939</v>
      </c>
      <c r="B982" s="29" t="n">
        <v>46248.4182523148</v>
      </c>
      <c r="C982" s="2" t="s">
        <v>153</v>
      </c>
      <c r="D982" s="2" t="s">
        <v>1136</v>
      </c>
      <c r="E982" s="2" t="s">
        <v>81</v>
      </c>
      <c r="F982" s="2" t="s">
        <v>110</v>
      </c>
      <c r="G982" s="30" t="n">
        <v>63.9</v>
      </c>
      <c r="H982" s="11" t="n">
        <v>753.78</v>
      </c>
      <c r="I982" s="11" t="s">
        <v>155</v>
      </c>
      <c r="J982" s="11" t="n">
        <v>140.06</v>
      </c>
      <c r="K982" s="11" t="n">
        <v>131.02</v>
      </c>
      <c r="L982" s="11" t="n">
        <v>0.7538</v>
      </c>
      <c r="M982" s="11" t="n">
        <v>1.5076</v>
      </c>
      <c r="N982" s="11" t="n">
        <v>1</v>
      </c>
      <c r="O982" s="11" t="n">
        <v>4.5</v>
      </c>
      <c r="P982" s="11" t="n">
        <v>3.84</v>
      </c>
      <c r="Q982" s="11" t="n">
        <v>28.8</v>
      </c>
      <c r="R982" s="11" t="n">
        <f aca="false">SUM(K982:Q982)</f>
        <v>171.4214</v>
      </c>
      <c r="S982" s="11" t="n">
        <f aca="false">R982/(1-Resumo!$C$6)</f>
        <v>194.797045454546</v>
      </c>
      <c r="T982" s="11" t="n">
        <f aca="false">S982-J982</f>
        <v>54.7370454545455</v>
      </c>
      <c r="U982" s="12" t="n">
        <f aca="false">IFERROR(S982/J982-1,0)</f>
        <v>0.390811405501539</v>
      </c>
      <c r="V982" s="2" t="str">
        <f aca="false">IF(S982&lt;J982,"SIM","NÃO")</f>
        <v>NÃO</v>
      </c>
      <c r="W982" s="2" t="n">
        <v>5</v>
      </c>
      <c r="X982" s="2" t="s">
        <v>156</v>
      </c>
    </row>
    <row r="983" customFormat="false" ht="15" hidden="false" customHeight="false" outlineLevel="0" collapsed="false">
      <c r="A983" s="2" t="n">
        <v>376291149</v>
      </c>
      <c r="B983" s="29" t="n">
        <v>46248.4437152778</v>
      </c>
      <c r="C983" s="2" t="s">
        <v>153</v>
      </c>
      <c r="D983" s="2" t="s">
        <v>1137</v>
      </c>
      <c r="E983" s="2" t="s">
        <v>78</v>
      </c>
      <c r="F983" s="2" t="s">
        <v>109</v>
      </c>
      <c r="G983" s="30" t="n">
        <v>52.3</v>
      </c>
      <c r="H983" s="11" t="n">
        <v>699.99</v>
      </c>
      <c r="I983" s="11" t="s">
        <v>350</v>
      </c>
      <c r="J983" s="11" t="n">
        <v>113.63</v>
      </c>
      <c r="K983" s="11" t="n">
        <v>112.3</v>
      </c>
      <c r="L983" s="11" t="n">
        <v>0.7</v>
      </c>
      <c r="M983" s="11" t="n">
        <v>1.4</v>
      </c>
      <c r="N983" s="11" t="n">
        <v>1</v>
      </c>
      <c r="O983" s="11" t="n">
        <v>4.5</v>
      </c>
      <c r="P983" s="11" t="n">
        <v>3.18</v>
      </c>
      <c r="Q983" s="11" t="n">
        <v>23.85</v>
      </c>
      <c r="R983" s="11" t="n">
        <f aca="false">SUM(K983:Q983)</f>
        <v>146.93</v>
      </c>
      <c r="S983" s="11" t="n">
        <f aca="false">R983/(1-Resumo!$C$6)</f>
        <v>166.965909090909</v>
      </c>
      <c r="T983" s="11" t="n">
        <f aca="false">S983-J983</f>
        <v>53.3359090909091</v>
      </c>
      <c r="U983" s="12" t="n">
        <f aca="false">IFERROR(S983/J983-1,0)</f>
        <v>0.469382285407983</v>
      </c>
      <c r="V983" s="2" t="str">
        <f aca="false">IF(S983&lt;J983,"SIM","NÃO")</f>
        <v>NÃO</v>
      </c>
      <c r="W983" s="2" t="n">
        <v>5</v>
      </c>
      <c r="X983" s="2" t="s">
        <v>156</v>
      </c>
    </row>
    <row r="984" customFormat="false" ht="15" hidden="false" customHeight="false" outlineLevel="0" collapsed="false">
      <c r="A984" s="2" t="n">
        <v>376322708</v>
      </c>
      <c r="B984" s="29" t="n">
        <v>46248.4835532407</v>
      </c>
      <c r="C984" s="2" t="s">
        <v>158</v>
      </c>
      <c r="D984" s="2" t="s">
        <v>1138</v>
      </c>
      <c r="E984" s="2" t="s">
        <v>78</v>
      </c>
      <c r="F984" s="2" t="s">
        <v>109</v>
      </c>
      <c r="G984" s="30" t="n">
        <v>53.5</v>
      </c>
      <c r="H984" s="11" t="n">
        <v>582.96</v>
      </c>
      <c r="I984" s="11" t="s">
        <v>155</v>
      </c>
      <c r="J984" s="11" t="n">
        <v>113.95</v>
      </c>
      <c r="K984" s="11" t="n">
        <v>112.3</v>
      </c>
      <c r="L984" s="11" t="n">
        <v>0.583</v>
      </c>
      <c r="M984" s="11" t="n">
        <v>1.1659</v>
      </c>
      <c r="N984" s="11" t="n">
        <v>1</v>
      </c>
      <c r="O984" s="11" t="n">
        <v>4.5</v>
      </c>
      <c r="P984" s="11" t="n">
        <v>3.24</v>
      </c>
      <c r="Q984" s="11" t="n">
        <v>24.3</v>
      </c>
      <c r="R984" s="11" t="n">
        <f aca="false">SUM(K984:Q984)</f>
        <v>147.0889</v>
      </c>
      <c r="S984" s="11" t="n">
        <f aca="false">R984/(1-Resumo!$C$6)</f>
        <v>167.146477272727</v>
      </c>
      <c r="T984" s="11" t="n">
        <f aca="false">S984-J984</f>
        <v>53.1964772727273</v>
      </c>
      <c r="U984" s="12" t="n">
        <f aca="false">IFERROR(S984/J984-1,0)</f>
        <v>0.466840520164346</v>
      </c>
      <c r="V984" s="2" t="str">
        <f aca="false">IF(S984&lt;J984,"SIM","NÃO")</f>
        <v>NÃO</v>
      </c>
      <c r="W984" s="2" t="n">
        <v>5</v>
      </c>
      <c r="X984" s="2" t="s">
        <v>156</v>
      </c>
    </row>
    <row r="985" customFormat="false" ht="15" hidden="false" customHeight="false" outlineLevel="0" collapsed="false">
      <c r="A985" s="2" t="n">
        <v>376329870</v>
      </c>
      <c r="B985" s="29" t="n">
        <v>46248.4919212963</v>
      </c>
      <c r="C985" s="2" t="s">
        <v>153</v>
      </c>
      <c r="D985" s="2" t="s">
        <v>1139</v>
      </c>
      <c r="E985" s="2" t="s">
        <v>448</v>
      </c>
      <c r="F985" s="2" t="s">
        <v>110</v>
      </c>
      <c r="G985" s="30" t="n">
        <v>69.45</v>
      </c>
      <c r="H985" s="11" t="n">
        <v>859.99</v>
      </c>
      <c r="I985" s="11" t="s">
        <v>350</v>
      </c>
      <c r="J985" s="11" t="n">
        <v>159</v>
      </c>
      <c r="K985" s="11" t="n">
        <v>166.05</v>
      </c>
      <c r="L985" s="11" t="n">
        <v>0.86</v>
      </c>
      <c r="M985" s="11" t="n">
        <v>1.72</v>
      </c>
      <c r="N985" s="11" t="n">
        <v>1</v>
      </c>
      <c r="O985" s="11" t="n">
        <v>4.5</v>
      </c>
      <c r="P985" s="11" t="n">
        <v>4.2</v>
      </c>
      <c r="Q985" s="11" t="n">
        <v>31.5</v>
      </c>
      <c r="R985" s="11" t="n">
        <f aca="false">SUM(K985:Q985)</f>
        <v>209.83</v>
      </c>
      <c r="S985" s="11" t="n">
        <f aca="false">R985/(1-Resumo!$C$6)</f>
        <v>238.443181818182</v>
      </c>
      <c r="T985" s="11" t="n">
        <f aca="false">S985-J985</f>
        <v>79.4431818181818</v>
      </c>
      <c r="U985" s="12" t="n">
        <f aca="false">IFERROR(S985/J985-1,0)</f>
        <v>0.49964265294454</v>
      </c>
      <c r="V985" s="2" t="str">
        <f aca="false">IF(S985&lt;J985,"SIM","NÃO")</f>
        <v>NÃO</v>
      </c>
      <c r="W985" s="2" t="n">
        <v>10</v>
      </c>
      <c r="X985" s="2" t="s">
        <v>161</v>
      </c>
    </row>
    <row r="986" customFormat="false" ht="15" hidden="false" customHeight="false" outlineLevel="0" collapsed="false">
      <c r="A986" s="2" t="n">
        <v>376329163</v>
      </c>
      <c r="B986" s="29" t="n">
        <v>46248.4941319445</v>
      </c>
      <c r="C986" s="2" t="s">
        <v>178</v>
      </c>
      <c r="D986" s="2" t="s">
        <v>1140</v>
      </c>
      <c r="E986" s="2" t="s">
        <v>78</v>
      </c>
      <c r="F986" s="2" t="s">
        <v>106</v>
      </c>
      <c r="G986" s="30" t="n">
        <v>33</v>
      </c>
      <c r="H986" s="11" t="n">
        <v>459.99</v>
      </c>
      <c r="I986" s="11" t="s">
        <v>155</v>
      </c>
      <c r="J986" s="11" t="n">
        <v>82.53</v>
      </c>
      <c r="K986" s="11" t="n">
        <v>82.21</v>
      </c>
      <c r="L986" s="11" t="n">
        <v>0.46</v>
      </c>
      <c r="M986" s="11" t="n">
        <v>0.92</v>
      </c>
      <c r="N986" s="11" t="n">
        <v>1</v>
      </c>
      <c r="O986" s="11" t="n">
        <v>4.5</v>
      </c>
      <c r="P986" s="11" t="n">
        <v>1.98</v>
      </c>
      <c r="Q986" s="11" t="n">
        <v>14.85</v>
      </c>
      <c r="R986" s="11" t="n">
        <f aca="false">SUM(K986:Q986)</f>
        <v>105.92</v>
      </c>
      <c r="S986" s="11" t="n">
        <f aca="false">R986/(1-Resumo!$C$6)</f>
        <v>120.363636363636</v>
      </c>
      <c r="T986" s="11" t="n">
        <f aca="false">S986-J986</f>
        <v>37.8336363636363</v>
      </c>
      <c r="U986" s="12" t="n">
        <f aca="false">IFERROR(S986/J986-1,0)</f>
        <v>0.458422832468634</v>
      </c>
      <c r="V986" s="2" t="str">
        <f aca="false">IF(S986&lt;J986,"SIM","NÃO")</f>
        <v>NÃO</v>
      </c>
      <c r="W986" s="2" t="n">
        <v>5</v>
      </c>
      <c r="X986" s="2" t="s">
        <v>156</v>
      </c>
    </row>
    <row r="987" customFormat="false" ht="15" hidden="false" customHeight="false" outlineLevel="0" collapsed="false">
      <c r="A987" s="2" t="n">
        <v>376335434</v>
      </c>
      <c r="B987" s="29" t="n">
        <v>46248.49875</v>
      </c>
      <c r="C987" s="2" t="s">
        <v>153</v>
      </c>
      <c r="D987" s="2" t="s">
        <v>878</v>
      </c>
      <c r="E987" s="2" t="s">
        <v>78</v>
      </c>
      <c r="F987" s="2" t="s">
        <v>107</v>
      </c>
      <c r="G987" s="30" t="n">
        <v>38.15</v>
      </c>
      <c r="H987" s="11" t="n">
        <v>459.99</v>
      </c>
      <c r="I987" s="11" t="s">
        <v>350</v>
      </c>
      <c r="J987" s="11" t="n">
        <v>93.68</v>
      </c>
      <c r="K987" s="11" t="n">
        <v>93.97</v>
      </c>
      <c r="L987" s="11" t="n">
        <v>0.46</v>
      </c>
      <c r="M987" s="11" t="n">
        <v>0.92</v>
      </c>
      <c r="N987" s="11" t="n">
        <v>1</v>
      </c>
      <c r="O987" s="11" t="n">
        <v>4.5</v>
      </c>
      <c r="P987" s="11" t="n">
        <v>2.34</v>
      </c>
      <c r="Q987" s="11" t="n">
        <v>17.55</v>
      </c>
      <c r="R987" s="11" t="n">
        <f aca="false">SUM(K987:Q987)</f>
        <v>120.74</v>
      </c>
      <c r="S987" s="11" t="n">
        <f aca="false">R987/(1-Resumo!$C$6)</f>
        <v>137.204545454545</v>
      </c>
      <c r="T987" s="11" t="n">
        <f aca="false">S987-J987</f>
        <v>43.5245454545454</v>
      </c>
      <c r="U987" s="12" t="n">
        <f aca="false">IFERROR(S987/J987-1,0)</f>
        <v>0.464608726030587</v>
      </c>
      <c r="V987" s="2" t="str">
        <f aca="false">IF(S987&lt;J987,"SIM","NÃO")</f>
        <v>NÃO</v>
      </c>
      <c r="W987" s="2" t="n">
        <v>5</v>
      </c>
      <c r="X987" s="2" t="s">
        <v>156</v>
      </c>
    </row>
    <row r="988" customFormat="false" ht="15" hidden="false" customHeight="false" outlineLevel="0" collapsed="false">
      <c r="A988" s="2" t="n">
        <v>376350101</v>
      </c>
      <c r="B988" s="29" t="n">
        <v>46248.5171064815</v>
      </c>
      <c r="C988" s="2" t="s">
        <v>153</v>
      </c>
      <c r="D988" s="2" t="s">
        <v>1141</v>
      </c>
      <c r="E988" s="2" t="s">
        <v>78</v>
      </c>
      <c r="F988" s="2" t="s">
        <v>110</v>
      </c>
      <c r="G988" s="30" t="n">
        <v>63.9</v>
      </c>
      <c r="H988" s="11" t="n">
        <v>730.98</v>
      </c>
      <c r="I988" s="11" t="s">
        <v>350</v>
      </c>
      <c r="J988" s="11" t="n">
        <v>124.65</v>
      </c>
      <c r="K988" s="11" t="n">
        <v>131.02</v>
      </c>
      <c r="L988" s="11" t="n">
        <v>0.731</v>
      </c>
      <c r="M988" s="11" t="n">
        <v>1.462</v>
      </c>
      <c r="N988" s="11" t="n">
        <v>1</v>
      </c>
      <c r="O988" s="11" t="n">
        <v>4.5</v>
      </c>
      <c r="P988" s="11" t="n">
        <v>3.84</v>
      </c>
      <c r="Q988" s="11" t="n">
        <v>28.8</v>
      </c>
      <c r="R988" s="11" t="n">
        <f aca="false">SUM(K988:Q988)</f>
        <v>171.353</v>
      </c>
      <c r="S988" s="11" t="n">
        <f aca="false">R988/(1-Resumo!$C$6)</f>
        <v>194.719318181818</v>
      </c>
      <c r="T988" s="11" t="n">
        <f aca="false">S988-J988</f>
        <v>70.0693181818182</v>
      </c>
      <c r="U988" s="12" t="n">
        <f aca="false">IFERROR(S988/J988-1,0)</f>
        <v>0.5621285052693</v>
      </c>
      <c r="V988" s="2" t="str">
        <f aca="false">IF(S988&lt;J988,"SIM","NÃO")</f>
        <v>NÃO</v>
      </c>
      <c r="W988" s="2" t="n">
        <v>5</v>
      </c>
      <c r="X988" s="2" t="s">
        <v>156</v>
      </c>
    </row>
    <row r="989" customFormat="false" ht="15" hidden="false" customHeight="false" outlineLevel="0" collapsed="false">
      <c r="A989" s="2" t="n">
        <v>376351218</v>
      </c>
      <c r="B989" s="29" t="n">
        <v>46248.5183449074</v>
      </c>
      <c r="C989" s="2" t="s">
        <v>158</v>
      </c>
      <c r="D989" s="2" t="s">
        <v>1142</v>
      </c>
      <c r="E989" s="2" t="s">
        <v>90</v>
      </c>
      <c r="F989" s="2" t="s">
        <v>109</v>
      </c>
      <c r="G989" s="30" t="n">
        <v>58.5</v>
      </c>
      <c r="H989" s="11" t="n">
        <v>863.2</v>
      </c>
      <c r="I989" s="11" t="s">
        <v>350</v>
      </c>
      <c r="J989" s="11" t="n">
        <v>145.85</v>
      </c>
      <c r="K989" s="11" t="n">
        <v>128.14</v>
      </c>
      <c r="L989" s="11" t="n">
        <v>0.8632</v>
      </c>
      <c r="M989" s="11" t="n">
        <v>1.7264</v>
      </c>
      <c r="N989" s="11" t="n">
        <v>1</v>
      </c>
      <c r="O989" s="11" t="n">
        <v>4.5</v>
      </c>
      <c r="P989" s="11" t="n">
        <v>3.54</v>
      </c>
      <c r="Q989" s="11" t="n">
        <v>26.55</v>
      </c>
      <c r="R989" s="11" t="n">
        <f aca="false">SUM(K989:Q989)</f>
        <v>166.3196</v>
      </c>
      <c r="S989" s="11" t="n">
        <f aca="false">R989/(1-Resumo!$C$6)</f>
        <v>188.999545454545</v>
      </c>
      <c r="T989" s="11" t="n">
        <f aca="false">S989-J989</f>
        <v>43.1495454545455</v>
      </c>
      <c r="U989" s="12" t="n">
        <f aca="false">IFERROR(S989/J989-1,0)</f>
        <v>0.295848786112756</v>
      </c>
      <c r="V989" s="2" t="str">
        <f aca="false">IF(S989&lt;J989,"SIM","NÃO")</f>
        <v>NÃO</v>
      </c>
      <c r="W989" s="2" t="n">
        <v>7</v>
      </c>
      <c r="X989" s="2" t="s">
        <v>156</v>
      </c>
    </row>
    <row r="990" customFormat="false" ht="15" hidden="false" customHeight="false" outlineLevel="0" collapsed="false">
      <c r="A990" s="2" t="n">
        <v>376363880</v>
      </c>
      <c r="B990" s="29" t="n">
        <v>46248.5362962963</v>
      </c>
      <c r="C990" s="2" t="s">
        <v>191</v>
      </c>
      <c r="D990" s="2" t="s">
        <v>1143</v>
      </c>
      <c r="E990" s="2" t="s">
        <v>78</v>
      </c>
      <c r="F990" s="2" t="s">
        <v>108</v>
      </c>
      <c r="G990" s="30" t="n">
        <v>48.3</v>
      </c>
      <c r="H990" s="11" t="n">
        <v>399.99</v>
      </c>
      <c r="I990" s="11" t="s">
        <v>350</v>
      </c>
      <c r="J990" s="11" t="n">
        <v>104.41</v>
      </c>
      <c r="K990" s="11" t="n">
        <v>93.97</v>
      </c>
      <c r="L990" s="11" t="n">
        <v>0.4</v>
      </c>
      <c r="M990" s="11" t="n">
        <v>0.8</v>
      </c>
      <c r="N990" s="11" t="n">
        <v>1</v>
      </c>
      <c r="O990" s="11" t="n">
        <v>4.5</v>
      </c>
      <c r="P990" s="11" t="n">
        <v>2.94</v>
      </c>
      <c r="Q990" s="11" t="n">
        <v>22.05</v>
      </c>
      <c r="R990" s="11" t="n">
        <f aca="false">SUM(K990:Q990)</f>
        <v>125.66</v>
      </c>
      <c r="S990" s="11" t="n">
        <f aca="false">R990/(1-Resumo!$C$6)</f>
        <v>142.795454545455</v>
      </c>
      <c r="T990" s="11" t="n">
        <f aca="false">S990-J990</f>
        <v>38.3854545454545</v>
      </c>
      <c r="U990" s="12" t="n">
        <f aca="false">IFERROR(S990/J990-1,0)</f>
        <v>0.367641552968629</v>
      </c>
      <c r="V990" s="2" t="str">
        <f aca="false">IF(S990&lt;J990,"SIM","NÃO")</f>
        <v>NÃO</v>
      </c>
      <c r="W990" s="2" t="n">
        <v>5</v>
      </c>
      <c r="X990" s="2" t="s">
        <v>156</v>
      </c>
    </row>
    <row r="991" customFormat="false" ht="15" hidden="false" customHeight="false" outlineLevel="0" collapsed="false">
      <c r="A991" s="2" t="n">
        <v>376388715</v>
      </c>
      <c r="B991" s="29" t="n">
        <v>46248.5650347222</v>
      </c>
      <c r="C991" s="2" t="s">
        <v>153</v>
      </c>
      <c r="D991" s="2" t="s">
        <v>1144</v>
      </c>
      <c r="E991" s="2" t="s">
        <v>78</v>
      </c>
      <c r="F991" s="2" t="s">
        <v>108</v>
      </c>
      <c r="G991" s="30" t="n">
        <v>41</v>
      </c>
      <c r="H991" s="11" t="n">
        <v>559.99</v>
      </c>
      <c r="I991" s="11" t="s">
        <v>155</v>
      </c>
      <c r="J991" s="11" t="n">
        <v>103.27</v>
      </c>
      <c r="K991" s="11" t="n">
        <v>93.97</v>
      </c>
      <c r="L991" s="11" t="n">
        <v>0.56</v>
      </c>
      <c r="M991" s="11" t="n">
        <v>1.12</v>
      </c>
      <c r="N991" s="11" t="n">
        <v>1</v>
      </c>
      <c r="O991" s="11" t="n">
        <v>4.5</v>
      </c>
      <c r="P991" s="11" t="n">
        <v>2.46</v>
      </c>
      <c r="Q991" s="11" t="n">
        <v>18.45</v>
      </c>
      <c r="R991" s="11" t="n">
        <f aca="false">SUM(K991:Q991)</f>
        <v>122.06</v>
      </c>
      <c r="S991" s="11" t="n">
        <f aca="false">R991/(1-Resumo!$C$6)</f>
        <v>138.704545454545</v>
      </c>
      <c r="T991" s="11" t="n">
        <f aca="false">S991-J991</f>
        <v>35.4345454545455</v>
      </c>
      <c r="U991" s="12" t="n">
        <f aca="false">IFERROR(S991/J991-1,0)</f>
        <v>0.343125258589576</v>
      </c>
      <c r="V991" s="2" t="str">
        <f aca="false">IF(S991&lt;J991,"SIM","NÃO")</f>
        <v>NÃO</v>
      </c>
      <c r="W991" s="2" t="n">
        <v>5</v>
      </c>
      <c r="X991" s="2" t="s">
        <v>156</v>
      </c>
    </row>
    <row r="992" customFormat="false" ht="15" hidden="false" customHeight="false" outlineLevel="0" collapsed="false">
      <c r="A992" s="2" t="n">
        <v>376400563</v>
      </c>
      <c r="B992" s="29" t="n">
        <v>46248.5833680556</v>
      </c>
      <c r="C992" s="2" t="s">
        <v>153</v>
      </c>
      <c r="D992" s="2" t="s">
        <v>1145</v>
      </c>
      <c r="E992" s="2" t="s">
        <v>78</v>
      </c>
      <c r="F992" s="2" t="s">
        <v>109</v>
      </c>
      <c r="G992" s="30" t="n">
        <v>52.3</v>
      </c>
      <c r="H992" s="11" t="n">
        <v>577.12</v>
      </c>
      <c r="I992" s="11" t="s">
        <v>155</v>
      </c>
      <c r="J992" s="11" t="n">
        <v>113.91</v>
      </c>
      <c r="K992" s="11" t="n">
        <v>112.3</v>
      </c>
      <c r="L992" s="11" t="n">
        <v>0.5771</v>
      </c>
      <c r="M992" s="11" t="n">
        <v>1.1542</v>
      </c>
      <c r="N992" s="11" t="n">
        <v>1</v>
      </c>
      <c r="O992" s="11" t="n">
        <v>4.5</v>
      </c>
      <c r="P992" s="11" t="n">
        <v>3.18</v>
      </c>
      <c r="Q992" s="11" t="n">
        <v>23.85</v>
      </c>
      <c r="R992" s="11" t="n">
        <f aca="false">SUM(K992:Q992)</f>
        <v>146.5613</v>
      </c>
      <c r="S992" s="11" t="n">
        <f aca="false">R992/(1-Resumo!$C$6)</f>
        <v>166.546931818182</v>
      </c>
      <c r="T992" s="11" t="n">
        <f aca="false">S992-J992</f>
        <v>52.6369318181818</v>
      </c>
      <c r="U992" s="12" t="n">
        <f aca="false">IFERROR(S992/J992-1,0)</f>
        <v>0.46209228178546</v>
      </c>
      <c r="V992" s="2" t="str">
        <f aca="false">IF(S992&lt;J992,"SIM","NÃO")</f>
        <v>NÃO</v>
      </c>
      <c r="W992" s="2" t="n">
        <v>5</v>
      </c>
      <c r="X992" s="2" t="s">
        <v>156</v>
      </c>
    </row>
    <row r="993" customFormat="false" ht="15" hidden="false" customHeight="false" outlineLevel="0" collapsed="false">
      <c r="A993" s="2" t="n">
        <v>376400804</v>
      </c>
      <c r="B993" s="29" t="n">
        <v>46248.5839236111</v>
      </c>
      <c r="C993" s="2" t="s">
        <v>153</v>
      </c>
      <c r="D993" s="2" t="s">
        <v>1146</v>
      </c>
      <c r="E993" s="2" t="s">
        <v>219</v>
      </c>
      <c r="F993" s="2" t="s">
        <v>106</v>
      </c>
      <c r="G993" s="30" t="n">
        <v>30.5</v>
      </c>
      <c r="H993" s="11" t="n">
        <v>413.55</v>
      </c>
      <c r="I993" s="11" t="s">
        <v>350</v>
      </c>
      <c r="J993" s="11" t="n">
        <v>109</v>
      </c>
      <c r="K993" s="11" t="n">
        <v>108.83</v>
      </c>
      <c r="L993" s="11" t="n">
        <v>0.4136</v>
      </c>
      <c r="M993" s="11" t="n">
        <v>0.8271</v>
      </c>
      <c r="N993" s="11" t="n">
        <v>1</v>
      </c>
      <c r="O993" s="11" t="n">
        <v>4.5</v>
      </c>
      <c r="P993" s="11" t="n">
        <v>1.86</v>
      </c>
      <c r="Q993" s="11" t="n">
        <v>13.95</v>
      </c>
      <c r="R993" s="11" t="n">
        <f aca="false">SUM(K993:Q993)</f>
        <v>131.3807</v>
      </c>
      <c r="S993" s="11" t="n">
        <f aca="false">R993/(1-Resumo!$C$6)</f>
        <v>149.29625</v>
      </c>
      <c r="T993" s="11" t="n">
        <f aca="false">S993-J993</f>
        <v>40.29625</v>
      </c>
      <c r="U993" s="12" t="n">
        <f aca="false">IFERROR(S993/J993-1,0)</f>
        <v>0.369690366972477</v>
      </c>
      <c r="V993" s="2" t="str">
        <f aca="false">IF(S993&lt;J993,"SIM","NÃO")</f>
        <v>NÃO</v>
      </c>
      <c r="W993" s="2" t="n">
        <v>10</v>
      </c>
      <c r="X993" s="2" t="s">
        <v>161</v>
      </c>
    </row>
    <row r="994" customFormat="false" ht="15" hidden="false" customHeight="false" outlineLevel="0" collapsed="false">
      <c r="A994" s="2" t="n">
        <v>376401079</v>
      </c>
      <c r="B994" s="29" t="n">
        <v>46248.5845023148</v>
      </c>
      <c r="C994" s="2" t="s">
        <v>153</v>
      </c>
      <c r="D994" s="2" t="s">
        <v>1147</v>
      </c>
      <c r="E994" s="2" t="s">
        <v>169</v>
      </c>
      <c r="F994" s="2" t="s">
        <v>106</v>
      </c>
      <c r="G994" s="30" t="n">
        <v>27.6</v>
      </c>
      <c r="H994" s="11" t="n">
        <v>579.59</v>
      </c>
      <c r="I994" s="11" t="s">
        <v>350</v>
      </c>
      <c r="J994" s="11" t="n">
        <v>108.26</v>
      </c>
      <c r="K994" s="11" t="n">
        <v>103.28</v>
      </c>
      <c r="L994" s="11" t="n">
        <v>0.5796</v>
      </c>
      <c r="M994" s="11" t="n">
        <v>1.1592</v>
      </c>
      <c r="N994" s="11" t="n">
        <v>1</v>
      </c>
      <c r="O994" s="11" t="n">
        <v>4.5</v>
      </c>
      <c r="P994" s="11" t="n">
        <v>1.68</v>
      </c>
      <c r="Q994" s="11" t="n">
        <v>12.6</v>
      </c>
      <c r="R994" s="11" t="n">
        <f aca="false">SUM(K994:Q994)</f>
        <v>124.7988</v>
      </c>
      <c r="S994" s="11" t="n">
        <f aca="false">R994/(1-Resumo!$C$6)</f>
        <v>141.816818181818</v>
      </c>
      <c r="T994" s="11" t="n">
        <f aca="false">S994-J994</f>
        <v>33.5568181818182</v>
      </c>
      <c r="U994" s="12" t="n">
        <f aca="false">IFERROR(S994/J994-1,0)</f>
        <v>0.309965067262314</v>
      </c>
      <c r="V994" s="2" t="str">
        <f aca="false">IF(S994&lt;J994,"SIM","NÃO")</f>
        <v>NÃO</v>
      </c>
      <c r="W994" s="2" t="n">
        <v>6</v>
      </c>
      <c r="X994" s="2" t="s">
        <v>161</v>
      </c>
    </row>
    <row r="995" customFormat="false" ht="15" hidden="false" customHeight="false" outlineLevel="0" collapsed="false">
      <c r="A995" s="2" t="n">
        <v>376430225</v>
      </c>
      <c r="B995" s="29" t="n">
        <v>46248.6290162037</v>
      </c>
      <c r="C995" s="2" t="s">
        <v>153</v>
      </c>
      <c r="D995" s="2" t="s">
        <v>1148</v>
      </c>
      <c r="E995" s="2" t="s">
        <v>160</v>
      </c>
      <c r="F995" s="2" t="s">
        <v>105</v>
      </c>
      <c r="G995" s="30" t="n">
        <v>19.5</v>
      </c>
      <c r="H995" s="11" t="n">
        <v>379.99</v>
      </c>
      <c r="I995" s="11" t="s">
        <v>350</v>
      </c>
      <c r="J995" s="11" t="n">
        <v>77.18</v>
      </c>
      <c r="K995" s="11" t="n">
        <v>46.98</v>
      </c>
      <c r="L995" s="11" t="n">
        <v>0.38</v>
      </c>
      <c r="M995" s="11" t="n">
        <v>0.76</v>
      </c>
      <c r="N995" s="11" t="n">
        <v>1</v>
      </c>
      <c r="O995" s="11" t="n">
        <v>4.5</v>
      </c>
      <c r="P995" s="11" t="n">
        <v>1.2</v>
      </c>
      <c r="Q995" s="11" t="n">
        <v>9</v>
      </c>
      <c r="R995" s="11" t="n">
        <f aca="false">SUM(K995:Q995)</f>
        <v>63.82</v>
      </c>
      <c r="S995" s="11" t="n">
        <f aca="false">R995/(1-Resumo!$C$6)</f>
        <v>72.5227272727273</v>
      </c>
      <c r="T995" s="11" t="n">
        <f aca="false">S995-J995</f>
        <v>-4.65727272727274</v>
      </c>
      <c r="U995" s="12" t="n">
        <f aca="false">IFERROR(S995/J995-1,0)</f>
        <v>-0.0603429998350964</v>
      </c>
      <c r="V995" s="2" t="str">
        <f aca="false">IF(S995&lt;J995,"SIM","NÃO")</f>
        <v>SIM</v>
      </c>
      <c r="W995" s="2" t="n">
        <v>5</v>
      </c>
      <c r="X995" s="2" t="s">
        <v>161</v>
      </c>
    </row>
    <row r="996" customFormat="false" ht="15" hidden="false" customHeight="false" outlineLevel="0" collapsed="false">
      <c r="A996" s="2" t="n">
        <v>376436018</v>
      </c>
      <c r="B996" s="29" t="n">
        <v>46248.63875</v>
      </c>
      <c r="C996" s="2" t="s">
        <v>153</v>
      </c>
      <c r="D996" s="2" t="s">
        <v>1149</v>
      </c>
      <c r="E996" s="2" t="s">
        <v>79</v>
      </c>
      <c r="F996" s="2" t="s">
        <v>109</v>
      </c>
      <c r="G996" s="30" t="n">
        <v>52.3</v>
      </c>
      <c r="H996" s="11" t="n">
        <v>577.12</v>
      </c>
      <c r="I996" s="11" t="s">
        <v>350</v>
      </c>
      <c r="J996" s="11" t="n">
        <v>127.1</v>
      </c>
      <c r="K996" s="11" t="n">
        <v>128.14</v>
      </c>
      <c r="L996" s="11" t="n">
        <v>0.5771</v>
      </c>
      <c r="M996" s="11" t="n">
        <v>1.1542</v>
      </c>
      <c r="N996" s="11" t="n">
        <v>1</v>
      </c>
      <c r="O996" s="11" t="n">
        <v>4.5</v>
      </c>
      <c r="P996" s="11" t="n">
        <v>3.18</v>
      </c>
      <c r="Q996" s="11" t="n">
        <v>23.85</v>
      </c>
      <c r="R996" s="11" t="n">
        <f aca="false">SUM(K996:Q996)</f>
        <v>162.4013</v>
      </c>
      <c r="S996" s="11" t="n">
        <f aca="false">R996/(1-Resumo!$C$6)</f>
        <v>184.546931818182</v>
      </c>
      <c r="T996" s="11" t="n">
        <f aca="false">S996-J996</f>
        <v>57.4469318181818</v>
      </c>
      <c r="U996" s="12" t="n">
        <f aca="false">IFERROR(S996/J996-1,0)</f>
        <v>0.451982154352335</v>
      </c>
      <c r="V996" s="2" t="str">
        <f aca="false">IF(S996&lt;J996,"SIM","NÃO")</f>
        <v>NÃO</v>
      </c>
      <c r="W996" s="2" t="n">
        <v>7</v>
      </c>
      <c r="X996" s="2" t="s">
        <v>156</v>
      </c>
    </row>
    <row r="997" customFormat="false" ht="15" hidden="false" customHeight="false" outlineLevel="0" collapsed="false">
      <c r="A997" s="2" t="n">
        <v>376460320</v>
      </c>
      <c r="B997" s="29" t="n">
        <v>46248.689849537</v>
      </c>
      <c r="C997" s="2" t="s">
        <v>153</v>
      </c>
      <c r="D997" s="2" t="s">
        <v>1150</v>
      </c>
      <c r="E997" s="2" t="s">
        <v>90</v>
      </c>
      <c r="F997" s="2" t="s">
        <v>109</v>
      </c>
      <c r="G997" s="30" t="n">
        <v>52.3</v>
      </c>
      <c r="H997" s="11" t="n">
        <v>699.99</v>
      </c>
      <c r="I997" s="11" t="s">
        <v>350</v>
      </c>
      <c r="J997" s="11" t="n">
        <v>142.01</v>
      </c>
      <c r="K997" s="11" t="n">
        <v>128.14</v>
      </c>
      <c r="L997" s="11" t="n">
        <v>0.7</v>
      </c>
      <c r="M997" s="11" t="n">
        <v>1.4</v>
      </c>
      <c r="N997" s="11" t="n">
        <v>1</v>
      </c>
      <c r="O997" s="11" t="n">
        <v>4.5</v>
      </c>
      <c r="P997" s="11" t="n">
        <v>3.18</v>
      </c>
      <c r="Q997" s="11" t="n">
        <v>23.85</v>
      </c>
      <c r="R997" s="11" t="n">
        <f aca="false">SUM(K997:Q997)</f>
        <v>162.77</v>
      </c>
      <c r="S997" s="11" t="n">
        <f aca="false">R997/(1-Resumo!$C$6)</f>
        <v>184.965909090909</v>
      </c>
      <c r="T997" s="11" t="n">
        <f aca="false">S997-J997</f>
        <v>42.9559090909091</v>
      </c>
      <c r="U997" s="12" t="n">
        <f aca="false">IFERROR(S997/J997-1,0)</f>
        <v>0.30248510028103</v>
      </c>
      <c r="V997" s="2" t="str">
        <f aca="false">IF(S997&lt;J997,"SIM","NÃO")</f>
        <v>NÃO</v>
      </c>
      <c r="W997" s="2" t="n">
        <v>7</v>
      </c>
      <c r="X997" s="2" t="s">
        <v>156</v>
      </c>
    </row>
    <row r="998" customFormat="false" ht="15" hidden="false" customHeight="false" outlineLevel="0" collapsed="false">
      <c r="A998" s="2" t="n">
        <v>376463395</v>
      </c>
      <c r="B998" s="29" t="n">
        <v>46248.6982523148</v>
      </c>
      <c r="C998" s="2" t="s">
        <v>178</v>
      </c>
      <c r="D998" s="2" t="s">
        <v>1151</v>
      </c>
      <c r="E998" s="2" t="s">
        <v>78</v>
      </c>
      <c r="F998" s="2" t="s">
        <v>106</v>
      </c>
      <c r="G998" s="30" t="n">
        <v>27.6</v>
      </c>
      <c r="H998" s="11" t="n">
        <v>659.99</v>
      </c>
      <c r="I998" s="11" t="s">
        <v>155</v>
      </c>
      <c r="J998" s="11" t="n">
        <v>83.49</v>
      </c>
      <c r="K998" s="11" t="n">
        <v>82.21</v>
      </c>
      <c r="L998" s="11" t="n">
        <v>0.66</v>
      </c>
      <c r="M998" s="11" t="n">
        <v>1.32</v>
      </c>
      <c r="N998" s="11" t="n">
        <v>1</v>
      </c>
      <c r="O998" s="11" t="n">
        <v>4.5</v>
      </c>
      <c r="P998" s="11" t="n">
        <v>1.68</v>
      </c>
      <c r="Q998" s="11" t="n">
        <v>12.6</v>
      </c>
      <c r="R998" s="11" t="n">
        <f aca="false">SUM(K998:Q998)</f>
        <v>103.97</v>
      </c>
      <c r="S998" s="11" t="n">
        <f aca="false">R998/(1-Resumo!$C$6)</f>
        <v>118.147727272727</v>
      </c>
      <c r="T998" s="11" t="n">
        <f aca="false">S998-J998</f>
        <v>34.6577272727273</v>
      </c>
      <c r="U998" s="12" t="n">
        <f aca="false">IFERROR(S998/J998-1,0)</f>
        <v>0.415112316118425</v>
      </c>
      <c r="V998" s="2" t="str">
        <f aca="false">IF(S998&lt;J998,"SIM","NÃO")</f>
        <v>NÃO</v>
      </c>
      <c r="W998" s="2" t="n">
        <v>5</v>
      </c>
      <c r="X998" s="2" t="s">
        <v>156</v>
      </c>
    </row>
    <row r="999" customFormat="false" ht="15" hidden="false" customHeight="false" outlineLevel="0" collapsed="false">
      <c r="A999" s="2" t="n">
        <v>376471749</v>
      </c>
      <c r="B999" s="29" t="n">
        <v>46248.7050694445</v>
      </c>
      <c r="C999" s="2" t="s">
        <v>153</v>
      </c>
      <c r="D999" s="2" t="s">
        <v>1152</v>
      </c>
      <c r="E999" s="2" t="s">
        <v>78</v>
      </c>
      <c r="F999" s="2" t="s">
        <v>109</v>
      </c>
      <c r="G999" s="30" t="n">
        <v>52.3</v>
      </c>
      <c r="H999" s="11" t="n">
        <v>577.12</v>
      </c>
      <c r="I999" s="11" t="s">
        <v>155</v>
      </c>
      <c r="J999" s="11" t="n">
        <v>113.91</v>
      </c>
      <c r="K999" s="11" t="n">
        <v>112.3</v>
      </c>
      <c r="L999" s="11" t="n">
        <v>0.5771</v>
      </c>
      <c r="M999" s="11" t="n">
        <v>1.1542</v>
      </c>
      <c r="N999" s="11" t="n">
        <v>1</v>
      </c>
      <c r="O999" s="11" t="n">
        <v>4.5</v>
      </c>
      <c r="P999" s="11" t="n">
        <v>3.18</v>
      </c>
      <c r="Q999" s="11" t="n">
        <v>23.85</v>
      </c>
      <c r="R999" s="11" t="n">
        <f aca="false">SUM(K999:Q999)</f>
        <v>146.5613</v>
      </c>
      <c r="S999" s="11" t="n">
        <f aca="false">R999/(1-Resumo!$C$6)</f>
        <v>166.546931818182</v>
      </c>
      <c r="T999" s="11" t="n">
        <f aca="false">S999-J999</f>
        <v>52.6369318181818</v>
      </c>
      <c r="U999" s="12" t="n">
        <f aca="false">IFERROR(S999/J999-1,0)</f>
        <v>0.46209228178546</v>
      </c>
      <c r="V999" s="2" t="str">
        <f aca="false">IF(S999&lt;J999,"SIM","NÃO")</f>
        <v>NÃO</v>
      </c>
      <c r="W999" s="2" t="n">
        <v>5</v>
      </c>
      <c r="X999" s="2" t="s">
        <v>156</v>
      </c>
    </row>
    <row r="1000" customFormat="false" ht="15" hidden="false" customHeight="false" outlineLevel="0" collapsed="false">
      <c r="A1000" s="2" t="n">
        <v>376482644</v>
      </c>
      <c r="B1000" s="29" t="n">
        <v>46248.7369328704</v>
      </c>
      <c r="C1000" s="2" t="s">
        <v>194</v>
      </c>
      <c r="D1000" s="2" t="s">
        <v>1153</v>
      </c>
      <c r="E1000" s="2" t="s">
        <v>83</v>
      </c>
      <c r="F1000" s="2" t="s">
        <v>109</v>
      </c>
      <c r="G1000" s="30" t="n">
        <v>56.7</v>
      </c>
      <c r="H1000" s="11" t="n">
        <v>783.99</v>
      </c>
      <c r="I1000" s="11" t="s">
        <v>350</v>
      </c>
      <c r="J1000" s="11" t="n">
        <v>144.47</v>
      </c>
      <c r="K1000" s="11" t="n">
        <v>162.04</v>
      </c>
      <c r="L1000" s="11" t="n">
        <v>0.784</v>
      </c>
      <c r="M1000" s="11" t="n">
        <v>1.568</v>
      </c>
      <c r="N1000" s="11" t="n">
        <v>1</v>
      </c>
      <c r="O1000" s="11" t="n">
        <v>4.5</v>
      </c>
      <c r="P1000" s="11" t="n">
        <v>3.42</v>
      </c>
      <c r="Q1000" s="11" t="n">
        <v>25.65</v>
      </c>
      <c r="R1000" s="11" t="n">
        <f aca="false">SUM(K1000:Q1000)</f>
        <v>198.962</v>
      </c>
      <c r="S1000" s="11" t="n">
        <f aca="false">R1000/(1-Resumo!$C$6)</f>
        <v>226.093181818182</v>
      </c>
      <c r="T1000" s="11" t="n">
        <f aca="false">S1000-J1000</f>
        <v>81.6231818181818</v>
      </c>
      <c r="U1000" s="12" t="n">
        <f aca="false">IFERROR(S1000/J1000-1,0)</f>
        <v>0.564983607795264</v>
      </c>
      <c r="V1000" s="2" t="str">
        <f aca="false">IF(S1000&lt;J1000,"SIM","NÃO")</f>
        <v>NÃO</v>
      </c>
      <c r="W1000" s="2" t="n">
        <v>11</v>
      </c>
      <c r="X1000" s="2" t="s">
        <v>156</v>
      </c>
    </row>
    <row r="1001" customFormat="false" ht="15" hidden="false" customHeight="false" outlineLevel="0" collapsed="false">
      <c r="A1001" s="2" t="n">
        <v>376495168</v>
      </c>
      <c r="B1001" s="29" t="n">
        <v>46248.7449768519</v>
      </c>
      <c r="C1001" s="2" t="s">
        <v>153</v>
      </c>
      <c r="D1001" s="2" t="s">
        <v>1154</v>
      </c>
      <c r="E1001" s="2" t="s">
        <v>90</v>
      </c>
      <c r="F1001" s="2" t="s">
        <v>110</v>
      </c>
      <c r="G1001" s="30" t="n">
        <v>66.8</v>
      </c>
      <c r="H1001" s="11" t="n">
        <v>719.99</v>
      </c>
      <c r="I1001" s="11" t="s">
        <v>350</v>
      </c>
      <c r="J1001" s="11" t="n">
        <v>156.78</v>
      </c>
      <c r="K1001" s="11" t="n">
        <v>149.5</v>
      </c>
      <c r="L1001" s="11" t="n">
        <v>0.72</v>
      </c>
      <c r="M1001" s="11" t="n">
        <v>1.44</v>
      </c>
      <c r="N1001" s="11" t="n">
        <v>1</v>
      </c>
      <c r="O1001" s="11" t="n">
        <v>4.5</v>
      </c>
      <c r="P1001" s="11" t="n">
        <v>4.02</v>
      </c>
      <c r="Q1001" s="11" t="n">
        <v>30.15</v>
      </c>
      <c r="R1001" s="11" t="n">
        <f aca="false">SUM(K1001:Q1001)</f>
        <v>191.33</v>
      </c>
      <c r="S1001" s="11" t="n">
        <f aca="false">R1001/(1-Resumo!$C$6)</f>
        <v>217.420454545455</v>
      </c>
      <c r="T1001" s="11" t="n">
        <f aca="false">S1001-J1001</f>
        <v>60.6404545454546</v>
      </c>
      <c r="U1001" s="12" t="n">
        <f aca="false">IFERROR(S1001/J1001-1,0)</f>
        <v>0.386786927831704</v>
      </c>
      <c r="V1001" s="2" t="str">
        <f aca="false">IF(S1001&lt;J1001,"SIM","NÃO")</f>
        <v>NÃO</v>
      </c>
      <c r="W1001" s="2" t="n">
        <v>7</v>
      </c>
      <c r="X1001" s="2" t="s">
        <v>156</v>
      </c>
    </row>
    <row r="1002" customFormat="false" ht="15" hidden="false" customHeight="false" outlineLevel="0" collapsed="false">
      <c r="A1002" s="2" t="n">
        <v>376502286</v>
      </c>
      <c r="B1002" s="29" t="n">
        <v>46248.7605092593</v>
      </c>
      <c r="C1002" s="2" t="s">
        <v>153</v>
      </c>
      <c r="D1002" s="2" t="s">
        <v>1155</v>
      </c>
      <c r="E1002" s="2" t="s">
        <v>78</v>
      </c>
      <c r="F1002" s="2" t="s">
        <v>108</v>
      </c>
      <c r="G1002" s="30" t="n">
        <v>41</v>
      </c>
      <c r="H1002" s="11" t="n">
        <v>559.99</v>
      </c>
      <c r="I1002" s="11" t="s">
        <v>155</v>
      </c>
      <c r="J1002" s="11" t="n">
        <v>103.27</v>
      </c>
      <c r="K1002" s="11" t="n">
        <v>93.97</v>
      </c>
      <c r="L1002" s="11" t="n">
        <v>0.56</v>
      </c>
      <c r="M1002" s="11" t="n">
        <v>1.12</v>
      </c>
      <c r="N1002" s="11" t="n">
        <v>1</v>
      </c>
      <c r="O1002" s="11" t="n">
        <v>4.5</v>
      </c>
      <c r="P1002" s="11" t="n">
        <v>2.46</v>
      </c>
      <c r="Q1002" s="11" t="n">
        <v>18.45</v>
      </c>
      <c r="R1002" s="11" t="n">
        <f aca="false">SUM(K1002:Q1002)</f>
        <v>122.06</v>
      </c>
      <c r="S1002" s="11" t="n">
        <f aca="false">R1002/(1-Resumo!$C$6)</f>
        <v>138.704545454545</v>
      </c>
      <c r="T1002" s="11" t="n">
        <f aca="false">S1002-J1002</f>
        <v>35.4345454545455</v>
      </c>
      <c r="U1002" s="12" t="n">
        <f aca="false">IFERROR(S1002/J1002-1,0)</f>
        <v>0.343125258589576</v>
      </c>
      <c r="V1002" s="2" t="str">
        <f aca="false">IF(S1002&lt;J1002,"SIM","NÃO")</f>
        <v>NÃO</v>
      </c>
      <c r="W1002" s="2" t="n">
        <v>5</v>
      </c>
      <c r="X1002" s="2" t="s">
        <v>156</v>
      </c>
    </row>
    <row r="1003" customFormat="false" ht="15" hidden="false" customHeight="false" outlineLevel="0" collapsed="false">
      <c r="A1003" s="2" t="n">
        <v>376509832</v>
      </c>
      <c r="B1003" s="29" t="n">
        <v>46248.7758796296</v>
      </c>
      <c r="C1003" s="2" t="s">
        <v>153</v>
      </c>
      <c r="D1003" s="2" t="s">
        <v>1156</v>
      </c>
      <c r="E1003" s="2" t="s">
        <v>78</v>
      </c>
      <c r="F1003" s="2" t="s">
        <v>109</v>
      </c>
      <c r="G1003" s="30" t="n">
        <v>52.3</v>
      </c>
      <c r="H1003" s="11" t="n">
        <v>604.56</v>
      </c>
      <c r="I1003" s="11" t="s">
        <v>155</v>
      </c>
      <c r="J1003" s="11" t="n">
        <v>114.05</v>
      </c>
      <c r="K1003" s="11" t="n">
        <v>112.3</v>
      </c>
      <c r="L1003" s="11" t="n">
        <v>0.6046</v>
      </c>
      <c r="M1003" s="11" t="n">
        <v>1.2091</v>
      </c>
      <c r="N1003" s="11" t="n">
        <v>1</v>
      </c>
      <c r="O1003" s="11" t="n">
        <v>4.5</v>
      </c>
      <c r="P1003" s="11" t="n">
        <v>3.18</v>
      </c>
      <c r="Q1003" s="11" t="n">
        <v>23.85</v>
      </c>
      <c r="R1003" s="11" t="n">
        <f aca="false">SUM(K1003:Q1003)</f>
        <v>146.6437</v>
      </c>
      <c r="S1003" s="11" t="n">
        <f aca="false">R1003/(1-Resumo!$C$6)</f>
        <v>166.640568181818</v>
      </c>
      <c r="T1003" s="11" t="n">
        <f aca="false">S1003-J1003</f>
        <v>52.5905681818182</v>
      </c>
      <c r="U1003" s="12" t="n">
        <f aca="false">IFERROR(S1003/J1003-1,0)</f>
        <v>0.461118528556056</v>
      </c>
      <c r="V1003" s="2" t="str">
        <f aca="false">IF(S1003&lt;J1003,"SIM","NÃO")</f>
        <v>NÃO</v>
      </c>
      <c r="W1003" s="2" t="n">
        <v>5</v>
      </c>
      <c r="X1003" s="2" t="s">
        <v>156</v>
      </c>
    </row>
    <row r="1004" customFormat="false" ht="15" hidden="false" customHeight="false" outlineLevel="0" collapsed="false">
      <c r="A1004" s="2" t="n">
        <v>376509854</v>
      </c>
      <c r="B1004" s="29" t="n">
        <v>46248.7759606482</v>
      </c>
      <c r="C1004" s="2" t="s">
        <v>153</v>
      </c>
      <c r="D1004" s="2" t="s">
        <v>1157</v>
      </c>
      <c r="E1004" s="2" t="s">
        <v>83</v>
      </c>
      <c r="F1004" s="2" t="s">
        <v>108</v>
      </c>
      <c r="G1004" s="30" t="n">
        <v>46.8</v>
      </c>
      <c r="H1004" s="11" t="n">
        <v>506.56</v>
      </c>
      <c r="I1004" s="11" t="s">
        <v>350</v>
      </c>
      <c r="J1004" s="11" t="n">
        <v>131.33</v>
      </c>
      <c r="K1004" s="11" t="n">
        <v>152.54</v>
      </c>
      <c r="L1004" s="11" t="n">
        <v>0.5066</v>
      </c>
      <c r="M1004" s="11" t="n">
        <v>1.0131</v>
      </c>
      <c r="N1004" s="11" t="n">
        <v>1</v>
      </c>
      <c r="O1004" s="11" t="n">
        <v>4.5</v>
      </c>
      <c r="P1004" s="11" t="n">
        <v>2.82</v>
      </c>
      <c r="Q1004" s="11" t="n">
        <v>21.15</v>
      </c>
      <c r="R1004" s="11" t="n">
        <f aca="false">SUM(K1004:Q1004)</f>
        <v>183.5297</v>
      </c>
      <c r="S1004" s="11" t="n">
        <f aca="false">R1004/(1-Resumo!$C$6)</f>
        <v>208.556477272727</v>
      </c>
      <c r="T1004" s="11" t="n">
        <f aca="false">S1004-J1004</f>
        <v>77.2264772727272</v>
      </c>
      <c r="U1004" s="12" t="n">
        <f aca="false">IFERROR(S1004/J1004-1,0)</f>
        <v>0.588033787198106</v>
      </c>
      <c r="V1004" s="2" t="str">
        <f aca="false">IF(S1004&lt;J1004,"SIM","NÃO")</f>
        <v>NÃO</v>
      </c>
      <c r="W1004" s="2" t="n">
        <v>11</v>
      </c>
      <c r="X1004" s="2" t="s">
        <v>156</v>
      </c>
    </row>
    <row r="1005" customFormat="false" ht="15" hidden="false" customHeight="false" outlineLevel="0" collapsed="false">
      <c r="A1005" s="2" t="n">
        <v>376527254</v>
      </c>
      <c r="B1005" s="29" t="n">
        <v>46248.8066898148</v>
      </c>
      <c r="C1005" s="2" t="s">
        <v>158</v>
      </c>
      <c r="D1005" s="2" t="s">
        <v>1158</v>
      </c>
      <c r="E1005" s="2" t="s">
        <v>78</v>
      </c>
      <c r="F1005" s="2" t="s">
        <v>105</v>
      </c>
      <c r="G1005" s="30" t="n">
        <v>17.2</v>
      </c>
      <c r="H1005" s="11" t="n">
        <v>228</v>
      </c>
      <c r="I1005" s="11" t="s">
        <v>350</v>
      </c>
      <c r="J1005" s="11" t="n">
        <v>64.86</v>
      </c>
      <c r="K1005" s="11" t="n">
        <v>46.98</v>
      </c>
      <c r="L1005" s="11" t="n">
        <v>0.228</v>
      </c>
      <c r="M1005" s="11" t="n">
        <v>0.456</v>
      </c>
      <c r="N1005" s="11" t="n">
        <v>1</v>
      </c>
      <c r="O1005" s="11" t="n">
        <v>4.5</v>
      </c>
      <c r="P1005" s="11" t="n">
        <v>1.08</v>
      </c>
      <c r="Q1005" s="11" t="n">
        <v>8.1</v>
      </c>
      <c r="R1005" s="11" t="n">
        <f aca="false">SUM(K1005:Q1005)</f>
        <v>62.344</v>
      </c>
      <c r="S1005" s="11" t="n">
        <f aca="false">R1005/(1-Resumo!$C$6)</f>
        <v>70.8454545454545</v>
      </c>
      <c r="T1005" s="11" t="n">
        <f aca="false">S1005-J1005</f>
        <v>5.98545454545454</v>
      </c>
      <c r="U1005" s="12" t="n">
        <f aca="false">IFERROR(S1005/J1005-1,0)</f>
        <v>0.0922826787766657</v>
      </c>
      <c r="V1005" s="2" t="str">
        <f aca="false">IF(S1005&lt;J1005,"SIM","NÃO")</f>
        <v>NÃO</v>
      </c>
      <c r="W1005" s="2" t="n">
        <v>5</v>
      </c>
      <c r="X1005" s="2" t="s">
        <v>156</v>
      </c>
    </row>
    <row r="1006" customFormat="false" ht="15" hidden="false" customHeight="false" outlineLevel="0" collapsed="false">
      <c r="A1006" s="2" t="n">
        <v>376533384</v>
      </c>
      <c r="B1006" s="29" t="n">
        <v>46248.8166550926</v>
      </c>
      <c r="C1006" s="2" t="s">
        <v>153</v>
      </c>
      <c r="D1006" s="2" t="s">
        <v>237</v>
      </c>
      <c r="E1006" s="2" t="s">
        <v>82</v>
      </c>
      <c r="F1006" s="2" t="s">
        <v>109</v>
      </c>
      <c r="G1006" s="30" t="n">
        <v>52.3</v>
      </c>
      <c r="H1006" s="11" t="n">
        <v>604.56</v>
      </c>
      <c r="I1006" s="11" t="s">
        <v>155</v>
      </c>
      <c r="J1006" s="11" t="n">
        <v>128.18</v>
      </c>
      <c r="K1006" s="11" t="n">
        <v>128.14</v>
      </c>
      <c r="L1006" s="11" t="n">
        <v>0.6046</v>
      </c>
      <c r="M1006" s="11" t="n">
        <v>1.2091</v>
      </c>
      <c r="N1006" s="11" t="n">
        <v>1</v>
      </c>
      <c r="O1006" s="11" t="n">
        <v>4.5</v>
      </c>
      <c r="P1006" s="11" t="n">
        <v>3.18</v>
      </c>
      <c r="Q1006" s="11" t="n">
        <v>23.85</v>
      </c>
      <c r="R1006" s="11" t="n">
        <f aca="false">SUM(K1006:Q1006)</f>
        <v>162.4837</v>
      </c>
      <c r="S1006" s="11" t="n">
        <f aca="false">R1006/(1-Resumo!$C$6)</f>
        <v>184.640568181818</v>
      </c>
      <c r="T1006" s="11" t="n">
        <f aca="false">S1006-J1006</f>
        <v>56.4605681818181</v>
      </c>
      <c r="U1006" s="12" t="n">
        <f aca="false">IFERROR(S1006/J1006-1,0)</f>
        <v>0.44047876565625</v>
      </c>
      <c r="V1006" s="2" t="str">
        <f aca="false">IF(S1006&lt;J1006,"SIM","NÃO")</f>
        <v>NÃO</v>
      </c>
      <c r="W1006" s="2" t="n">
        <v>7</v>
      </c>
      <c r="X1006" s="2" t="s">
        <v>156</v>
      </c>
    </row>
    <row r="1007" customFormat="false" ht="15" hidden="false" customHeight="false" outlineLevel="0" collapsed="false">
      <c r="A1007" s="2" t="n">
        <v>376539722</v>
      </c>
      <c r="B1007" s="29" t="n">
        <v>46248.8289467593</v>
      </c>
      <c r="C1007" s="2" t="s">
        <v>153</v>
      </c>
      <c r="D1007" s="2" t="s">
        <v>915</v>
      </c>
      <c r="E1007" s="2" t="s">
        <v>83</v>
      </c>
      <c r="F1007" s="2" t="s">
        <v>108</v>
      </c>
      <c r="G1007" s="30" t="n">
        <v>46.8</v>
      </c>
      <c r="H1007" s="11" t="n">
        <v>506.56</v>
      </c>
      <c r="I1007" s="11" t="s">
        <v>350</v>
      </c>
      <c r="J1007" s="11" t="n">
        <v>131.33</v>
      </c>
      <c r="K1007" s="11" t="n">
        <v>152.54</v>
      </c>
      <c r="L1007" s="11" t="n">
        <v>0.5066</v>
      </c>
      <c r="M1007" s="11" t="n">
        <v>1.0131</v>
      </c>
      <c r="N1007" s="11" t="n">
        <v>1</v>
      </c>
      <c r="O1007" s="11" t="n">
        <v>4.5</v>
      </c>
      <c r="P1007" s="11" t="n">
        <v>2.82</v>
      </c>
      <c r="Q1007" s="11" t="n">
        <v>21.15</v>
      </c>
      <c r="R1007" s="11" t="n">
        <f aca="false">SUM(K1007:Q1007)</f>
        <v>183.5297</v>
      </c>
      <c r="S1007" s="11" t="n">
        <f aca="false">R1007/(1-Resumo!$C$6)</f>
        <v>208.556477272727</v>
      </c>
      <c r="T1007" s="11" t="n">
        <f aca="false">S1007-J1007</f>
        <v>77.2264772727272</v>
      </c>
      <c r="U1007" s="12" t="n">
        <f aca="false">IFERROR(S1007/J1007-1,0)</f>
        <v>0.588033787198106</v>
      </c>
      <c r="V1007" s="2" t="str">
        <f aca="false">IF(S1007&lt;J1007,"SIM","NÃO")</f>
        <v>NÃO</v>
      </c>
      <c r="W1007" s="2" t="n">
        <v>11</v>
      </c>
      <c r="X1007" s="2" t="s">
        <v>156</v>
      </c>
    </row>
    <row r="1008" customFormat="false" ht="15" hidden="false" customHeight="false" outlineLevel="0" collapsed="false">
      <c r="A1008" s="2" t="n">
        <v>376546687</v>
      </c>
      <c r="B1008" s="29" t="n">
        <v>46248.8427662037</v>
      </c>
      <c r="C1008" s="2" t="s">
        <v>153</v>
      </c>
      <c r="D1008" s="2" t="s">
        <v>1159</v>
      </c>
      <c r="E1008" s="2" t="s">
        <v>78</v>
      </c>
      <c r="F1008" s="2" t="s">
        <v>106</v>
      </c>
      <c r="G1008" s="30" t="n">
        <v>27.5</v>
      </c>
      <c r="H1008" s="11" t="n">
        <v>369.99</v>
      </c>
      <c r="I1008" s="11" t="s">
        <v>155</v>
      </c>
      <c r="J1008" s="11" t="n">
        <v>82.1</v>
      </c>
      <c r="K1008" s="11" t="n">
        <v>82.21</v>
      </c>
      <c r="L1008" s="11" t="n">
        <v>0.37</v>
      </c>
      <c r="M1008" s="11" t="n">
        <v>0.74</v>
      </c>
      <c r="N1008" s="11" t="n">
        <v>1</v>
      </c>
      <c r="O1008" s="11" t="n">
        <v>4.5</v>
      </c>
      <c r="P1008" s="11" t="n">
        <v>1.68</v>
      </c>
      <c r="Q1008" s="11" t="n">
        <v>12.6</v>
      </c>
      <c r="R1008" s="11" t="n">
        <f aca="false">SUM(K1008:Q1008)</f>
        <v>103.1</v>
      </c>
      <c r="S1008" s="11" t="n">
        <f aca="false">R1008/(1-Resumo!$C$6)</f>
        <v>117.159090909091</v>
      </c>
      <c r="T1008" s="11" t="n">
        <f aca="false">S1008-J1008</f>
        <v>35.0590909090909</v>
      </c>
      <c r="U1008" s="12" t="n">
        <f aca="false">IFERROR(S1008/J1008-1,0)</f>
        <v>0.427029121913409</v>
      </c>
      <c r="V1008" s="2" t="str">
        <f aca="false">IF(S1008&lt;J1008,"SIM","NÃO")</f>
        <v>NÃO</v>
      </c>
      <c r="W1008" s="2" t="n">
        <v>5</v>
      </c>
      <c r="X1008" s="2" t="s">
        <v>156</v>
      </c>
    </row>
    <row r="1009" customFormat="false" ht="15" hidden="false" customHeight="false" outlineLevel="0" collapsed="false">
      <c r="A1009" s="2" t="n">
        <v>376564917</v>
      </c>
      <c r="B1009" s="29" t="n">
        <v>46248.8745949074</v>
      </c>
      <c r="C1009" s="2" t="s">
        <v>153</v>
      </c>
      <c r="D1009" s="2" t="s">
        <v>1160</v>
      </c>
      <c r="E1009" s="2" t="s">
        <v>96</v>
      </c>
      <c r="F1009" s="2" t="s">
        <v>106</v>
      </c>
      <c r="G1009" s="30" t="n">
        <v>31.9</v>
      </c>
      <c r="H1009" s="11" t="n">
        <v>518.79</v>
      </c>
      <c r="I1009" s="11" t="s">
        <v>350</v>
      </c>
      <c r="J1009" s="11" t="n">
        <v>110.01</v>
      </c>
      <c r="K1009" s="11" t="n">
        <v>120.78</v>
      </c>
      <c r="L1009" s="11" t="n">
        <v>0.5188</v>
      </c>
      <c r="M1009" s="11" t="n">
        <v>1.0376</v>
      </c>
      <c r="N1009" s="11" t="n">
        <v>1</v>
      </c>
      <c r="O1009" s="11" t="n">
        <v>4.5</v>
      </c>
      <c r="P1009" s="11" t="n">
        <v>1.92</v>
      </c>
      <c r="Q1009" s="11" t="n">
        <v>14.4</v>
      </c>
      <c r="R1009" s="11" t="n">
        <f aca="false">SUM(K1009:Q1009)</f>
        <v>144.1564</v>
      </c>
      <c r="S1009" s="11" t="n">
        <f aca="false">R1009/(1-Resumo!$C$6)</f>
        <v>163.814090909091</v>
      </c>
      <c r="T1009" s="11" t="n">
        <f aca="false">S1009-J1009</f>
        <v>53.8040909090909</v>
      </c>
      <c r="U1009" s="12" t="n">
        <f aca="false">IFERROR(S1009/J1009-1,0)</f>
        <v>0.489083637024734</v>
      </c>
      <c r="V1009" s="2" t="str">
        <f aca="false">IF(S1009&lt;J1009,"SIM","NÃO")</f>
        <v>NÃO</v>
      </c>
      <c r="W1009" s="2" t="n">
        <v>10</v>
      </c>
      <c r="X1009" s="2" t="s">
        <v>156</v>
      </c>
    </row>
    <row r="1010" customFormat="false" ht="15" hidden="false" customHeight="false" outlineLevel="0" collapsed="false">
      <c r="A1010" s="2" t="n">
        <v>376570991</v>
      </c>
      <c r="B1010" s="29" t="n">
        <v>46248.8852199074</v>
      </c>
      <c r="C1010" s="2" t="s">
        <v>153</v>
      </c>
      <c r="D1010" s="2" t="s">
        <v>1161</v>
      </c>
      <c r="E1010" s="2" t="s">
        <v>94</v>
      </c>
      <c r="F1010" s="2" t="s">
        <v>109</v>
      </c>
      <c r="G1010" s="30" t="n">
        <v>59.9</v>
      </c>
      <c r="H1010" s="11" t="n">
        <v>901.58</v>
      </c>
      <c r="I1010" s="11" t="s">
        <v>350</v>
      </c>
      <c r="J1010" s="11" t="n">
        <v>132.23</v>
      </c>
      <c r="K1010" s="11" t="n">
        <v>112.3</v>
      </c>
      <c r="L1010" s="11" t="n">
        <v>0.9016</v>
      </c>
      <c r="M1010" s="11" t="n">
        <v>1.8032</v>
      </c>
      <c r="N1010" s="11" t="n">
        <v>1</v>
      </c>
      <c r="O1010" s="11" t="n">
        <v>4.5</v>
      </c>
      <c r="P1010" s="11" t="n">
        <v>3.6</v>
      </c>
      <c r="Q1010" s="11" t="n">
        <v>27</v>
      </c>
      <c r="R1010" s="11" t="n">
        <f aca="false">SUM(K1010:Q1010)</f>
        <v>151.1048</v>
      </c>
      <c r="S1010" s="11" t="n">
        <f aca="false">R1010/(1-Resumo!$C$6)</f>
        <v>171.71</v>
      </c>
      <c r="T1010" s="11" t="n">
        <f aca="false">S1010-J1010</f>
        <v>39.48</v>
      </c>
      <c r="U1010" s="12" t="n">
        <f aca="false">IFERROR(S1010/J1010-1,0)</f>
        <v>0.298570672313393</v>
      </c>
      <c r="V1010" s="2" t="str">
        <f aca="false">IF(S1010&lt;J1010,"SIM","NÃO")</f>
        <v>NÃO</v>
      </c>
      <c r="W1010" s="2" t="n">
        <v>5</v>
      </c>
      <c r="X1010" s="2" t="s">
        <v>156</v>
      </c>
    </row>
    <row r="1011" customFormat="false" ht="15" hidden="false" customHeight="false" outlineLevel="0" collapsed="false">
      <c r="A1011" s="2" t="n">
        <v>376578207</v>
      </c>
      <c r="B1011" s="29" t="n">
        <v>46248.8966203704</v>
      </c>
      <c r="C1011" s="2" t="s">
        <v>153</v>
      </c>
      <c r="D1011" s="2" t="s">
        <v>1162</v>
      </c>
      <c r="E1011" s="2" t="s">
        <v>87</v>
      </c>
      <c r="F1011" s="2" t="s">
        <v>109</v>
      </c>
      <c r="G1011" s="30" t="n">
        <v>52.3</v>
      </c>
      <c r="H1011" s="11" t="n">
        <v>577.12</v>
      </c>
      <c r="I1011" s="11" t="s">
        <v>350</v>
      </c>
      <c r="J1011" s="11" t="n">
        <v>141.42</v>
      </c>
      <c r="K1011" s="11" t="n">
        <v>142.32</v>
      </c>
      <c r="L1011" s="11" t="n">
        <v>0.5771</v>
      </c>
      <c r="M1011" s="11" t="n">
        <v>1.1542</v>
      </c>
      <c r="N1011" s="11" t="n">
        <v>1</v>
      </c>
      <c r="O1011" s="11" t="n">
        <v>4.5</v>
      </c>
      <c r="P1011" s="11" t="n">
        <v>3.18</v>
      </c>
      <c r="Q1011" s="11" t="n">
        <v>23.85</v>
      </c>
      <c r="R1011" s="11" t="n">
        <f aca="false">SUM(K1011:Q1011)</f>
        <v>176.5813</v>
      </c>
      <c r="S1011" s="11" t="n">
        <f aca="false">R1011/(1-Resumo!$C$6)</f>
        <v>200.660568181818</v>
      </c>
      <c r="T1011" s="11" t="n">
        <f aca="false">S1011-J1011</f>
        <v>59.2405681818182</v>
      </c>
      <c r="U1011" s="12" t="n">
        <f aca="false">IFERROR(S1011/J1011-1,0)</f>
        <v>0.418898092079043</v>
      </c>
      <c r="V1011" s="2" t="str">
        <f aca="false">IF(S1011&lt;J1011,"SIM","NÃO")</f>
        <v>NÃO</v>
      </c>
      <c r="W1011" s="2" t="n">
        <v>10</v>
      </c>
      <c r="X1011" s="2" t="s">
        <v>156</v>
      </c>
    </row>
    <row r="1012" customFormat="false" ht="15" hidden="false" customHeight="false" outlineLevel="0" collapsed="false">
      <c r="A1012" s="2" t="n">
        <v>376585040</v>
      </c>
      <c r="B1012" s="29" t="n">
        <v>46248.909224537</v>
      </c>
      <c r="C1012" s="2" t="s">
        <v>158</v>
      </c>
      <c r="D1012" s="2" t="s">
        <v>1163</v>
      </c>
      <c r="E1012" s="2" t="s">
        <v>81</v>
      </c>
      <c r="F1012" s="2" t="s">
        <v>109</v>
      </c>
      <c r="G1012" s="30" t="n">
        <v>52.3</v>
      </c>
      <c r="H1012" s="11" t="n">
        <v>616.99</v>
      </c>
      <c r="I1012" s="11" t="s">
        <v>155</v>
      </c>
      <c r="J1012" s="11" t="n">
        <v>128.23</v>
      </c>
      <c r="K1012" s="11" t="n">
        <v>112.3</v>
      </c>
      <c r="L1012" s="11" t="n">
        <v>0.617</v>
      </c>
      <c r="M1012" s="11" t="n">
        <v>1.234</v>
      </c>
      <c r="N1012" s="11" t="n">
        <v>1</v>
      </c>
      <c r="O1012" s="11" t="n">
        <v>4.5</v>
      </c>
      <c r="P1012" s="11" t="n">
        <v>3.18</v>
      </c>
      <c r="Q1012" s="11" t="n">
        <v>23.85</v>
      </c>
      <c r="R1012" s="11" t="n">
        <f aca="false">SUM(K1012:Q1012)</f>
        <v>146.681</v>
      </c>
      <c r="S1012" s="11" t="n">
        <f aca="false">R1012/(1-Resumo!$C$6)</f>
        <v>166.682954545455</v>
      </c>
      <c r="T1012" s="11" t="n">
        <f aca="false">S1012-J1012</f>
        <v>38.4529545454546</v>
      </c>
      <c r="U1012" s="12" t="n">
        <f aca="false">IFERROR(S1012/J1012-1,0)</f>
        <v>0.299874869729818</v>
      </c>
      <c r="V1012" s="2" t="str">
        <f aca="false">IF(S1012&lt;J1012,"SIM","NÃO")</f>
        <v>NÃO</v>
      </c>
      <c r="W1012" s="2" t="n">
        <v>5</v>
      </c>
      <c r="X1012" s="2" t="s">
        <v>156</v>
      </c>
    </row>
    <row r="1013" customFormat="false" ht="15" hidden="false" customHeight="false" outlineLevel="0" collapsed="false">
      <c r="A1013" s="2" t="n">
        <v>376585074</v>
      </c>
      <c r="B1013" s="29" t="n">
        <v>46248.9093171296</v>
      </c>
      <c r="C1013" s="2" t="s">
        <v>153</v>
      </c>
      <c r="D1013" s="2" t="s">
        <v>1164</v>
      </c>
      <c r="E1013" s="2" t="s">
        <v>78</v>
      </c>
      <c r="F1013" s="2" t="s">
        <v>107</v>
      </c>
      <c r="G1013" s="30" t="n">
        <v>36</v>
      </c>
      <c r="H1013" s="11" t="n">
        <v>449.99</v>
      </c>
      <c r="I1013" s="11" t="s">
        <v>350</v>
      </c>
      <c r="J1013" s="11" t="n">
        <v>92.08</v>
      </c>
      <c r="K1013" s="11" t="n">
        <v>93.97</v>
      </c>
      <c r="L1013" s="11" t="n">
        <v>0.45</v>
      </c>
      <c r="M1013" s="11" t="n">
        <v>0.9</v>
      </c>
      <c r="N1013" s="11" t="n">
        <v>1</v>
      </c>
      <c r="O1013" s="11" t="n">
        <v>4.5</v>
      </c>
      <c r="P1013" s="11" t="n">
        <v>2.16</v>
      </c>
      <c r="Q1013" s="11" t="n">
        <v>16.2</v>
      </c>
      <c r="R1013" s="11" t="n">
        <f aca="false">SUM(K1013:Q1013)</f>
        <v>119.18</v>
      </c>
      <c r="S1013" s="11" t="n">
        <f aca="false">R1013/(1-Resumo!$C$6)</f>
        <v>135.431818181818</v>
      </c>
      <c r="T1013" s="11" t="n">
        <f aca="false">S1013-J1013</f>
        <v>43.3518181818182</v>
      </c>
      <c r="U1013" s="12" t="n">
        <f aca="false">IFERROR(S1013/J1013-1,0)</f>
        <v>0.470806018481952</v>
      </c>
      <c r="V1013" s="2" t="str">
        <f aca="false">IF(S1013&lt;J1013,"SIM","NÃO")</f>
        <v>NÃO</v>
      </c>
      <c r="W1013" s="2" t="n">
        <v>5</v>
      </c>
      <c r="X1013" s="2" t="s">
        <v>156</v>
      </c>
    </row>
    <row r="1014" customFormat="false" ht="15" hidden="false" customHeight="false" outlineLevel="0" collapsed="false">
      <c r="A1014" s="2" t="n">
        <v>376588503</v>
      </c>
      <c r="B1014" s="29" t="n">
        <v>46248.9150925926</v>
      </c>
      <c r="C1014" s="2" t="s">
        <v>153</v>
      </c>
      <c r="D1014" s="2" t="s">
        <v>1165</v>
      </c>
      <c r="E1014" s="2" t="s">
        <v>78</v>
      </c>
      <c r="F1014" s="2" t="s">
        <v>106</v>
      </c>
      <c r="G1014" s="30" t="n">
        <v>27.6</v>
      </c>
      <c r="H1014" s="11" t="n">
        <v>579.59</v>
      </c>
      <c r="I1014" s="11" t="s">
        <v>155</v>
      </c>
      <c r="J1014" s="11" t="n">
        <v>83.1</v>
      </c>
      <c r="K1014" s="11" t="n">
        <v>82.21</v>
      </c>
      <c r="L1014" s="11" t="n">
        <v>0.5796</v>
      </c>
      <c r="M1014" s="11" t="n">
        <v>1.1592</v>
      </c>
      <c r="N1014" s="11" t="n">
        <v>1</v>
      </c>
      <c r="O1014" s="11" t="n">
        <v>4.5</v>
      </c>
      <c r="P1014" s="11" t="n">
        <v>1.68</v>
      </c>
      <c r="Q1014" s="11" t="n">
        <v>12.6</v>
      </c>
      <c r="R1014" s="11" t="n">
        <f aca="false">SUM(K1014:Q1014)</f>
        <v>103.7288</v>
      </c>
      <c r="S1014" s="11" t="n">
        <f aca="false">R1014/(1-Resumo!$C$6)</f>
        <v>117.873636363636</v>
      </c>
      <c r="T1014" s="11" t="n">
        <f aca="false">S1014-J1014</f>
        <v>34.7736363636364</v>
      </c>
      <c r="U1014" s="12" t="n">
        <f aca="false">IFERROR(S1014/J1014-1,0)</f>
        <v>0.418455311235095</v>
      </c>
      <c r="V1014" s="2" t="str">
        <f aca="false">IF(S1014&lt;J1014,"SIM","NÃO")</f>
        <v>NÃO</v>
      </c>
      <c r="W1014" s="2" t="n">
        <v>5</v>
      </c>
      <c r="X1014" s="2" t="s">
        <v>156</v>
      </c>
    </row>
    <row r="1015" customFormat="false" ht="15" hidden="false" customHeight="false" outlineLevel="0" collapsed="false">
      <c r="A1015" s="2" t="n">
        <v>376596718</v>
      </c>
      <c r="B1015" s="29" t="n">
        <v>46248.9294328704</v>
      </c>
      <c r="C1015" s="2" t="s">
        <v>153</v>
      </c>
      <c r="D1015" s="2" t="s">
        <v>778</v>
      </c>
      <c r="E1015" s="2" t="s">
        <v>78</v>
      </c>
      <c r="F1015" s="2" t="s">
        <v>108</v>
      </c>
      <c r="G1015" s="30" t="n">
        <v>45</v>
      </c>
      <c r="H1015" s="11" t="n">
        <v>659.99</v>
      </c>
      <c r="I1015" s="11" t="s">
        <v>155</v>
      </c>
      <c r="J1015" s="11" t="n">
        <v>103.75</v>
      </c>
      <c r="K1015" s="11" t="n">
        <v>93.97</v>
      </c>
      <c r="L1015" s="11" t="n">
        <v>0.66</v>
      </c>
      <c r="M1015" s="11" t="n">
        <v>1.32</v>
      </c>
      <c r="N1015" s="11" t="n">
        <v>1</v>
      </c>
      <c r="O1015" s="11" t="n">
        <v>4.5</v>
      </c>
      <c r="P1015" s="11" t="n">
        <v>2.7</v>
      </c>
      <c r="Q1015" s="11" t="n">
        <v>20.25</v>
      </c>
      <c r="R1015" s="11" t="n">
        <f aca="false">SUM(K1015:Q1015)</f>
        <v>124.4</v>
      </c>
      <c r="S1015" s="11" t="n">
        <f aca="false">R1015/(1-Resumo!$C$6)</f>
        <v>141.363636363636</v>
      </c>
      <c r="T1015" s="11" t="n">
        <f aca="false">S1015-J1015</f>
        <v>37.6136363636364</v>
      </c>
      <c r="U1015" s="12" t="n">
        <f aca="false">IFERROR(S1015/J1015-1,0)</f>
        <v>0.362541073384447</v>
      </c>
      <c r="V1015" s="2" t="str">
        <f aca="false">IF(S1015&lt;J1015,"SIM","NÃO")</f>
        <v>NÃO</v>
      </c>
      <c r="W1015" s="2" t="n">
        <v>5</v>
      </c>
      <c r="X1015" s="2" t="s">
        <v>156</v>
      </c>
    </row>
    <row r="1016" customFormat="false" ht="15" hidden="false" customHeight="false" outlineLevel="0" collapsed="false">
      <c r="A1016" s="2" t="n">
        <v>376604266</v>
      </c>
      <c r="B1016" s="29" t="n">
        <v>46248.9441666667</v>
      </c>
      <c r="C1016" s="2" t="s">
        <v>153</v>
      </c>
      <c r="D1016" s="2" t="s">
        <v>1166</v>
      </c>
      <c r="E1016" s="2" t="s">
        <v>78</v>
      </c>
      <c r="F1016" s="2" t="s">
        <v>107</v>
      </c>
      <c r="G1016" s="30" t="n">
        <v>37.2</v>
      </c>
      <c r="H1016" s="11" t="n">
        <v>419.99</v>
      </c>
      <c r="I1016" s="11" t="s">
        <v>155</v>
      </c>
      <c r="J1016" s="11" t="n">
        <v>91.86</v>
      </c>
      <c r="K1016" s="11" t="n">
        <v>93.97</v>
      </c>
      <c r="L1016" s="11" t="n">
        <v>0.42</v>
      </c>
      <c r="M1016" s="11" t="n">
        <v>0.84</v>
      </c>
      <c r="N1016" s="11" t="n">
        <v>1</v>
      </c>
      <c r="O1016" s="11" t="n">
        <v>4.5</v>
      </c>
      <c r="P1016" s="11" t="n">
        <v>2.28</v>
      </c>
      <c r="Q1016" s="11" t="n">
        <v>17.1</v>
      </c>
      <c r="R1016" s="11" t="n">
        <f aca="false">SUM(K1016:Q1016)</f>
        <v>120.11</v>
      </c>
      <c r="S1016" s="11" t="n">
        <f aca="false">R1016/(1-Resumo!$C$6)</f>
        <v>136.488636363636</v>
      </c>
      <c r="T1016" s="11" t="n">
        <f aca="false">S1016-J1016</f>
        <v>44.6286363636364</v>
      </c>
      <c r="U1016" s="12" t="n">
        <f aca="false">IFERROR(S1016/J1016-1,0)</f>
        <v>0.485833184886092</v>
      </c>
      <c r="V1016" s="2" t="str">
        <f aca="false">IF(S1016&lt;J1016,"SIM","NÃO")</f>
        <v>NÃO</v>
      </c>
      <c r="W1016" s="2" t="n">
        <v>5</v>
      </c>
      <c r="X1016" s="2" t="s">
        <v>156</v>
      </c>
    </row>
    <row r="1017" customFormat="false" ht="15" hidden="false" customHeight="false" outlineLevel="0" collapsed="false">
      <c r="A1017" s="2" t="n">
        <v>376606296</v>
      </c>
      <c r="B1017" s="29" t="n">
        <v>46248.9483564815</v>
      </c>
      <c r="C1017" s="2" t="s">
        <v>153</v>
      </c>
      <c r="D1017" s="2" t="s">
        <v>747</v>
      </c>
      <c r="E1017" s="2" t="s">
        <v>81</v>
      </c>
      <c r="F1017" s="2" t="s">
        <v>106</v>
      </c>
      <c r="G1017" s="30" t="n">
        <v>31.9</v>
      </c>
      <c r="H1017" s="11" t="n">
        <v>518.79</v>
      </c>
      <c r="I1017" s="11" t="s">
        <v>155</v>
      </c>
      <c r="J1017" s="11" t="n">
        <v>101.87</v>
      </c>
      <c r="K1017" s="11" t="n">
        <v>82.21</v>
      </c>
      <c r="L1017" s="11" t="n">
        <v>0.5188</v>
      </c>
      <c r="M1017" s="11" t="n">
        <v>1.0376</v>
      </c>
      <c r="N1017" s="11" t="n">
        <v>1</v>
      </c>
      <c r="O1017" s="11" t="n">
        <v>4.5</v>
      </c>
      <c r="P1017" s="11" t="n">
        <v>1.92</v>
      </c>
      <c r="Q1017" s="11" t="n">
        <v>14.4</v>
      </c>
      <c r="R1017" s="11" t="n">
        <f aca="false">SUM(K1017:Q1017)</f>
        <v>105.5864</v>
      </c>
      <c r="S1017" s="11" t="n">
        <f aca="false">R1017/(1-Resumo!$C$6)</f>
        <v>119.984545454545</v>
      </c>
      <c r="T1017" s="11" t="n">
        <f aca="false">S1017-J1017</f>
        <v>18.1145454545455</v>
      </c>
      <c r="U1017" s="12" t="n">
        <f aca="false">IFERROR(S1017/J1017-1,0)</f>
        <v>0.177820216496961</v>
      </c>
      <c r="V1017" s="2" t="str">
        <f aca="false">IF(S1017&lt;J1017,"SIM","NÃO")</f>
        <v>NÃO</v>
      </c>
      <c r="W1017" s="2" t="n">
        <v>5</v>
      </c>
      <c r="X1017" s="2" t="s">
        <v>156</v>
      </c>
    </row>
    <row r="1018" customFormat="false" ht="15" hidden="false" customHeight="false" outlineLevel="0" collapsed="false">
      <c r="A1018" s="2" t="n">
        <v>376614807</v>
      </c>
      <c r="B1018" s="29" t="n">
        <v>46248.9656944444</v>
      </c>
      <c r="C1018" s="2" t="s">
        <v>158</v>
      </c>
      <c r="D1018" s="2" t="s">
        <v>1167</v>
      </c>
      <c r="E1018" s="2" t="s">
        <v>80</v>
      </c>
      <c r="F1018" s="2" t="s">
        <v>114</v>
      </c>
      <c r="G1018" s="30" t="n">
        <v>145.8</v>
      </c>
      <c r="H1018" s="11" t="n">
        <v>1670.33</v>
      </c>
      <c r="I1018" s="11" t="s">
        <v>155</v>
      </c>
      <c r="J1018" s="11" t="n">
        <v>244.6</v>
      </c>
      <c r="K1018" s="11" t="n">
        <v>239.25</v>
      </c>
      <c r="L1018" s="11" t="n">
        <v>1.6703</v>
      </c>
      <c r="M1018" s="11" t="n">
        <v>3.3407</v>
      </c>
      <c r="N1018" s="11" t="n">
        <v>1</v>
      </c>
      <c r="O1018" s="11" t="n">
        <v>9</v>
      </c>
      <c r="P1018" s="11" t="n">
        <v>8.76</v>
      </c>
      <c r="Q1018" s="11" t="n">
        <v>65.7</v>
      </c>
      <c r="R1018" s="11" t="n">
        <f aca="false">SUM(K1018:Q1018)</f>
        <v>328.721</v>
      </c>
      <c r="S1018" s="11" t="n">
        <f aca="false">R1018/(1-Resumo!$C$6)</f>
        <v>373.546590909091</v>
      </c>
      <c r="T1018" s="11" t="n">
        <f aca="false">S1018-J1018</f>
        <v>128.946590909091</v>
      </c>
      <c r="U1018" s="12" t="n">
        <f aca="false">IFERROR(S1018/J1018-1,0)</f>
        <v>0.527173307069055</v>
      </c>
      <c r="V1018" s="2" t="str">
        <f aca="false">IF(S1018&lt;J1018,"SIM","NÃO")</f>
        <v>NÃO</v>
      </c>
      <c r="W1018" s="2" t="n">
        <v>5</v>
      </c>
      <c r="X1018" s="2" t="s">
        <v>156</v>
      </c>
    </row>
    <row r="1019" customFormat="false" ht="15" hidden="false" customHeight="false" outlineLevel="0" collapsed="false">
      <c r="A1019" s="2" t="n">
        <v>376646778</v>
      </c>
      <c r="B1019" s="29" t="n">
        <v>46249.0234953704</v>
      </c>
      <c r="C1019" s="2" t="s">
        <v>153</v>
      </c>
      <c r="D1019" s="2" t="s">
        <v>1168</v>
      </c>
      <c r="E1019" s="2" t="s">
        <v>78</v>
      </c>
      <c r="F1019" s="2" t="s">
        <v>106</v>
      </c>
      <c r="G1019" s="30" t="n">
        <v>24.4</v>
      </c>
      <c r="H1019" s="11" t="n">
        <v>329.99</v>
      </c>
      <c r="I1019" s="11" t="s">
        <v>350</v>
      </c>
      <c r="J1019" s="11" t="n">
        <v>78.8</v>
      </c>
      <c r="K1019" s="11" t="n">
        <v>82.21</v>
      </c>
      <c r="L1019" s="11" t="n">
        <v>0.33</v>
      </c>
      <c r="M1019" s="11" t="n">
        <v>0.66</v>
      </c>
      <c r="N1019" s="11" t="n">
        <v>1</v>
      </c>
      <c r="O1019" s="11" t="n">
        <v>4.5</v>
      </c>
      <c r="P1019" s="11" t="n">
        <v>1.5</v>
      </c>
      <c r="Q1019" s="11" t="n">
        <v>11.25</v>
      </c>
      <c r="R1019" s="11" t="n">
        <f aca="false">SUM(K1019:Q1019)</f>
        <v>101.45</v>
      </c>
      <c r="S1019" s="11" t="n">
        <f aca="false">R1019/(1-Resumo!$C$6)</f>
        <v>115.284090909091</v>
      </c>
      <c r="T1019" s="11" t="n">
        <f aca="false">S1019-J1019</f>
        <v>36.4840909090909</v>
      </c>
      <c r="U1019" s="12" t="n">
        <f aca="false">IFERROR(S1019/J1019-1,0)</f>
        <v>0.462996077526534</v>
      </c>
      <c r="V1019" s="2" t="str">
        <f aca="false">IF(S1019&lt;J1019,"SIM","NÃO")</f>
        <v>NÃO</v>
      </c>
      <c r="W1019" s="2" t="n">
        <v>5</v>
      </c>
      <c r="X1019" s="2" t="s">
        <v>156</v>
      </c>
    </row>
    <row r="1020" customFormat="false" ht="15" hidden="false" customHeight="false" outlineLevel="0" collapsed="false">
      <c r="A1020" s="2" t="n">
        <v>376807126</v>
      </c>
      <c r="B1020" s="29" t="n">
        <v>46249.3598032407</v>
      </c>
      <c r="C1020" s="2" t="s">
        <v>153</v>
      </c>
      <c r="D1020" s="2" t="s">
        <v>1169</v>
      </c>
      <c r="E1020" s="2" t="s">
        <v>95</v>
      </c>
      <c r="F1020" s="2" t="s">
        <v>112</v>
      </c>
      <c r="G1020" s="30" t="n">
        <v>90.8</v>
      </c>
      <c r="H1020" s="11" t="n">
        <v>1163.98</v>
      </c>
      <c r="I1020" s="11" t="s">
        <v>350</v>
      </c>
      <c r="J1020" s="11" t="n">
        <v>193.25</v>
      </c>
      <c r="K1020" s="11" t="n">
        <v>167.99</v>
      </c>
      <c r="L1020" s="11" t="n">
        <v>1.164</v>
      </c>
      <c r="M1020" s="11" t="n">
        <v>2.328</v>
      </c>
      <c r="N1020" s="11" t="n">
        <v>1</v>
      </c>
      <c r="O1020" s="11" t="n">
        <v>4.5</v>
      </c>
      <c r="P1020" s="11" t="n">
        <v>5.46</v>
      </c>
      <c r="Q1020" s="11" t="n">
        <v>40.95</v>
      </c>
      <c r="R1020" s="11" t="n">
        <f aca="false">SUM(K1020:Q1020)</f>
        <v>223.392</v>
      </c>
      <c r="S1020" s="11" t="n">
        <f aca="false">R1020/(1-Resumo!$C$6)</f>
        <v>253.854545454545</v>
      </c>
      <c r="T1020" s="11" t="n">
        <f aca="false">S1020-J1020</f>
        <v>60.6045454545454</v>
      </c>
      <c r="U1020" s="12" t="n">
        <f aca="false">IFERROR(S1020/J1020-1,0)</f>
        <v>0.313606962248618</v>
      </c>
      <c r="V1020" s="2" t="str">
        <f aca="false">IF(S1020&lt;J1020,"SIM","NÃO")</f>
        <v>NÃO</v>
      </c>
      <c r="W1020" s="2" t="n">
        <v>6</v>
      </c>
      <c r="X1020" s="2" t="s">
        <v>156</v>
      </c>
    </row>
    <row r="1021" customFormat="false" ht="15" hidden="false" customHeight="false" outlineLevel="0" collapsed="false">
      <c r="A1021" s="2" t="n">
        <v>376819747</v>
      </c>
      <c r="B1021" s="29" t="n">
        <v>46249.381712963</v>
      </c>
      <c r="C1021" s="2" t="s">
        <v>153</v>
      </c>
      <c r="D1021" s="2" t="s">
        <v>1170</v>
      </c>
      <c r="E1021" s="2" t="s">
        <v>79</v>
      </c>
      <c r="F1021" s="2" t="s">
        <v>108</v>
      </c>
      <c r="G1021" s="30" t="n">
        <v>41</v>
      </c>
      <c r="H1021" s="11" t="n">
        <v>559.99</v>
      </c>
      <c r="I1021" s="11" t="s">
        <v>350</v>
      </c>
      <c r="J1021" s="11" t="n">
        <v>114.51</v>
      </c>
      <c r="K1021" s="11" t="n">
        <v>114.95</v>
      </c>
      <c r="L1021" s="11" t="n">
        <v>0.56</v>
      </c>
      <c r="M1021" s="11" t="n">
        <v>1.12</v>
      </c>
      <c r="N1021" s="11" t="n">
        <v>1</v>
      </c>
      <c r="O1021" s="11" t="n">
        <v>4.5</v>
      </c>
      <c r="P1021" s="11" t="n">
        <v>2.46</v>
      </c>
      <c r="Q1021" s="11" t="n">
        <v>18.45</v>
      </c>
      <c r="R1021" s="11" t="n">
        <f aca="false">SUM(K1021:Q1021)</f>
        <v>143.04</v>
      </c>
      <c r="S1021" s="11" t="n">
        <f aca="false">R1021/(1-Resumo!$C$6)</f>
        <v>162.545454545455</v>
      </c>
      <c r="T1021" s="11" t="n">
        <f aca="false">S1021-J1021</f>
        <v>48.0354545454545</v>
      </c>
      <c r="U1021" s="12" t="n">
        <f aca="false">IFERROR(S1021/J1021-1,0)</f>
        <v>0.419486984066497</v>
      </c>
      <c r="V1021" s="2" t="str">
        <f aca="false">IF(S1021&lt;J1021,"SIM","NÃO")</f>
        <v>NÃO</v>
      </c>
      <c r="W1021" s="2" t="n">
        <v>7</v>
      </c>
      <c r="X1021" s="2" t="s">
        <v>156</v>
      </c>
    </row>
    <row r="1022" customFormat="false" ht="15" hidden="false" customHeight="false" outlineLevel="0" collapsed="false">
      <c r="A1022" s="2" t="n">
        <v>376819219</v>
      </c>
      <c r="B1022" s="29" t="n">
        <v>46249.3846759259</v>
      </c>
      <c r="C1022" s="2" t="s">
        <v>178</v>
      </c>
      <c r="D1022" s="2" t="s">
        <v>1171</v>
      </c>
      <c r="E1022" s="2" t="s">
        <v>78</v>
      </c>
      <c r="F1022" s="2" t="s">
        <v>106</v>
      </c>
      <c r="G1022" s="30" t="n">
        <v>33.3</v>
      </c>
      <c r="H1022" s="11" t="n">
        <v>433.49</v>
      </c>
      <c r="I1022" s="11" t="s">
        <v>155</v>
      </c>
      <c r="J1022" s="11" t="n">
        <v>82.41</v>
      </c>
      <c r="K1022" s="11" t="n">
        <v>82.21</v>
      </c>
      <c r="L1022" s="11" t="n">
        <v>0.4335</v>
      </c>
      <c r="M1022" s="11" t="n">
        <v>0.867</v>
      </c>
      <c r="N1022" s="11" t="n">
        <v>1</v>
      </c>
      <c r="O1022" s="11" t="n">
        <v>4.5</v>
      </c>
      <c r="P1022" s="11" t="n">
        <v>2.04</v>
      </c>
      <c r="Q1022" s="11" t="n">
        <v>15.3</v>
      </c>
      <c r="R1022" s="11" t="n">
        <f aca="false">SUM(K1022:Q1022)</f>
        <v>106.3505</v>
      </c>
      <c r="S1022" s="11" t="n">
        <f aca="false">R1022/(1-Resumo!$C$6)</f>
        <v>120.852840909091</v>
      </c>
      <c r="T1022" s="11" t="n">
        <f aca="false">S1022-J1022</f>
        <v>38.4428409090909</v>
      </c>
      <c r="U1022" s="12" t="n">
        <f aca="false">IFERROR(S1022/J1022-1,0)</f>
        <v>0.466482719440491</v>
      </c>
      <c r="V1022" s="2" t="str">
        <f aca="false">IF(S1022&lt;J1022,"SIM","NÃO")</f>
        <v>NÃO</v>
      </c>
      <c r="W1022" s="2" t="n">
        <v>5</v>
      </c>
      <c r="X1022" s="2" t="s">
        <v>156</v>
      </c>
    </row>
    <row r="1023" customFormat="false" ht="15" hidden="false" customHeight="false" outlineLevel="0" collapsed="false">
      <c r="A1023" s="2" t="n">
        <v>376828429</v>
      </c>
      <c r="B1023" s="29" t="n">
        <v>46249.3971527778</v>
      </c>
      <c r="C1023" s="2" t="s">
        <v>153</v>
      </c>
      <c r="D1023" s="2" t="s">
        <v>1172</v>
      </c>
      <c r="E1023" s="2" t="s">
        <v>78</v>
      </c>
      <c r="F1023" s="2" t="s">
        <v>109</v>
      </c>
      <c r="G1023" s="30" t="n">
        <v>52.3</v>
      </c>
      <c r="H1023" s="11" t="n">
        <v>699.99</v>
      </c>
      <c r="I1023" s="11" t="s">
        <v>350</v>
      </c>
      <c r="J1023" s="11" t="n">
        <v>113.63</v>
      </c>
      <c r="K1023" s="11" t="n">
        <v>112.3</v>
      </c>
      <c r="L1023" s="11" t="n">
        <v>0.7</v>
      </c>
      <c r="M1023" s="11" t="n">
        <v>1.4</v>
      </c>
      <c r="N1023" s="11" t="n">
        <v>1</v>
      </c>
      <c r="O1023" s="11" t="n">
        <v>4.5</v>
      </c>
      <c r="P1023" s="11" t="n">
        <v>3.18</v>
      </c>
      <c r="Q1023" s="11" t="n">
        <v>23.85</v>
      </c>
      <c r="R1023" s="11" t="n">
        <f aca="false">SUM(K1023:Q1023)</f>
        <v>146.93</v>
      </c>
      <c r="S1023" s="11" t="n">
        <f aca="false">R1023/(1-Resumo!$C$6)</f>
        <v>166.965909090909</v>
      </c>
      <c r="T1023" s="11" t="n">
        <f aca="false">S1023-J1023</f>
        <v>53.3359090909091</v>
      </c>
      <c r="U1023" s="12" t="n">
        <f aca="false">IFERROR(S1023/J1023-1,0)</f>
        <v>0.469382285407983</v>
      </c>
      <c r="V1023" s="2" t="str">
        <f aca="false">IF(S1023&lt;J1023,"SIM","NÃO")</f>
        <v>NÃO</v>
      </c>
      <c r="W1023" s="2" t="n">
        <v>5</v>
      </c>
      <c r="X1023" s="2" t="s">
        <v>156</v>
      </c>
    </row>
    <row r="1024" customFormat="false" ht="15" hidden="false" customHeight="false" outlineLevel="0" collapsed="false">
      <c r="A1024" s="2" t="n">
        <v>376838131</v>
      </c>
      <c r="B1024" s="29" t="n">
        <v>46249.4142708333</v>
      </c>
      <c r="C1024" s="2" t="s">
        <v>178</v>
      </c>
      <c r="D1024" s="2" t="s">
        <v>1173</v>
      </c>
      <c r="E1024" s="2" t="s">
        <v>82</v>
      </c>
      <c r="F1024" s="2" t="s">
        <v>106</v>
      </c>
      <c r="G1024" s="30" t="n">
        <v>33.3</v>
      </c>
      <c r="H1024" s="11" t="n">
        <v>433.49</v>
      </c>
      <c r="I1024" s="11" t="s">
        <v>155</v>
      </c>
      <c r="J1024" s="11" t="n">
        <v>101.48</v>
      </c>
      <c r="K1024" s="11" t="n">
        <v>100.58</v>
      </c>
      <c r="L1024" s="11" t="n">
        <v>0.4335</v>
      </c>
      <c r="M1024" s="11" t="n">
        <v>0.867</v>
      </c>
      <c r="N1024" s="11" t="n">
        <v>1</v>
      </c>
      <c r="O1024" s="11" t="n">
        <v>4.5</v>
      </c>
      <c r="P1024" s="11" t="n">
        <v>2.04</v>
      </c>
      <c r="Q1024" s="11" t="n">
        <v>15.3</v>
      </c>
      <c r="R1024" s="11" t="n">
        <f aca="false">SUM(K1024:Q1024)</f>
        <v>124.7205</v>
      </c>
      <c r="S1024" s="11" t="n">
        <f aca="false">R1024/(1-Resumo!$C$6)</f>
        <v>141.727840909091</v>
      </c>
      <c r="T1024" s="11" t="n">
        <f aca="false">S1024-J1024</f>
        <v>40.2478409090909</v>
      </c>
      <c r="U1024" s="12" t="n">
        <f aca="false">IFERROR(S1024/J1024-1,0)</f>
        <v>0.396608601784498</v>
      </c>
      <c r="V1024" s="2" t="str">
        <f aca="false">IF(S1024&lt;J1024,"SIM","NÃO")</f>
        <v>NÃO</v>
      </c>
      <c r="W1024" s="2" t="n">
        <v>7</v>
      </c>
      <c r="X1024" s="2" t="s">
        <v>156</v>
      </c>
    </row>
    <row r="1025" customFormat="false" ht="15" hidden="false" customHeight="false" outlineLevel="0" collapsed="false">
      <c r="A1025" s="2" t="n">
        <v>376840900</v>
      </c>
      <c r="B1025" s="29" t="n">
        <v>46249.4172222222</v>
      </c>
      <c r="C1025" s="2" t="s">
        <v>153</v>
      </c>
      <c r="D1025" s="2" t="s">
        <v>1174</v>
      </c>
      <c r="E1025" s="2" t="s">
        <v>78</v>
      </c>
      <c r="F1025" s="2" t="s">
        <v>109</v>
      </c>
      <c r="G1025" s="30" t="n">
        <v>52.3</v>
      </c>
      <c r="H1025" s="11" t="n">
        <v>699.99</v>
      </c>
      <c r="I1025" s="11" t="s">
        <v>155</v>
      </c>
      <c r="J1025" s="11" t="n">
        <v>114.5</v>
      </c>
      <c r="K1025" s="11" t="n">
        <v>112.3</v>
      </c>
      <c r="L1025" s="11" t="n">
        <v>0.7</v>
      </c>
      <c r="M1025" s="11" t="n">
        <v>1.4</v>
      </c>
      <c r="N1025" s="11" t="n">
        <v>1</v>
      </c>
      <c r="O1025" s="11" t="n">
        <v>4.5</v>
      </c>
      <c r="P1025" s="11" t="n">
        <v>3.18</v>
      </c>
      <c r="Q1025" s="11" t="n">
        <v>23.85</v>
      </c>
      <c r="R1025" s="11" t="n">
        <f aca="false">SUM(K1025:Q1025)</f>
        <v>146.93</v>
      </c>
      <c r="S1025" s="11" t="n">
        <f aca="false">R1025/(1-Resumo!$C$6)</f>
        <v>166.965909090909</v>
      </c>
      <c r="T1025" s="11" t="n">
        <f aca="false">S1025-J1025</f>
        <v>52.4659090909091</v>
      </c>
      <c r="U1025" s="12" t="n">
        <f aca="false">IFERROR(S1025/J1025-1,0)</f>
        <v>0.458217546645494</v>
      </c>
      <c r="V1025" s="2" t="str">
        <f aca="false">IF(S1025&lt;J1025,"SIM","NÃO")</f>
        <v>NÃO</v>
      </c>
      <c r="W1025" s="2" t="n">
        <v>5</v>
      </c>
      <c r="X1025" s="2" t="s">
        <v>156</v>
      </c>
    </row>
    <row r="1026" customFormat="false" ht="15" hidden="false" customHeight="false" outlineLevel="0" collapsed="false">
      <c r="A1026" s="2" t="n">
        <v>376855697</v>
      </c>
      <c r="B1026" s="29" t="n">
        <v>46249.4446412037</v>
      </c>
      <c r="C1026" s="2" t="s">
        <v>158</v>
      </c>
      <c r="D1026" s="2" t="s">
        <v>1175</v>
      </c>
      <c r="E1026" s="2" t="s">
        <v>78</v>
      </c>
      <c r="F1026" s="2" t="s">
        <v>110</v>
      </c>
      <c r="G1026" s="30" t="n">
        <v>66.8</v>
      </c>
      <c r="H1026" s="11" t="n">
        <v>578</v>
      </c>
      <c r="I1026" s="11" t="s">
        <v>155</v>
      </c>
      <c r="J1026" s="11" t="n">
        <v>123.99</v>
      </c>
      <c r="K1026" s="11" t="n">
        <v>131.02</v>
      </c>
      <c r="L1026" s="11" t="n">
        <v>0.578</v>
      </c>
      <c r="M1026" s="11" t="n">
        <v>1.156</v>
      </c>
      <c r="N1026" s="11" t="n">
        <v>1</v>
      </c>
      <c r="O1026" s="11" t="n">
        <v>4.5</v>
      </c>
      <c r="P1026" s="11" t="n">
        <v>4.02</v>
      </c>
      <c r="Q1026" s="11" t="n">
        <v>30.15</v>
      </c>
      <c r="R1026" s="11" t="n">
        <f aca="false">SUM(K1026:Q1026)</f>
        <v>172.424</v>
      </c>
      <c r="S1026" s="11" t="n">
        <f aca="false">R1026/(1-Resumo!$C$6)</f>
        <v>195.936363636364</v>
      </c>
      <c r="T1026" s="11" t="n">
        <f aca="false">S1026-J1026</f>
        <v>71.9463636363636</v>
      </c>
      <c r="U1026" s="12" t="n">
        <f aca="false">IFERROR(S1026/J1026-1,0)</f>
        <v>0.580259405083988</v>
      </c>
      <c r="V1026" s="2" t="str">
        <f aca="false">IF(S1026&lt;J1026,"SIM","NÃO")</f>
        <v>NÃO</v>
      </c>
      <c r="W1026" s="2" t="n">
        <v>5</v>
      </c>
      <c r="X1026" s="2" t="s">
        <v>156</v>
      </c>
    </row>
    <row r="1027" customFormat="false" ht="15" hidden="false" customHeight="false" outlineLevel="0" collapsed="false">
      <c r="A1027" s="2" t="n">
        <v>376860151</v>
      </c>
      <c r="B1027" s="29" t="n">
        <v>46249.4536111111</v>
      </c>
      <c r="C1027" s="2" t="s">
        <v>158</v>
      </c>
      <c r="D1027" s="2" t="s">
        <v>1176</v>
      </c>
      <c r="E1027" s="2" t="s">
        <v>186</v>
      </c>
      <c r="F1027" s="2" t="s">
        <v>106</v>
      </c>
      <c r="G1027" s="30" t="n">
        <v>24.4</v>
      </c>
      <c r="H1027" s="11" t="n">
        <v>307.68</v>
      </c>
      <c r="I1027" s="11" t="s">
        <v>350</v>
      </c>
      <c r="J1027" s="11" t="n">
        <v>105.43</v>
      </c>
      <c r="K1027" s="11" t="n">
        <v>82.21</v>
      </c>
      <c r="L1027" s="11" t="n">
        <v>0.3077</v>
      </c>
      <c r="M1027" s="11" t="n">
        <v>0.6154</v>
      </c>
      <c r="N1027" s="11" t="n">
        <v>1</v>
      </c>
      <c r="O1027" s="11" t="n">
        <v>4.5</v>
      </c>
      <c r="P1027" s="11" t="n">
        <v>1.5</v>
      </c>
      <c r="Q1027" s="11" t="n">
        <v>11.25</v>
      </c>
      <c r="R1027" s="11" t="n">
        <f aca="false">SUM(K1027:Q1027)</f>
        <v>101.3831</v>
      </c>
      <c r="S1027" s="11" t="n">
        <f aca="false">R1027/(1-Resumo!$C$6)</f>
        <v>115.208068181818</v>
      </c>
      <c r="T1027" s="11" t="n">
        <f aca="false">S1027-J1027</f>
        <v>9.77806818181817</v>
      </c>
      <c r="U1027" s="12" t="n">
        <f aca="false">IFERROR(S1027/J1027-1,0)</f>
        <v>0.0927446474610469</v>
      </c>
      <c r="V1027" s="2" t="str">
        <f aca="false">IF(S1027&lt;J1027,"SIM","NÃO")</f>
        <v>NÃO</v>
      </c>
      <c r="W1027" s="2" t="n">
        <v>5</v>
      </c>
      <c r="X1027" s="2" t="s">
        <v>161</v>
      </c>
    </row>
    <row r="1028" customFormat="false" ht="15" hidden="false" customHeight="false" outlineLevel="0" collapsed="false">
      <c r="A1028" s="2" t="n">
        <v>376860287</v>
      </c>
      <c r="B1028" s="29" t="n">
        <v>46249.454224537</v>
      </c>
      <c r="C1028" s="2" t="s">
        <v>198</v>
      </c>
      <c r="D1028" s="2" t="s">
        <v>1177</v>
      </c>
      <c r="E1028" s="2" t="s">
        <v>78</v>
      </c>
      <c r="F1028" s="2" t="s">
        <v>108</v>
      </c>
      <c r="G1028" s="30" t="n">
        <v>43.5</v>
      </c>
      <c r="H1028" s="11" t="n">
        <v>699.99</v>
      </c>
      <c r="I1028" s="11" t="s">
        <v>155</v>
      </c>
      <c r="J1028" s="11" t="n">
        <v>103.94</v>
      </c>
      <c r="K1028" s="11" t="n">
        <v>93.97</v>
      </c>
      <c r="L1028" s="11" t="n">
        <v>0.7</v>
      </c>
      <c r="M1028" s="11" t="n">
        <v>1.4</v>
      </c>
      <c r="N1028" s="11" t="n">
        <v>1</v>
      </c>
      <c r="O1028" s="11" t="n">
        <v>4.5</v>
      </c>
      <c r="P1028" s="11" t="n">
        <v>2.64</v>
      </c>
      <c r="Q1028" s="11" t="n">
        <v>19.8</v>
      </c>
      <c r="R1028" s="11" t="n">
        <f aca="false">SUM(K1028:Q1028)</f>
        <v>124.01</v>
      </c>
      <c r="S1028" s="11" t="n">
        <f aca="false">R1028/(1-Resumo!$C$6)</f>
        <v>140.920454545455</v>
      </c>
      <c r="T1028" s="11" t="n">
        <f aca="false">S1028-J1028</f>
        <v>36.9804545454545</v>
      </c>
      <c r="U1028" s="12" t="n">
        <f aca="false">IFERROR(S1028/J1028-1,0)</f>
        <v>0.355786555180436</v>
      </c>
      <c r="V1028" s="2" t="str">
        <f aca="false">IF(S1028&lt;J1028,"SIM","NÃO")</f>
        <v>NÃO</v>
      </c>
      <c r="W1028" s="2" t="n">
        <v>5</v>
      </c>
      <c r="X1028" s="2" t="s">
        <v>156</v>
      </c>
    </row>
    <row r="1029" customFormat="false" ht="15" hidden="false" customHeight="false" outlineLevel="0" collapsed="false">
      <c r="A1029" s="2" t="n">
        <v>376884000</v>
      </c>
      <c r="B1029" s="29" t="n">
        <v>46249.4939236111</v>
      </c>
      <c r="C1029" s="2" t="s">
        <v>158</v>
      </c>
      <c r="D1029" s="2" t="s">
        <v>1178</v>
      </c>
      <c r="E1029" s="2" t="s">
        <v>78</v>
      </c>
      <c r="F1029" s="2" t="s">
        <v>114</v>
      </c>
      <c r="G1029" s="30" t="n">
        <v>124.2</v>
      </c>
      <c r="H1029" s="11" t="n">
        <v>1597.99</v>
      </c>
      <c r="I1029" s="11" t="s">
        <v>155</v>
      </c>
      <c r="J1029" s="11" t="n">
        <v>233.95</v>
      </c>
      <c r="K1029" s="11" t="n">
        <v>239.25</v>
      </c>
      <c r="L1029" s="11" t="n">
        <v>1.598</v>
      </c>
      <c r="M1029" s="11" t="n">
        <v>3.196</v>
      </c>
      <c r="N1029" s="11" t="n">
        <v>1</v>
      </c>
      <c r="O1029" s="11" t="n">
        <v>9</v>
      </c>
      <c r="P1029" s="11" t="n">
        <v>7.5</v>
      </c>
      <c r="Q1029" s="11" t="n">
        <v>56.25</v>
      </c>
      <c r="R1029" s="11" t="n">
        <f aca="false">SUM(K1029:Q1029)</f>
        <v>317.794</v>
      </c>
      <c r="S1029" s="11" t="n">
        <f aca="false">R1029/(1-Resumo!$C$6)</f>
        <v>361.129545454545</v>
      </c>
      <c r="T1029" s="11" t="n">
        <f aca="false">S1029-J1029</f>
        <v>127.179545454545</v>
      </c>
      <c r="U1029" s="12" t="n">
        <f aca="false">IFERROR(S1029/J1029-1,0)</f>
        <v>0.543618488799083</v>
      </c>
      <c r="V1029" s="2" t="str">
        <f aca="false">IF(S1029&lt;J1029,"SIM","NÃO")</f>
        <v>NÃO</v>
      </c>
      <c r="W1029" s="2" t="n">
        <v>5</v>
      </c>
      <c r="X1029" s="2" t="s">
        <v>156</v>
      </c>
    </row>
    <row r="1030" customFormat="false" ht="15" hidden="false" customHeight="false" outlineLevel="0" collapsed="false">
      <c r="A1030" s="2" t="n">
        <v>376886339</v>
      </c>
      <c r="B1030" s="29" t="n">
        <v>46249.4974189815</v>
      </c>
      <c r="C1030" s="2" t="s">
        <v>153</v>
      </c>
      <c r="D1030" s="2" t="s">
        <v>1179</v>
      </c>
      <c r="E1030" s="2" t="s">
        <v>78</v>
      </c>
      <c r="F1030" s="2" t="s">
        <v>109</v>
      </c>
      <c r="G1030" s="30" t="n">
        <v>52.3</v>
      </c>
      <c r="H1030" s="11" t="n">
        <v>699.99</v>
      </c>
      <c r="I1030" s="11" t="s">
        <v>155</v>
      </c>
      <c r="J1030" s="11" t="n">
        <v>114.5</v>
      </c>
      <c r="K1030" s="11" t="n">
        <v>112.3</v>
      </c>
      <c r="L1030" s="11" t="n">
        <v>0.7</v>
      </c>
      <c r="M1030" s="11" t="n">
        <v>1.4</v>
      </c>
      <c r="N1030" s="11" t="n">
        <v>1</v>
      </c>
      <c r="O1030" s="11" t="n">
        <v>4.5</v>
      </c>
      <c r="P1030" s="11" t="n">
        <v>3.18</v>
      </c>
      <c r="Q1030" s="11" t="n">
        <v>23.85</v>
      </c>
      <c r="R1030" s="11" t="n">
        <f aca="false">SUM(K1030:Q1030)</f>
        <v>146.93</v>
      </c>
      <c r="S1030" s="11" t="n">
        <f aca="false">R1030/(1-Resumo!$C$6)</f>
        <v>166.965909090909</v>
      </c>
      <c r="T1030" s="11" t="n">
        <f aca="false">S1030-J1030</f>
        <v>52.4659090909091</v>
      </c>
      <c r="U1030" s="12" t="n">
        <f aca="false">IFERROR(S1030/J1030-1,0)</f>
        <v>0.458217546645494</v>
      </c>
      <c r="V1030" s="2" t="str">
        <f aca="false">IF(S1030&lt;J1030,"SIM","NÃO")</f>
        <v>NÃO</v>
      </c>
      <c r="W1030" s="2" t="n">
        <v>5</v>
      </c>
      <c r="X1030" s="2" t="s">
        <v>156</v>
      </c>
    </row>
    <row r="1031" customFormat="false" ht="15" hidden="false" customHeight="false" outlineLevel="0" collapsed="false">
      <c r="A1031" s="2" t="n">
        <v>376888056</v>
      </c>
      <c r="B1031" s="29" t="n">
        <v>46249.5002314815</v>
      </c>
      <c r="C1031" s="2" t="s">
        <v>153</v>
      </c>
      <c r="D1031" s="2" t="s">
        <v>1180</v>
      </c>
      <c r="E1031" s="2" t="s">
        <v>84</v>
      </c>
      <c r="F1031" s="2" t="s">
        <v>110</v>
      </c>
      <c r="G1031" s="30" t="n">
        <v>63.9</v>
      </c>
      <c r="H1031" s="11" t="n">
        <v>730.98</v>
      </c>
      <c r="I1031" s="11" t="s">
        <v>350</v>
      </c>
      <c r="J1031" s="11" t="n">
        <v>139.81</v>
      </c>
      <c r="K1031" s="11" t="n">
        <v>131.02</v>
      </c>
      <c r="L1031" s="11" t="n">
        <v>0.731</v>
      </c>
      <c r="M1031" s="11" t="n">
        <v>1.462</v>
      </c>
      <c r="N1031" s="11" t="n">
        <v>1</v>
      </c>
      <c r="O1031" s="11" t="n">
        <v>4.5</v>
      </c>
      <c r="P1031" s="11" t="n">
        <v>3.84</v>
      </c>
      <c r="Q1031" s="11" t="n">
        <v>28.8</v>
      </c>
      <c r="R1031" s="11" t="n">
        <f aca="false">SUM(K1031:Q1031)</f>
        <v>171.353</v>
      </c>
      <c r="S1031" s="11" t="n">
        <f aca="false">R1031/(1-Resumo!$C$6)</f>
        <v>194.719318181818</v>
      </c>
      <c r="T1031" s="11" t="n">
        <f aca="false">S1031-J1031</f>
        <v>54.9093181818182</v>
      </c>
      <c r="U1031" s="12" t="n">
        <f aca="false">IFERROR(S1031/J1031-1,0)</f>
        <v>0.392742423158702</v>
      </c>
      <c r="V1031" s="2" t="str">
        <f aca="false">IF(S1031&lt;J1031,"SIM","NÃO")</f>
        <v>NÃO</v>
      </c>
      <c r="W1031" s="2" t="n">
        <v>5</v>
      </c>
      <c r="X1031" s="2" t="s">
        <v>156</v>
      </c>
    </row>
    <row r="1032" customFormat="false" ht="15" hidden="false" customHeight="false" outlineLevel="0" collapsed="false">
      <c r="A1032" s="2" t="n">
        <v>376888749</v>
      </c>
      <c r="B1032" s="29" t="n">
        <v>46249.5013310185</v>
      </c>
      <c r="C1032" s="2" t="s">
        <v>153</v>
      </c>
      <c r="D1032" s="2" t="s">
        <v>1181</v>
      </c>
      <c r="E1032" s="2" t="s">
        <v>203</v>
      </c>
      <c r="F1032" s="2" t="s">
        <v>109</v>
      </c>
      <c r="G1032" s="30" t="n">
        <v>52.3</v>
      </c>
      <c r="H1032" s="11" t="n">
        <v>699.99</v>
      </c>
      <c r="I1032" s="11" t="s">
        <v>350</v>
      </c>
      <c r="J1032" s="11" t="n">
        <v>142.01</v>
      </c>
      <c r="K1032" s="11" t="n">
        <v>122.3</v>
      </c>
      <c r="L1032" s="11" t="n">
        <v>0.7</v>
      </c>
      <c r="M1032" s="11" t="n">
        <v>1.4</v>
      </c>
      <c r="N1032" s="11" t="n">
        <v>1</v>
      </c>
      <c r="O1032" s="11" t="n">
        <v>4.5</v>
      </c>
      <c r="P1032" s="11" t="n">
        <v>3.18</v>
      </c>
      <c r="Q1032" s="11" t="n">
        <v>23.85</v>
      </c>
      <c r="R1032" s="11" t="n">
        <f aca="false">SUM(K1032:Q1032)</f>
        <v>156.93</v>
      </c>
      <c r="S1032" s="11" t="n">
        <f aca="false">R1032/(1-Resumo!$C$6)</f>
        <v>178.329545454545</v>
      </c>
      <c r="T1032" s="11" t="n">
        <f aca="false">S1032-J1032</f>
        <v>36.3195454545455</v>
      </c>
      <c r="U1032" s="12" t="n">
        <f aca="false">IFERROR(S1032/J1032-1,0)</f>
        <v>0.25575343605764</v>
      </c>
      <c r="V1032" s="2" t="str">
        <f aca="false">IF(S1032&lt;J1032,"SIM","NÃO")</f>
        <v>NÃO</v>
      </c>
      <c r="W1032" s="2" t="n">
        <v>5</v>
      </c>
      <c r="X1032" s="2" t="s">
        <v>161</v>
      </c>
    </row>
    <row r="1033" customFormat="false" ht="15" hidden="false" customHeight="false" outlineLevel="0" collapsed="false">
      <c r="A1033" s="2" t="n">
        <v>376889638</v>
      </c>
      <c r="B1033" s="29" t="n">
        <v>46249.5027199074</v>
      </c>
      <c r="C1033" s="2" t="s">
        <v>153</v>
      </c>
      <c r="D1033" s="2" t="s">
        <v>1182</v>
      </c>
      <c r="E1033" s="2" t="s">
        <v>89</v>
      </c>
      <c r="F1033" s="2" t="s">
        <v>114</v>
      </c>
      <c r="G1033" s="30" t="n">
        <v>124.2</v>
      </c>
      <c r="H1033" s="11" t="n">
        <v>1526.91</v>
      </c>
      <c r="I1033" s="11" t="s">
        <v>350</v>
      </c>
      <c r="J1033" s="11" t="n">
        <v>252.91</v>
      </c>
      <c r="K1033" s="11" t="n">
        <v>264.84</v>
      </c>
      <c r="L1033" s="11" t="n">
        <v>1.5269</v>
      </c>
      <c r="M1033" s="11" t="n">
        <v>3.0538</v>
      </c>
      <c r="N1033" s="11" t="n">
        <v>1</v>
      </c>
      <c r="O1033" s="11" t="n">
        <v>9</v>
      </c>
      <c r="P1033" s="11" t="n">
        <v>7.5</v>
      </c>
      <c r="Q1033" s="11" t="n">
        <v>56.25</v>
      </c>
      <c r="R1033" s="11" t="n">
        <f aca="false">SUM(K1033:Q1033)</f>
        <v>343.1707</v>
      </c>
      <c r="S1033" s="11" t="n">
        <f aca="false">R1033/(1-Resumo!$C$6)</f>
        <v>389.966704545455</v>
      </c>
      <c r="T1033" s="11" t="n">
        <f aca="false">S1033-J1033</f>
        <v>137.056704545455</v>
      </c>
      <c r="U1033" s="12" t="n">
        <f aca="false">IFERROR(S1033/J1033-1,0)</f>
        <v>0.541918882390789</v>
      </c>
      <c r="V1033" s="2" t="str">
        <f aca="false">IF(S1033&lt;J1033,"SIM","NÃO")</f>
        <v>NÃO</v>
      </c>
      <c r="W1033" s="2" t="n">
        <v>8</v>
      </c>
      <c r="X1033" s="2" t="s">
        <v>156</v>
      </c>
    </row>
    <row r="1034" customFormat="false" ht="15" hidden="false" customHeight="false" outlineLevel="0" collapsed="false">
      <c r="A1034" s="2" t="n">
        <v>376890115</v>
      </c>
      <c r="B1034" s="29" t="n">
        <v>46249.5034490741</v>
      </c>
      <c r="C1034" s="2" t="s">
        <v>153</v>
      </c>
      <c r="D1034" s="2" t="s">
        <v>1183</v>
      </c>
      <c r="E1034" s="2" t="s">
        <v>78</v>
      </c>
      <c r="F1034" s="2" t="s">
        <v>109</v>
      </c>
      <c r="G1034" s="30" t="n">
        <v>52.2</v>
      </c>
      <c r="H1034" s="11" t="n">
        <v>719.99</v>
      </c>
      <c r="I1034" s="11" t="s">
        <v>155</v>
      </c>
      <c r="J1034" s="11" t="n">
        <v>114.6</v>
      </c>
      <c r="K1034" s="11" t="n">
        <v>112.3</v>
      </c>
      <c r="L1034" s="11" t="n">
        <v>0.72</v>
      </c>
      <c r="M1034" s="11" t="n">
        <v>1.44</v>
      </c>
      <c r="N1034" s="11" t="n">
        <v>1</v>
      </c>
      <c r="O1034" s="11" t="n">
        <v>4.5</v>
      </c>
      <c r="P1034" s="11" t="n">
        <v>3.18</v>
      </c>
      <c r="Q1034" s="11" t="n">
        <v>23.85</v>
      </c>
      <c r="R1034" s="11" t="n">
        <f aca="false">SUM(K1034:Q1034)</f>
        <v>146.99</v>
      </c>
      <c r="S1034" s="11" t="n">
        <f aca="false">R1034/(1-Resumo!$C$6)</f>
        <v>167.034090909091</v>
      </c>
      <c r="T1034" s="11" t="n">
        <f aca="false">S1034-J1034</f>
        <v>52.4340909090909</v>
      </c>
      <c r="U1034" s="12" t="n">
        <f aca="false">IFERROR(S1034/J1034-1,0)</f>
        <v>0.457540060288751</v>
      </c>
      <c r="V1034" s="2" t="str">
        <f aca="false">IF(S1034&lt;J1034,"SIM","NÃO")</f>
        <v>NÃO</v>
      </c>
      <c r="W1034" s="2" t="n">
        <v>5</v>
      </c>
      <c r="X1034" s="2" t="s">
        <v>156</v>
      </c>
    </row>
    <row r="1035" customFormat="false" ht="15" hidden="false" customHeight="false" outlineLevel="0" collapsed="false">
      <c r="A1035" s="2" t="n">
        <v>376895250</v>
      </c>
      <c r="B1035" s="29" t="n">
        <v>46249.5113078704</v>
      </c>
      <c r="C1035" s="2" t="s">
        <v>153</v>
      </c>
      <c r="D1035" s="2" t="s">
        <v>1184</v>
      </c>
      <c r="E1035" s="2" t="s">
        <v>78</v>
      </c>
      <c r="F1035" s="2" t="s">
        <v>107</v>
      </c>
      <c r="G1035" s="30" t="n">
        <v>37.5</v>
      </c>
      <c r="H1035" s="11" t="n">
        <v>399.99</v>
      </c>
      <c r="I1035" s="11" t="s">
        <v>155</v>
      </c>
      <c r="J1035" s="11" t="n">
        <v>91.77</v>
      </c>
      <c r="K1035" s="11" t="n">
        <v>93.97</v>
      </c>
      <c r="L1035" s="11" t="n">
        <v>0.4</v>
      </c>
      <c r="M1035" s="11" t="n">
        <v>0.8</v>
      </c>
      <c r="N1035" s="11" t="n">
        <v>1</v>
      </c>
      <c r="O1035" s="11" t="n">
        <v>4.5</v>
      </c>
      <c r="P1035" s="11" t="n">
        <v>2.28</v>
      </c>
      <c r="Q1035" s="11" t="n">
        <v>17.1</v>
      </c>
      <c r="R1035" s="11" t="n">
        <f aca="false">SUM(K1035:Q1035)</f>
        <v>120.05</v>
      </c>
      <c r="S1035" s="11" t="n">
        <f aca="false">R1035/(1-Resumo!$C$6)</f>
        <v>136.420454545455</v>
      </c>
      <c r="T1035" s="11" t="n">
        <f aca="false">S1035-J1035</f>
        <v>44.6504545454546</v>
      </c>
      <c r="U1035" s="12" t="n">
        <f aca="false">IFERROR(S1035/J1035-1,0)</f>
        <v>0.48654739615838</v>
      </c>
      <c r="V1035" s="2" t="str">
        <f aca="false">IF(S1035&lt;J1035,"SIM","NÃO")</f>
        <v>NÃO</v>
      </c>
      <c r="W1035" s="2" t="n">
        <v>5</v>
      </c>
      <c r="X1035" s="2" t="s">
        <v>156</v>
      </c>
    </row>
    <row r="1036" customFormat="false" ht="15" hidden="false" customHeight="false" outlineLevel="0" collapsed="false">
      <c r="A1036" s="2" t="n">
        <v>376895758</v>
      </c>
      <c r="B1036" s="29" t="n">
        <v>46249.5120023148</v>
      </c>
      <c r="C1036" s="2" t="s">
        <v>158</v>
      </c>
      <c r="D1036" s="2" t="s">
        <v>1185</v>
      </c>
      <c r="E1036" s="2" t="s">
        <v>664</v>
      </c>
      <c r="F1036" s="2" t="s">
        <v>108</v>
      </c>
      <c r="G1036" s="30" t="n">
        <v>41.4</v>
      </c>
      <c r="H1036" s="11" t="n">
        <v>418.29</v>
      </c>
      <c r="I1036" s="11" t="s">
        <v>350</v>
      </c>
      <c r="J1036" s="11" t="n">
        <v>128.36</v>
      </c>
      <c r="K1036" s="11" t="n">
        <v>129.29</v>
      </c>
      <c r="L1036" s="11" t="n">
        <v>0.4183</v>
      </c>
      <c r="M1036" s="11" t="n">
        <v>0.8366</v>
      </c>
      <c r="N1036" s="11" t="n">
        <v>1</v>
      </c>
      <c r="O1036" s="11" t="n">
        <v>4.5</v>
      </c>
      <c r="P1036" s="11" t="n">
        <v>2.52</v>
      </c>
      <c r="Q1036" s="11" t="n">
        <v>18.9</v>
      </c>
      <c r="R1036" s="11" t="n">
        <f aca="false">SUM(K1036:Q1036)</f>
        <v>157.4649</v>
      </c>
      <c r="S1036" s="11" t="n">
        <f aca="false">R1036/(1-Resumo!$C$6)</f>
        <v>178.937386363636</v>
      </c>
      <c r="T1036" s="11" t="n">
        <f aca="false">S1036-J1036</f>
        <v>50.5773863636364</v>
      </c>
      <c r="U1036" s="12" t="n">
        <f aca="false">IFERROR(S1036/J1036-1,0)</f>
        <v>0.394027628261424</v>
      </c>
      <c r="V1036" s="2" t="str">
        <f aca="false">IF(S1036&lt;J1036,"SIM","NÃO")</f>
        <v>NÃO</v>
      </c>
      <c r="W1036" s="2" t="n">
        <v>10</v>
      </c>
      <c r="X1036" s="2" t="s">
        <v>161</v>
      </c>
    </row>
    <row r="1037" customFormat="false" ht="15" hidden="false" customHeight="false" outlineLevel="0" collapsed="false">
      <c r="A1037" s="2" t="n">
        <v>376907702</v>
      </c>
      <c r="B1037" s="29" t="n">
        <v>46249.5358449074</v>
      </c>
      <c r="C1037" s="2" t="s">
        <v>178</v>
      </c>
      <c r="D1037" s="2" t="s">
        <v>1186</v>
      </c>
      <c r="E1037" s="2" t="s">
        <v>84</v>
      </c>
      <c r="F1037" s="2" t="s">
        <v>111</v>
      </c>
      <c r="G1037" s="30" t="n">
        <v>72.7</v>
      </c>
      <c r="H1037" s="11" t="n">
        <v>1109.99</v>
      </c>
      <c r="I1037" s="11" t="s">
        <v>350</v>
      </c>
      <c r="J1037" s="11" t="n">
        <v>152.94</v>
      </c>
      <c r="K1037" s="11" t="n">
        <v>134.39</v>
      </c>
      <c r="L1037" s="11" t="n">
        <v>1.11</v>
      </c>
      <c r="M1037" s="11" t="n">
        <v>2.22</v>
      </c>
      <c r="N1037" s="11" t="n">
        <v>1</v>
      </c>
      <c r="O1037" s="11" t="n">
        <v>4.5</v>
      </c>
      <c r="P1037" s="11" t="n">
        <v>4.38</v>
      </c>
      <c r="Q1037" s="11" t="n">
        <v>32.85</v>
      </c>
      <c r="R1037" s="11" t="n">
        <f aca="false">SUM(K1037:Q1037)</f>
        <v>180.45</v>
      </c>
      <c r="S1037" s="11" t="n">
        <f aca="false">R1037/(1-Resumo!$C$6)</f>
        <v>205.056818181818</v>
      </c>
      <c r="T1037" s="11" t="n">
        <f aca="false">S1037-J1037</f>
        <v>52.1168181818182</v>
      </c>
      <c r="U1037" s="12" t="n">
        <f aca="false">IFERROR(S1037/J1037-1,0)</f>
        <v>0.340766432469061</v>
      </c>
      <c r="V1037" s="2" t="str">
        <f aca="false">IF(S1037&lt;J1037,"SIM","NÃO")</f>
        <v>NÃO</v>
      </c>
      <c r="W1037" s="2" t="n">
        <v>5</v>
      </c>
      <c r="X1037" s="2" t="s">
        <v>156</v>
      </c>
    </row>
    <row r="1038" customFormat="false" ht="15" hidden="false" customHeight="false" outlineLevel="0" collapsed="false">
      <c r="A1038" s="2" t="n">
        <v>376431023</v>
      </c>
      <c r="B1038" s="29" t="n">
        <v>46249.5430092593</v>
      </c>
      <c r="C1038" s="2" t="s">
        <v>178</v>
      </c>
      <c r="D1038" s="2" t="s">
        <v>1187</v>
      </c>
      <c r="E1038" s="2" t="s">
        <v>78</v>
      </c>
      <c r="F1038" s="2" t="s">
        <v>110</v>
      </c>
      <c r="G1038" s="30" t="n">
        <v>63</v>
      </c>
      <c r="H1038" s="11" t="n">
        <v>985.99</v>
      </c>
      <c r="I1038" s="11" t="s">
        <v>155</v>
      </c>
      <c r="J1038" s="11" t="n">
        <v>125.93</v>
      </c>
      <c r="K1038" s="11" t="n">
        <v>131.02</v>
      </c>
      <c r="L1038" s="11" t="n">
        <v>0.986</v>
      </c>
      <c r="M1038" s="11" t="n">
        <v>1.972</v>
      </c>
      <c r="N1038" s="11" t="n">
        <v>1</v>
      </c>
      <c r="O1038" s="11" t="n">
        <v>4.5</v>
      </c>
      <c r="P1038" s="11" t="n">
        <v>3.78</v>
      </c>
      <c r="Q1038" s="11" t="n">
        <v>28.35</v>
      </c>
      <c r="R1038" s="11" t="n">
        <f aca="false">SUM(K1038:Q1038)</f>
        <v>171.608</v>
      </c>
      <c r="S1038" s="11" t="n">
        <f aca="false">R1038/(1-Resumo!$C$6)</f>
        <v>195.009090909091</v>
      </c>
      <c r="T1038" s="11" t="n">
        <f aca="false">S1038-J1038</f>
        <v>69.0790909090909</v>
      </c>
      <c r="U1038" s="12" t="n">
        <f aca="false">IFERROR(S1038/J1038-1,0)</f>
        <v>0.548551504082354</v>
      </c>
      <c r="V1038" s="2" t="str">
        <f aca="false">IF(S1038&lt;J1038,"SIM","NÃO")</f>
        <v>NÃO</v>
      </c>
      <c r="W1038" s="2" t="n">
        <v>5</v>
      </c>
      <c r="X1038" s="2" t="s">
        <v>156</v>
      </c>
    </row>
    <row r="1039" customFormat="false" ht="15" hidden="false" customHeight="false" outlineLevel="0" collapsed="false">
      <c r="A1039" s="2" t="n">
        <v>376923711</v>
      </c>
      <c r="B1039" s="29" t="n">
        <v>46249.5549537037</v>
      </c>
      <c r="C1039" s="2" t="s">
        <v>158</v>
      </c>
      <c r="D1039" s="2" t="s">
        <v>1188</v>
      </c>
      <c r="E1039" s="2" t="s">
        <v>78</v>
      </c>
      <c r="F1039" s="2" t="s">
        <v>108</v>
      </c>
      <c r="G1039" s="30" t="n">
        <v>48.6</v>
      </c>
      <c r="H1039" s="11" t="n">
        <v>604.3</v>
      </c>
      <c r="I1039" s="11" t="s">
        <v>350</v>
      </c>
      <c r="J1039" s="11" t="n">
        <v>105.39</v>
      </c>
      <c r="K1039" s="11" t="n">
        <v>93.97</v>
      </c>
      <c r="L1039" s="11" t="n">
        <v>0.6043</v>
      </c>
      <c r="M1039" s="11" t="n">
        <v>1.2086</v>
      </c>
      <c r="N1039" s="11" t="n">
        <v>1</v>
      </c>
      <c r="O1039" s="11" t="n">
        <v>4.5</v>
      </c>
      <c r="P1039" s="11" t="n">
        <v>2.94</v>
      </c>
      <c r="Q1039" s="11" t="n">
        <v>22.05</v>
      </c>
      <c r="R1039" s="11" t="n">
        <f aca="false">SUM(K1039:Q1039)</f>
        <v>126.2729</v>
      </c>
      <c r="S1039" s="11" t="n">
        <f aca="false">R1039/(1-Resumo!$C$6)</f>
        <v>143.491931818182</v>
      </c>
      <c r="T1039" s="11" t="n">
        <f aca="false">S1039-J1039</f>
        <v>38.1019318181818</v>
      </c>
      <c r="U1039" s="12" t="n">
        <f aca="false">IFERROR(S1039/J1039-1,0)</f>
        <v>0.361532705362765</v>
      </c>
      <c r="V1039" s="2" t="str">
        <f aca="false">IF(S1039&lt;J1039,"SIM","NÃO")</f>
        <v>NÃO</v>
      </c>
      <c r="W1039" s="2" t="n">
        <v>5</v>
      </c>
      <c r="X1039" s="2" t="s">
        <v>156</v>
      </c>
    </row>
    <row r="1040" customFormat="false" ht="15" hidden="false" customHeight="false" outlineLevel="0" collapsed="false">
      <c r="A1040" s="2" t="n">
        <v>376930366</v>
      </c>
      <c r="B1040" s="29" t="n">
        <v>46249.5652430556</v>
      </c>
      <c r="C1040" s="2" t="s">
        <v>153</v>
      </c>
      <c r="D1040" s="2" t="s">
        <v>1189</v>
      </c>
      <c r="E1040" s="2" t="s">
        <v>78</v>
      </c>
      <c r="F1040" s="2" t="s">
        <v>106</v>
      </c>
      <c r="G1040" s="30" t="n">
        <v>27.6</v>
      </c>
      <c r="H1040" s="11" t="n">
        <v>537.45</v>
      </c>
      <c r="I1040" s="11" t="s">
        <v>350</v>
      </c>
      <c r="J1040" s="11" t="n">
        <v>81.33</v>
      </c>
      <c r="K1040" s="11" t="n">
        <v>82.21</v>
      </c>
      <c r="L1040" s="11" t="n">
        <v>0.5375</v>
      </c>
      <c r="M1040" s="11" t="n">
        <v>1.0749</v>
      </c>
      <c r="N1040" s="11" t="n">
        <v>1</v>
      </c>
      <c r="O1040" s="11" t="n">
        <v>4.5</v>
      </c>
      <c r="P1040" s="11" t="n">
        <v>1.68</v>
      </c>
      <c r="Q1040" s="11" t="n">
        <v>12.6</v>
      </c>
      <c r="R1040" s="11" t="n">
        <f aca="false">SUM(K1040:Q1040)</f>
        <v>103.6024</v>
      </c>
      <c r="S1040" s="11" t="n">
        <f aca="false">R1040/(1-Resumo!$C$6)</f>
        <v>117.73</v>
      </c>
      <c r="T1040" s="11" t="n">
        <f aca="false">S1040-J1040</f>
        <v>36.4</v>
      </c>
      <c r="U1040" s="12" t="n">
        <f aca="false">IFERROR(S1040/J1040-1,0)</f>
        <v>0.447559326201893</v>
      </c>
      <c r="V1040" s="2" t="str">
        <f aca="false">IF(S1040&lt;J1040,"SIM","NÃO")</f>
        <v>NÃO</v>
      </c>
      <c r="W1040" s="2" t="n">
        <v>5</v>
      </c>
      <c r="X1040" s="2" t="s">
        <v>156</v>
      </c>
    </row>
    <row r="1041" customFormat="false" ht="15" hidden="false" customHeight="false" outlineLevel="0" collapsed="false">
      <c r="A1041" s="2" t="n">
        <v>376934017</v>
      </c>
      <c r="B1041" s="29" t="n">
        <v>46249.5696296296</v>
      </c>
      <c r="C1041" s="2" t="s">
        <v>158</v>
      </c>
      <c r="D1041" s="2" t="s">
        <v>1190</v>
      </c>
      <c r="E1041" s="2" t="s">
        <v>82</v>
      </c>
      <c r="F1041" s="2" t="s">
        <v>110</v>
      </c>
      <c r="G1041" s="30" t="n">
        <v>69.15</v>
      </c>
      <c r="H1041" s="11" t="n">
        <v>707</v>
      </c>
      <c r="I1041" s="11" t="s">
        <v>155</v>
      </c>
      <c r="J1041" s="11" t="n">
        <v>139.81</v>
      </c>
      <c r="K1041" s="11" t="n">
        <v>149.5</v>
      </c>
      <c r="L1041" s="11" t="n">
        <v>0.707</v>
      </c>
      <c r="M1041" s="11" t="n">
        <v>1.414</v>
      </c>
      <c r="N1041" s="11" t="n">
        <v>1</v>
      </c>
      <c r="O1041" s="11" t="n">
        <v>4.5</v>
      </c>
      <c r="P1041" s="11" t="n">
        <v>4.2</v>
      </c>
      <c r="Q1041" s="11" t="n">
        <v>31.5</v>
      </c>
      <c r="R1041" s="11" t="n">
        <f aca="false">SUM(K1041:Q1041)</f>
        <v>192.821</v>
      </c>
      <c r="S1041" s="11" t="n">
        <f aca="false">R1041/(1-Resumo!$C$6)</f>
        <v>219.114772727273</v>
      </c>
      <c r="T1041" s="11" t="n">
        <f aca="false">S1041-J1041</f>
        <v>79.3047727272727</v>
      </c>
      <c r="U1041" s="12" t="n">
        <f aca="false">IFERROR(S1041/J1041-1,0)</f>
        <v>0.567232477843307</v>
      </c>
      <c r="V1041" s="2" t="str">
        <f aca="false">IF(S1041&lt;J1041,"SIM","NÃO")</f>
        <v>NÃO</v>
      </c>
      <c r="W1041" s="2" t="n">
        <v>7</v>
      </c>
      <c r="X1041" s="2" t="s">
        <v>156</v>
      </c>
    </row>
    <row r="1042" customFormat="false" ht="15" hidden="false" customHeight="false" outlineLevel="0" collapsed="false">
      <c r="A1042" s="2" t="n">
        <v>376952978</v>
      </c>
      <c r="B1042" s="29" t="n">
        <v>46249.6006134259</v>
      </c>
      <c r="C1042" s="2" t="s">
        <v>158</v>
      </c>
      <c r="D1042" s="2" t="s">
        <v>1191</v>
      </c>
      <c r="E1042" s="2" t="s">
        <v>84</v>
      </c>
      <c r="F1042" s="2" t="s">
        <v>109</v>
      </c>
      <c r="G1042" s="30" t="n">
        <v>51.06</v>
      </c>
      <c r="H1042" s="11" t="n">
        <v>659.55</v>
      </c>
      <c r="I1042" s="11" t="s">
        <v>350</v>
      </c>
      <c r="J1042" s="11" t="n">
        <v>127</v>
      </c>
      <c r="K1042" s="11" t="n">
        <v>112.3</v>
      </c>
      <c r="L1042" s="11" t="n">
        <v>0.6596</v>
      </c>
      <c r="M1042" s="11" t="n">
        <v>1.3191</v>
      </c>
      <c r="N1042" s="11" t="n">
        <v>1</v>
      </c>
      <c r="O1042" s="11" t="n">
        <v>4.5</v>
      </c>
      <c r="P1042" s="11" t="n">
        <v>3.12</v>
      </c>
      <c r="Q1042" s="11" t="n">
        <v>23.4</v>
      </c>
      <c r="R1042" s="11" t="n">
        <f aca="false">SUM(K1042:Q1042)</f>
        <v>146.2987</v>
      </c>
      <c r="S1042" s="11" t="n">
        <f aca="false">R1042/(1-Resumo!$C$6)</f>
        <v>166.248522727273</v>
      </c>
      <c r="T1042" s="11" t="n">
        <f aca="false">S1042-J1042</f>
        <v>39.2485227272727</v>
      </c>
      <c r="U1042" s="12" t="n">
        <f aca="false">IFERROR(S1042/J1042-1,0)</f>
        <v>0.309043486041518</v>
      </c>
      <c r="V1042" s="2" t="str">
        <f aca="false">IF(S1042&lt;J1042,"SIM","NÃO")</f>
        <v>NÃO</v>
      </c>
      <c r="W1042" s="2" t="n">
        <v>5</v>
      </c>
      <c r="X1042" s="2" t="s">
        <v>156</v>
      </c>
    </row>
    <row r="1043" customFormat="false" ht="15" hidden="false" customHeight="false" outlineLevel="0" collapsed="false">
      <c r="A1043" s="2" t="n">
        <v>376955060</v>
      </c>
      <c r="B1043" s="29" t="n">
        <v>46249.603900463</v>
      </c>
      <c r="C1043" s="2" t="s">
        <v>153</v>
      </c>
      <c r="D1043" s="2" t="s">
        <v>1192</v>
      </c>
      <c r="E1043" s="2" t="s">
        <v>78</v>
      </c>
      <c r="F1043" s="2" t="s">
        <v>106</v>
      </c>
      <c r="G1043" s="30" t="n">
        <v>22.9</v>
      </c>
      <c r="H1043" s="11" t="n">
        <v>369.99</v>
      </c>
      <c r="I1043" s="11" t="s">
        <v>350</v>
      </c>
      <c r="J1043" s="11" t="n">
        <v>77.98</v>
      </c>
      <c r="K1043" s="11" t="n">
        <v>82.21</v>
      </c>
      <c r="L1043" s="11" t="n">
        <v>0.37</v>
      </c>
      <c r="M1043" s="11" t="n">
        <v>0.74</v>
      </c>
      <c r="N1043" s="11" t="n">
        <v>1</v>
      </c>
      <c r="O1043" s="11" t="n">
        <v>4.5</v>
      </c>
      <c r="P1043" s="11" t="n">
        <v>1.38</v>
      </c>
      <c r="Q1043" s="11" t="n">
        <v>10.35</v>
      </c>
      <c r="R1043" s="11" t="n">
        <f aca="false">SUM(K1043:Q1043)</f>
        <v>100.55</v>
      </c>
      <c r="S1043" s="11" t="n">
        <f aca="false">R1043/(1-Resumo!$C$6)</f>
        <v>114.261363636364</v>
      </c>
      <c r="T1043" s="11" t="n">
        <f aca="false">S1043-J1043</f>
        <v>36.2813636363636</v>
      </c>
      <c r="U1043" s="12" t="n">
        <f aca="false">IFERROR(S1043/J1043-1,0)</f>
        <v>0.465264986360139</v>
      </c>
      <c r="V1043" s="2" t="str">
        <f aca="false">IF(S1043&lt;J1043,"SIM","NÃO")</f>
        <v>NÃO</v>
      </c>
      <c r="W1043" s="2" t="n">
        <v>5</v>
      </c>
      <c r="X1043" s="2" t="s">
        <v>156</v>
      </c>
    </row>
    <row r="1044" customFormat="false" ht="15" hidden="false" customHeight="false" outlineLevel="0" collapsed="false">
      <c r="A1044" s="2" t="n">
        <v>376960207</v>
      </c>
      <c r="B1044" s="29" t="n">
        <v>46249.611724537</v>
      </c>
      <c r="C1044" s="2" t="s">
        <v>153</v>
      </c>
      <c r="D1044" s="2" t="s">
        <v>1193</v>
      </c>
      <c r="E1044" s="2" t="s">
        <v>80</v>
      </c>
      <c r="F1044" s="2" t="s">
        <v>106</v>
      </c>
      <c r="G1044" s="30" t="n">
        <v>22.4</v>
      </c>
      <c r="H1044" s="11" t="n">
        <v>489.88</v>
      </c>
      <c r="I1044" s="11" t="s">
        <v>155</v>
      </c>
      <c r="J1044" s="11" t="n">
        <v>101.74</v>
      </c>
      <c r="K1044" s="11" t="n">
        <v>82.21</v>
      </c>
      <c r="L1044" s="11" t="n">
        <v>0.4899</v>
      </c>
      <c r="M1044" s="11" t="n">
        <v>0.9798</v>
      </c>
      <c r="N1044" s="11" t="n">
        <v>1</v>
      </c>
      <c r="O1044" s="11" t="n">
        <v>4.5</v>
      </c>
      <c r="P1044" s="11" t="n">
        <v>1.38</v>
      </c>
      <c r="Q1044" s="11" t="n">
        <v>10.35</v>
      </c>
      <c r="R1044" s="11" t="n">
        <f aca="false">SUM(K1044:Q1044)</f>
        <v>100.9097</v>
      </c>
      <c r="S1044" s="11" t="n">
        <f aca="false">R1044/(1-Resumo!$C$6)</f>
        <v>114.670113636364</v>
      </c>
      <c r="T1044" s="11" t="n">
        <f aca="false">S1044-J1044</f>
        <v>12.9301136363636</v>
      </c>
      <c r="U1044" s="12" t="n">
        <f aca="false">IFERROR(S1044/J1044-1,0)</f>
        <v>0.127089774290973</v>
      </c>
      <c r="V1044" s="2" t="str">
        <f aca="false">IF(S1044&lt;J1044,"SIM","NÃO")</f>
        <v>NÃO</v>
      </c>
      <c r="W1044" s="2" t="n">
        <v>5</v>
      </c>
      <c r="X1044" s="2" t="s">
        <v>156</v>
      </c>
    </row>
    <row r="1045" customFormat="false" ht="15" hidden="false" customHeight="false" outlineLevel="0" collapsed="false">
      <c r="A1045" s="2" t="n">
        <v>376970170</v>
      </c>
      <c r="B1045" s="29" t="n">
        <v>46249.6269675926</v>
      </c>
      <c r="C1045" s="2" t="s">
        <v>158</v>
      </c>
      <c r="D1045" s="2" t="s">
        <v>1194</v>
      </c>
      <c r="E1045" s="2" t="s">
        <v>79</v>
      </c>
      <c r="F1045" s="2" t="s">
        <v>110</v>
      </c>
      <c r="G1045" s="30" t="n">
        <v>69.15</v>
      </c>
      <c r="H1045" s="11" t="n">
        <v>707</v>
      </c>
      <c r="I1045" s="11" t="s">
        <v>350</v>
      </c>
      <c r="J1045" s="11" t="n">
        <v>142.74</v>
      </c>
      <c r="K1045" s="11" t="n">
        <v>149.5</v>
      </c>
      <c r="L1045" s="11" t="n">
        <v>0.707</v>
      </c>
      <c r="M1045" s="11" t="n">
        <v>1.414</v>
      </c>
      <c r="N1045" s="11" t="n">
        <v>1</v>
      </c>
      <c r="O1045" s="11" t="n">
        <v>4.5</v>
      </c>
      <c r="P1045" s="11" t="n">
        <v>4.2</v>
      </c>
      <c r="Q1045" s="11" t="n">
        <v>31.5</v>
      </c>
      <c r="R1045" s="11" t="n">
        <f aca="false">SUM(K1045:Q1045)</f>
        <v>192.821</v>
      </c>
      <c r="S1045" s="11" t="n">
        <f aca="false">R1045/(1-Resumo!$C$6)</f>
        <v>219.114772727273</v>
      </c>
      <c r="T1045" s="11" t="n">
        <f aca="false">S1045-J1045</f>
        <v>76.3747727272727</v>
      </c>
      <c r="U1045" s="12" t="n">
        <f aca="false">IFERROR(S1045/J1045-1,0)</f>
        <v>0.53506216006216</v>
      </c>
      <c r="V1045" s="2" t="str">
        <f aca="false">IF(S1045&lt;J1045,"SIM","NÃO")</f>
        <v>NÃO</v>
      </c>
      <c r="W1045" s="2" t="n">
        <v>7</v>
      </c>
      <c r="X1045" s="2" t="s">
        <v>156</v>
      </c>
    </row>
    <row r="1046" customFormat="false" ht="15" hidden="false" customHeight="false" outlineLevel="0" collapsed="false">
      <c r="A1046" s="2" t="n">
        <v>376971310</v>
      </c>
      <c r="B1046" s="29" t="n">
        <v>46249.628912037</v>
      </c>
      <c r="C1046" s="2" t="s">
        <v>153</v>
      </c>
      <c r="D1046" s="2" t="s">
        <v>819</v>
      </c>
      <c r="E1046" s="2" t="s">
        <v>78</v>
      </c>
      <c r="F1046" s="2" t="s">
        <v>107</v>
      </c>
      <c r="G1046" s="30" t="n">
        <v>36.8</v>
      </c>
      <c r="H1046" s="11" t="n">
        <v>439.99</v>
      </c>
      <c r="I1046" s="11" t="s">
        <v>155</v>
      </c>
      <c r="J1046" s="11" t="n">
        <v>91.97</v>
      </c>
      <c r="K1046" s="11" t="n">
        <v>93.97</v>
      </c>
      <c r="L1046" s="11" t="n">
        <v>0.44</v>
      </c>
      <c r="M1046" s="11" t="n">
        <v>0.88</v>
      </c>
      <c r="N1046" s="11" t="n">
        <v>1</v>
      </c>
      <c r="O1046" s="11" t="n">
        <v>4.5</v>
      </c>
      <c r="P1046" s="11" t="n">
        <v>2.22</v>
      </c>
      <c r="Q1046" s="11" t="n">
        <v>16.65</v>
      </c>
      <c r="R1046" s="11" t="n">
        <f aca="false">SUM(K1046:Q1046)</f>
        <v>119.66</v>
      </c>
      <c r="S1046" s="11" t="n">
        <f aca="false">R1046/(1-Resumo!$C$6)</f>
        <v>135.977272727273</v>
      </c>
      <c r="T1046" s="11" t="n">
        <f aca="false">S1046-J1046</f>
        <v>44.0072727272727</v>
      </c>
      <c r="U1046" s="12" t="n">
        <f aca="false">IFERROR(S1046/J1046-1,0)</f>
        <v>0.47849595223739</v>
      </c>
      <c r="V1046" s="2" t="str">
        <f aca="false">IF(S1046&lt;J1046,"SIM","NÃO")</f>
        <v>NÃO</v>
      </c>
      <c r="W1046" s="2" t="n">
        <v>5</v>
      </c>
      <c r="X1046" s="2" t="s">
        <v>156</v>
      </c>
    </row>
    <row r="1047" customFormat="false" ht="15" hidden="false" customHeight="false" outlineLevel="0" collapsed="false">
      <c r="A1047" s="2" t="n">
        <v>376971351</v>
      </c>
      <c r="B1047" s="29" t="n">
        <v>46249.6289814815</v>
      </c>
      <c r="C1047" s="2" t="s">
        <v>153</v>
      </c>
      <c r="D1047" s="2" t="s">
        <v>1195</v>
      </c>
      <c r="E1047" s="2" t="s">
        <v>97</v>
      </c>
      <c r="F1047" s="2" t="s">
        <v>110</v>
      </c>
      <c r="G1047" s="30" t="n">
        <v>63.9</v>
      </c>
      <c r="H1047" s="11" t="n">
        <v>730.98</v>
      </c>
      <c r="I1047" s="11" t="s">
        <v>350</v>
      </c>
      <c r="J1047" s="11" t="n">
        <v>155.32</v>
      </c>
      <c r="K1047" s="11" t="n">
        <v>166.05</v>
      </c>
      <c r="L1047" s="11" t="n">
        <v>0.731</v>
      </c>
      <c r="M1047" s="11" t="n">
        <v>1.462</v>
      </c>
      <c r="N1047" s="11" t="n">
        <v>1</v>
      </c>
      <c r="O1047" s="11" t="n">
        <v>4.5</v>
      </c>
      <c r="P1047" s="11" t="n">
        <v>3.84</v>
      </c>
      <c r="Q1047" s="11" t="n">
        <v>28.8</v>
      </c>
      <c r="R1047" s="11" t="n">
        <f aca="false">SUM(K1047:Q1047)</f>
        <v>206.383</v>
      </c>
      <c r="S1047" s="11" t="n">
        <f aca="false">R1047/(1-Resumo!$C$6)</f>
        <v>234.526136363636</v>
      </c>
      <c r="T1047" s="11" t="n">
        <f aca="false">S1047-J1047</f>
        <v>79.2061363636364</v>
      </c>
      <c r="U1047" s="12" t="n">
        <f aca="false">IFERROR(S1047/J1047-1,0)</f>
        <v>0.50995452204247</v>
      </c>
      <c r="V1047" s="2" t="str">
        <f aca="false">IF(S1047&lt;J1047,"SIM","NÃO")</f>
        <v>NÃO</v>
      </c>
      <c r="W1047" s="2" t="n">
        <v>10</v>
      </c>
      <c r="X1047" s="2" t="s">
        <v>156</v>
      </c>
    </row>
    <row r="1048" customFormat="false" ht="15" hidden="false" customHeight="false" outlineLevel="0" collapsed="false">
      <c r="A1048" s="2" t="n">
        <v>377062391</v>
      </c>
      <c r="B1048" s="29" t="n">
        <v>46249.6528240741</v>
      </c>
      <c r="C1048" s="2" t="s">
        <v>158</v>
      </c>
      <c r="D1048" s="2" t="s">
        <v>1196</v>
      </c>
      <c r="E1048" s="2" t="s">
        <v>85</v>
      </c>
      <c r="F1048" s="2" t="s">
        <v>112</v>
      </c>
      <c r="G1048" s="30" t="n">
        <v>81.7</v>
      </c>
      <c r="H1048" s="11" t="n">
        <v>580</v>
      </c>
      <c r="I1048" s="11" t="s">
        <v>350</v>
      </c>
      <c r="J1048" s="11" t="n">
        <v>185.88</v>
      </c>
      <c r="K1048" s="11" t="n">
        <v>200.04</v>
      </c>
      <c r="L1048" s="11" t="n">
        <v>0.58</v>
      </c>
      <c r="M1048" s="11" t="n">
        <v>1.16</v>
      </c>
      <c r="N1048" s="11" t="n">
        <v>1</v>
      </c>
      <c r="O1048" s="11" t="n">
        <v>4.5</v>
      </c>
      <c r="P1048" s="11" t="n">
        <v>4.92</v>
      </c>
      <c r="Q1048" s="11" t="n">
        <v>36.9</v>
      </c>
      <c r="R1048" s="11" t="n">
        <f aca="false">SUM(K1048:Q1048)</f>
        <v>249.1</v>
      </c>
      <c r="S1048" s="11" t="n">
        <f aca="false">R1048/(1-Resumo!$C$6)</f>
        <v>283.068181818182</v>
      </c>
      <c r="T1048" s="11" t="n">
        <f aca="false">S1048-J1048</f>
        <v>97.1881818181818</v>
      </c>
      <c r="U1048" s="12" t="n">
        <f aca="false">IFERROR(S1048/J1048-1,0)</f>
        <v>0.522854431989358</v>
      </c>
      <c r="V1048" s="2" t="str">
        <f aca="false">IF(S1048&lt;J1048,"SIM","NÃO")</f>
        <v>NÃO</v>
      </c>
      <c r="W1048" s="2" t="n">
        <v>11</v>
      </c>
      <c r="X1048" s="2" t="s">
        <v>156</v>
      </c>
    </row>
    <row r="1049" customFormat="false" ht="15" hidden="false" customHeight="false" outlineLevel="0" collapsed="false">
      <c r="A1049" s="2" t="n">
        <v>376987305</v>
      </c>
      <c r="B1049" s="29" t="n">
        <v>46249.6542708333</v>
      </c>
      <c r="C1049" s="2" t="s">
        <v>158</v>
      </c>
      <c r="D1049" s="2" t="s">
        <v>1197</v>
      </c>
      <c r="E1049" s="2" t="s">
        <v>81</v>
      </c>
      <c r="F1049" s="2" t="s">
        <v>110</v>
      </c>
      <c r="G1049" s="30" t="n">
        <v>66.8</v>
      </c>
      <c r="H1049" s="11" t="n">
        <v>578</v>
      </c>
      <c r="I1049" s="11" t="s">
        <v>155</v>
      </c>
      <c r="J1049" s="11" t="n">
        <v>139.22</v>
      </c>
      <c r="K1049" s="11" t="n">
        <v>131.02</v>
      </c>
      <c r="L1049" s="11" t="n">
        <v>0.578</v>
      </c>
      <c r="M1049" s="11" t="n">
        <v>1.156</v>
      </c>
      <c r="N1049" s="11" t="n">
        <v>1</v>
      </c>
      <c r="O1049" s="11" t="n">
        <v>4.5</v>
      </c>
      <c r="P1049" s="11" t="n">
        <v>4.02</v>
      </c>
      <c r="Q1049" s="11" t="n">
        <v>30.15</v>
      </c>
      <c r="R1049" s="11" t="n">
        <f aca="false">SUM(K1049:Q1049)</f>
        <v>172.424</v>
      </c>
      <c r="S1049" s="11" t="n">
        <f aca="false">R1049/(1-Resumo!$C$6)</f>
        <v>195.936363636364</v>
      </c>
      <c r="T1049" s="11" t="n">
        <f aca="false">S1049-J1049</f>
        <v>56.7163636363636</v>
      </c>
      <c r="U1049" s="12" t="n">
        <f aca="false">IFERROR(S1049/J1049-1,0)</f>
        <v>0.407386608507137</v>
      </c>
      <c r="V1049" s="2" t="str">
        <f aca="false">IF(S1049&lt;J1049,"SIM","NÃO")</f>
        <v>NÃO</v>
      </c>
      <c r="W1049" s="2" t="n">
        <v>5</v>
      </c>
      <c r="X1049" s="2" t="s">
        <v>156</v>
      </c>
    </row>
    <row r="1050" customFormat="false" ht="15" hidden="false" customHeight="false" outlineLevel="0" collapsed="false">
      <c r="A1050" s="2" t="n">
        <v>376987511</v>
      </c>
      <c r="B1050" s="29" t="n">
        <v>46249.6546527778</v>
      </c>
      <c r="C1050" s="2" t="s">
        <v>153</v>
      </c>
      <c r="D1050" s="2" t="s">
        <v>1198</v>
      </c>
      <c r="E1050" s="2" t="s">
        <v>84</v>
      </c>
      <c r="F1050" s="2" t="s">
        <v>107</v>
      </c>
      <c r="G1050" s="30" t="n">
        <v>37.5</v>
      </c>
      <c r="H1050" s="11" t="n">
        <v>429.99</v>
      </c>
      <c r="I1050" s="11" t="s">
        <v>350</v>
      </c>
      <c r="J1050" s="11" t="n">
        <v>114.01</v>
      </c>
      <c r="K1050" s="11" t="n">
        <v>93.97</v>
      </c>
      <c r="L1050" s="11" t="n">
        <v>0.43</v>
      </c>
      <c r="M1050" s="11" t="n">
        <v>0.86</v>
      </c>
      <c r="N1050" s="11" t="n">
        <v>1</v>
      </c>
      <c r="O1050" s="11" t="n">
        <v>4.5</v>
      </c>
      <c r="P1050" s="11" t="n">
        <v>2.28</v>
      </c>
      <c r="Q1050" s="11" t="n">
        <v>17.1</v>
      </c>
      <c r="R1050" s="11" t="n">
        <f aca="false">SUM(K1050:Q1050)</f>
        <v>120.14</v>
      </c>
      <c r="S1050" s="11" t="n">
        <f aca="false">R1050/(1-Resumo!$C$6)</f>
        <v>136.522727272727</v>
      </c>
      <c r="T1050" s="11" t="n">
        <f aca="false">S1050-J1050</f>
        <v>22.5127272727272</v>
      </c>
      <c r="U1050" s="12" t="n">
        <f aca="false">IFERROR(S1050/J1050-1,0)</f>
        <v>0.197462742502651</v>
      </c>
      <c r="V1050" s="2" t="str">
        <f aca="false">IF(S1050&lt;J1050,"SIM","NÃO")</f>
        <v>NÃO</v>
      </c>
      <c r="W1050" s="2" t="n">
        <v>5</v>
      </c>
      <c r="X1050" s="2" t="s">
        <v>156</v>
      </c>
    </row>
    <row r="1051" customFormat="false" ht="15" hidden="false" customHeight="false" outlineLevel="0" collapsed="false">
      <c r="A1051" s="2" t="n">
        <v>377008033</v>
      </c>
      <c r="B1051" s="29" t="n">
        <v>46249.6877314815</v>
      </c>
      <c r="C1051" s="2" t="s">
        <v>153</v>
      </c>
      <c r="D1051" s="2" t="s">
        <v>1199</v>
      </c>
      <c r="E1051" s="2" t="s">
        <v>78</v>
      </c>
      <c r="F1051" s="2" t="s">
        <v>113</v>
      </c>
      <c r="G1051" s="30" t="n">
        <v>106.5</v>
      </c>
      <c r="H1051" s="11" t="n">
        <v>1132.29</v>
      </c>
      <c r="I1051" s="11" t="s">
        <v>155</v>
      </c>
      <c r="J1051" s="11" t="n">
        <v>185.06</v>
      </c>
      <c r="K1051" s="11" t="n">
        <v>201.59</v>
      </c>
      <c r="L1051" s="11" t="n">
        <v>1.1323</v>
      </c>
      <c r="M1051" s="11" t="n">
        <v>2.2646</v>
      </c>
      <c r="N1051" s="11" t="n">
        <v>1</v>
      </c>
      <c r="O1051" s="11" t="n">
        <v>9</v>
      </c>
      <c r="P1051" s="11" t="n">
        <v>6.42</v>
      </c>
      <c r="Q1051" s="11" t="n">
        <v>48.15</v>
      </c>
      <c r="R1051" s="11" t="n">
        <f aca="false">SUM(K1051:Q1051)</f>
        <v>269.5569</v>
      </c>
      <c r="S1051" s="11" t="n">
        <f aca="false">R1051/(1-Resumo!$C$6)</f>
        <v>306.314659090909</v>
      </c>
      <c r="T1051" s="11" t="n">
        <f aca="false">S1051-J1051</f>
        <v>121.254659090909</v>
      </c>
      <c r="U1051" s="12" t="n">
        <f aca="false">IFERROR(S1051/J1051-1,0)</f>
        <v>0.655218086517395</v>
      </c>
      <c r="V1051" s="2" t="str">
        <f aca="false">IF(S1051&lt;J1051,"SIM","NÃO")</f>
        <v>NÃO</v>
      </c>
      <c r="W1051" s="2" t="n">
        <v>5</v>
      </c>
      <c r="X1051" s="2" t="s">
        <v>156</v>
      </c>
    </row>
    <row r="1052" customFormat="false" ht="15" hidden="false" customHeight="false" outlineLevel="0" collapsed="false">
      <c r="A1052" s="2" t="n">
        <v>377009530</v>
      </c>
      <c r="B1052" s="29" t="n">
        <v>46249.6902314815</v>
      </c>
      <c r="C1052" s="2" t="s">
        <v>153</v>
      </c>
      <c r="D1052" s="2" t="s">
        <v>1200</v>
      </c>
      <c r="E1052" s="2" t="s">
        <v>78</v>
      </c>
      <c r="F1052" s="2" t="s">
        <v>110</v>
      </c>
      <c r="G1052" s="30" t="n">
        <v>63.9</v>
      </c>
      <c r="H1052" s="11" t="n">
        <v>730.98</v>
      </c>
      <c r="I1052" s="11" t="s">
        <v>155</v>
      </c>
      <c r="J1052" s="11" t="n">
        <v>124.7</v>
      </c>
      <c r="K1052" s="11" t="n">
        <v>131.02</v>
      </c>
      <c r="L1052" s="11" t="n">
        <v>0.731</v>
      </c>
      <c r="M1052" s="11" t="n">
        <v>1.462</v>
      </c>
      <c r="N1052" s="11" t="n">
        <v>1</v>
      </c>
      <c r="O1052" s="11" t="n">
        <v>4.5</v>
      </c>
      <c r="P1052" s="11" t="n">
        <v>3.84</v>
      </c>
      <c r="Q1052" s="11" t="n">
        <v>28.8</v>
      </c>
      <c r="R1052" s="11" t="n">
        <f aca="false">SUM(K1052:Q1052)</f>
        <v>171.353</v>
      </c>
      <c r="S1052" s="11" t="n">
        <f aca="false">R1052/(1-Resumo!$C$6)</f>
        <v>194.719318181818</v>
      </c>
      <c r="T1052" s="11" t="n">
        <f aca="false">S1052-J1052</f>
        <v>70.0193181818182</v>
      </c>
      <c r="U1052" s="12" t="n">
        <f aca="false">IFERROR(S1052/J1052-1,0)</f>
        <v>0.561502150616024</v>
      </c>
      <c r="V1052" s="2" t="str">
        <f aca="false">IF(S1052&lt;J1052,"SIM","NÃO")</f>
        <v>NÃO</v>
      </c>
      <c r="W1052" s="2" t="n">
        <v>5</v>
      </c>
      <c r="X1052" s="2" t="s">
        <v>156</v>
      </c>
    </row>
    <row r="1053" customFormat="false" ht="15" hidden="false" customHeight="false" outlineLevel="0" collapsed="false">
      <c r="A1053" s="2" t="n">
        <v>377017799</v>
      </c>
      <c r="B1053" s="29" t="n">
        <v>46249.7032060185</v>
      </c>
      <c r="C1053" s="2" t="s">
        <v>153</v>
      </c>
      <c r="D1053" s="2" t="s">
        <v>1201</v>
      </c>
      <c r="E1053" s="2" t="s">
        <v>219</v>
      </c>
      <c r="F1053" s="2" t="s">
        <v>109</v>
      </c>
      <c r="G1053" s="30" t="n">
        <v>52.3</v>
      </c>
      <c r="H1053" s="11" t="n">
        <v>699.99</v>
      </c>
      <c r="I1053" s="11" t="s">
        <v>350</v>
      </c>
      <c r="J1053" s="11" t="n">
        <v>142.01</v>
      </c>
      <c r="K1053" s="11" t="n">
        <v>142.32</v>
      </c>
      <c r="L1053" s="11" t="n">
        <v>0.7</v>
      </c>
      <c r="M1053" s="11" t="n">
        <v>1.4</v>
      </c>
      <c r="N1053" s="11" t="n">
        <v>1</v>
      </c>
      <c r="O1053" s="11" t="n">
        <v>4.5</v>
      </c>
      <c r="P1053" s="11" t="n">
        <v>3.18</v>
      </c>
      <c r="Q1053" s="11" t="n">
        <v>23.85</v>
      </c>
      <c r="R1053" s="11" t="n">
        <f aca="false">SUM(K1053:Q1053)</f>
        <v>176.95</v>
      </c>
      <c r="S1053" s="11" t="n">
        <f aca="false">R1053/(1-Resumo!$C$6)</f>
        <v>201.079545454545</v>
      </c>
      <c r="T1053" s="11" t="n">
        <f aca="false">S1053-J1053</f>
        <v>59.0695454545455</v>
      </c>
      <c r="U1053" s="12" t="n">
        <f aca="false">IFERROR(S1053/J1053-1,0)</f>
        <v>0.415953421974125</v>
      </c>
      <c r="V1053" s="2" t="str">
        <f aca="false">IF(S1053&lt;J1053,"SIM","NÃO")</f>
        <v>NÃO</v>
      </c>
      <c r="W1053" s="2" t="n">
        <v>10</v>
      </c>
      <c r="X1053" s="2" t="s">
        <v>161</v>
      </c>
    </row>
    <row r="1054" customFormat="false" ht="15" hidden="false" customHeight="false" outlineLevel="0" collapsed="false">
      <c r="A1054" s="2" t="n">
        <v>377026555</v>
      </c>
      <c r="B1054" s="29" t="n">
        <v>46249.7165625</v>
      </c>
      <c r="C1054" s="2" t="s">
        <v>153</v>
      </c>
      <c r="D1054" s="2" t="s">
        <v>1202</v>
      </c>
      <c r="E1054" s="2" t="s">
        <v>84</v>
      </c>
      <c r="F1054" s="2" t="s">
        <v>105</v>
      </c>
      <c r="G1054" s="30" t="n">
        <v>19.9</v>
      </c>
      <c r="H1054" s="11" t="n">
        <v>279.99</v>
      </c>
      <c r="I1054" s="11" t="s">
        <v>350</v>
      </c>
      <c r="J1054" s="11" t="n">
        <v>76.7</v>
      </c>
      <c r="K1054" s="11" t="n">
        <v>46.98</v>
      </c>
      <c r="L1054" s="11" t="n">
        <v>0.28</v>
      </c>
      <c r="M1054" s="11" t="n">
        <v>0.56</v>
      </c>
      <c r="N1054" s="11" t="n">
        <v>1</v>
      </c>
      <c r="O1054" s="11" t="n">
        <v>4.5</v>
      </c>
      <c r="P1054" s="11" t="n">
        <v>1.2</v>
      </c>
      <c r="Q1054" s="11" t="n">
        <v>9</v>
      </c>
      <c r="R1054" s="11" t="n">
        <f aca="false">SUM(K1054:Q1054)</f>
        <v>63.52</v>
      </c>
      <c r="S1054" s="11" t="n">
        <f aca="false">R1054/(1-Resumo!$C$6)</f>
        <v>72.1818181818182</v>
      </c>
      <c r="T1054" s="11" t="n">
        <f aca="false">S1054-J1054</f>
        <v>-4.51818181818183</v>
      </c>
      <c r="U1054" s="12" t="n">
        <f aca="false">IFERROR(S1054/J1054-1,0)</f>
        <v>-0.058907194500415</v>
      </c>
      <c r="V1054" s="2" t="str">
        <f aca="false">IF(S1054&lt;J1054,"SIM","NÃO")</f>
        <v>SIM</v>
      </c>
      <c r="W1054" s="2" t="n">
        <v>5</v>
      </c>
      <c r="X1054" s="2" t="s">
        <v>156</v>
      </c>
    </row>
    <row r="1055" customFormat="false" ht="15" hidden="false" customHeight="false" outlineLevel="0" collapsed="false">
      <c r="A1055" s="2" t="n">
        <v>377031323</v>
      </c>
      <c r="B1055" s="29" t="n">
        <v>46249.7238657407</v>
      </c>
      <c r="C1055" s="2" t="s">
        <v>153</v>
      </c>
      <c r="D1055" s="2" t="s">
        <v>1203</v>
      </c>
      <c r="E1055" s="2" t="s">
        <v>82</v>
      </c>
      <c r="F1055" s="2" t="s">
        <v>108</v>
      </c>
      <c r="G1055" s="30" t="n">
        <v>45</v>
      </c>
      <c r="H1055" s="11" t="n">
        <v>519.29</v>
      </c>
      <c r="I1055" s="11" t="s">
        <v>155</v>
      </c>
      <c r="J1055" s="11" t="n">
        <v>116.57</v>
      </c>
      <c r="K1055" s="11" t="n">
        <v>114.95</v>
      </c>
      <c r="L1055" s="11" t="n">
        <v>0.5193</v>
      </c>
      <c r="M1055" s="11" t="n">
        <v>1.0386</v>
      </c>
      <c r="N1055" s="11" t="n">
        <v>1</v>
      </c>
      <c r="O1055" s="11" t="n">
        <v>4.5</v>
      </c>
      <c r="P1055" s="11" t="n">
        <v>2.7</v>
      </c>
      <c r="Q1055" s="11" t="n">
        <v>20.25</v>
      </c>
      <c r="R1055" s="11" t="n">
        <f aca="false">SUM(K1055:Q1055)</f>
        <v>144.9579</v>
      </c>
      <c r="S1055" s="11" t="n">
        <f aca="false">R1055/(1-Resumo!$C$6)</f>
        <v>164.724886363636</v>
      </c>
      <c r="T1055" s="11" t="n">
        <f aca="false">S1055-J1055</f>
        <v>48.1548863636364</v>
      </c>
      <c r="U1055" s="12" t="n">
        <f aca="false">IFERROR(S1055/J1055-1,0)</f>
        <v>0.413098450404361</v>
      </c>
      <c r="V1055" s="2" t="str">
        <f aca="false">IF(S1055&lt;J1055,"SIM","NÃO")</f>
        <v>NÃO</v>
      </c>
      <c r="W1055" s="2" t="n">
        <v>7</v>
      </c>
      <c r="X1055" s="2" t="s">
        <v>156</v>
      </c>
    </row>
    <row r="1056" customFormat="false" ht="15" hidden="false" customHeight="false" outlineLevel="0" collapsed="false">
      <c r="A1056" s="2" t="n">
        <v>377032521</v>
      </c>
      <c r="B1056" s="29" t="n">
        <v>46249.7259953704</v>
      </c>
      <c r="C1056" s="2" t="s">
        <v>153</v>
      </c>
      <c r="D1056" s="2" t="s">
        <v>1204</v>
      </c>
      <c r="E1056" s="2" t="s">
        <v>80</v>
      </c>
      <c r="F1056" s="2" t="s">
        <v>108</v>
      </c>
      <c r="G1056" s="30" t="n">
        <v>48</v>
      </c>
      <c r="H1056" s="11" t="n">
        <v>929.99</v>
      </c>
      <c r="I1056" s="11" t="s">
        <v>155</v>
      </c>
      <c r="J1056" s="11" t="n">
        <v>118.53</v>
      </c>
      <c r="K1056" s="11" t="n">
        <v>93.97</v>
      </c>
      <c r="L1056" s="11" t="n">
        <v>0.93</v>
      </c>
      <c r="M1056" s="11" t="n">
        <v>1.86</v>
      </c>
      <c r="N1056" s="11" t="n">
        <v>1</v>
      </c>
      <c r="O1056" s="11" t="n">
        <v>4.5</v>
      </c>
      <c r="P1056" s="11" t="n">
        <v>2.88</v>
      </c>
      <c r="Q1056" s="11" t="n">
        <v>21.6</v>
      </c>
      <c r="R1056" s="11" t="n">
        <f aca="false">SUM(K1056:Q1056)</f>
        <v>126.74</v>
      </c>
      <c r="S1056" s="11" t="n">
        <f aca="false">R1056/(1-Resumo!$C$6)</f>
        <v>144.022727272727</v>
      </c>
      <c r="T1056" s="11" t="n">
        <f aca="false">S1056-J1056</f>
        <v>25.4927272727273</v>
      </c>
      <c r="U1056" s="12" t="n">
        <f aca="false">IFERROR(S1056/J1056-1,0)</f>
        <v>0.21507405106494</v>
      </c>
      <c r="V1056" s="2" t="str">
        <f aca="false">IF(S1056&lt;J1056,"SIM","NÃO")</f>
        <v>NÃO</v>
      </c>
      <c r="W1056" s="2" t="n">
        <v>5</v>
      </c>
      <c r="X1056" s="2" t="s">
        <v>156</v>
      </c>
    </row>
    <row r="1057" customFormat="false" ht="15" hidden="false" customHeight="false" outlineLevel="0" collapsed="false">
      <c r="A1057" s="2" t="n">
        <v>377035264</v>
      </c>
      <c r="B1057" s="29" t="n">
        <v>46249.7301851852</v>
      </c>
      <c r="C1057" s="2" t="s">
        <v>153</v>
      </c>
      <c r="D1057" s="2" t="s">
        <v>1205</v>
      </c>
      <c r="E1057" s="2" t="s">
        <v>81</v>
      </c>
      <c r="F1057" s="2" t="s">
        <v>107</v>
      </c>
      <c r="G1057" s="30" t="n">
        <v>37.6</v>
      </c>
      <c r="H1057" s="11" t="n">
        <v>419.99</v>
      </c>
      <c r="I1057" s="11" t="s">
        <v>155</v>
      </c>
      <c r="J1057" s="11" t="n">
        <v>112.97</v>
      </c>
      <c r="K1057" s="11" t="n">
        <v>93.97</v>
      </c>
      <c r="L1057" s="11" t="n">
        <v>0.42</v>
      </c>
      <c r="M1057" s="11" t="n">
        <v>0.84</v>
      </c>
      <c r="N1057" s="11" t="n">
        <v>1</v>
      </c>
      <c r="O1057" s="11" t="n">
        <v>4.5</v>
      </c>
      <c r="P1057" s="11" t="n">
        <v>2.28</v>
      </c>
      <c r="Q1057" s="11" t="n">
        <v>17.1</v>
      </c>
      <c r="R1057" s="11" t="n">
        <f aca="false">SUM(K1057:Q1057)</f>
        <v>120.11</v>
      </c>
      <c r="S1057" s="11" t="n">
        <f aca="false">R1057/(1-Resumo!$C$6)</f>
        <v>136.488636363636</v>
      </c>
      <c r="T1057" s="11" t="n">
        <f aca="false">S1057-J1057</f>
        <v>23.5186363636364</v>
      </c>
      <c r="U1057" s="12" t="n">
        <f aca="false">IFERROR(S1057/J1057-1,0)</f>
        <v>0.208184795641643</v>
      </c>
      <c r="V1057" s="2" t="str">
        <f aca="false">IF(S1057&lt;J1057,"SIM","NÃO")</f>
        <v>NÃO</v>
      </c>
      <c r="W1057" s="2" t="n">
        <v>5</v>
      </c>
      <c r="X1057" s="2" t="s">
        <v>156</v>
      </c>
    </row>
    <row r="1058" customFormat="false" ht="15" hidden="false" customHeight="false" outlineLevel="0" collapsed="false">
      <c r="A1058" s="2" t="n">
        <v>377036030</v>
      </c>
      <c r="B1058" s="29" t="n">
        <v>46249.731412037</v>
      </c>
      <c r="C1058" s="2" t="s">
        <v>153</v>
      </c>
      <c r="D1058" s="2" t="s">
        <v>1206</v>
      </c>
      <c r="E1058" s="2" t="s">
        <v>86</v>
      </c>
      <c r="F1058" s="2" t="s">
        <v>106</v>
      </c>
      <c r="G1058" s="30" t="n">
        <v>20.9</v>
      </c>
      <c r="H1058" s="11" t="n">
        <v>465.69</v>
      </c>
      <c r="I1058" s="11" t="s">
        <v>205</v>
      </c>
      <c r="J1058" s="11" t="n">
        <v>86.81</v>
      </c>
      <c r="K1058" s="11" t="n">
        <v>82.21</v>
      </c>
      <c r="L1058" s="11" t="n">
        <v>0.4657</v>
      </c>
      <c r="M1058" s="11" t="n">
        <v>0.9314</v>
      </c>
      <c r="N1058" s="11" t="n">
        <v>1</v>
      </c>
      <c r="O1058" s="11" t="n">
        <v>4.5</v>
      </c>
      <c r="P1058" s="11" t="n">
        <v>1.26</v>
      </c>
      <c r="Q1058" s="11" t="n">
        <v>9.45</v>
      </c>
      <c r="R1058" s="11" t="n">
        <f aca="false">SUM(K1058:Q1058)</f>
        <v>99.8171</v>
      </c>
      <c r="S1058" s="11" t="n">
        <f aca="false">R1058/(1-Resumo!$C$6)</f>
        <v>113.428522727273</v>
      </c>
      <c r="T1058" s="11" t="n">
        <f aca="false">S1058-J1058</f>
        <v>26.6185227272727</v>
      </c>
      <c r="U1058" s="12" t="n">
        <f aca="false">IFERROR(S1058/J1058-1,0)</f>
        <v>0.306629682378444</v>
      </c>
      <c r="V1058" s="2" t="str">
        <f aca="false">IF(S1058&lt;J1058,"SIM","NÃO")</f>
        <v>NÃO</v>
      </c>
      <c r="W1058" s="2" t="n">
        <v>5</v>
      </c>
      <c r="X1058" s="2" t="s">
        <v>156</v>
      </c>
    </row>
    <row r="1059" customFormat="false" ht="15" hidden="false" customHeight="false" outlineLevel="0" collapsed="false">
      <c r="A1059" s="2" t="n">
        <v>377042544</v>
      </c>
      <c r="B1059" s="29" t="n">
        <v>46249.7416319445</v>
      </c>
      <c r="C1059" s="2" t="s">
        <v>158</v>
      </c>
      <c r="D1059" s="2" t="s">
        <v>1207</v>
      </c>
      <c r="E1059" s="2" t="s">
        <v>94</v>
      </c>
      <c r="F1059" s="2" t="s">
        <v>110</v>
      </c>
      <c r="G1059" s="30" t="n">
        <v>66.8</v>
      </c>
      <c r="H1059" s="11" t="n">
        <v>574.1</v>
      </c>
      <c r="I1059" s="11" t="s">
        <v>350</v>
      </c>
      <c r="J1059" s="11" t="n">
        <v>140.59</v>
      </c>
      <c r="K1059" s="11" t="n">
        <v>131.02</v>
      </c>
      <c r="L1059" s="11" t="n">
        <v>0.5741</v>
      </c>
      <c r="M1059" s="11" t="n">
        <v>1.1482</v>
      </c>
      <c r="N1059" s="11" t="n">
        <v>1</v>
      </c>
      <c r="O1059" s="11" t="n">
        <v>4.5</v>
      </c>
      <c r="P1059" s="11" t="n">
        <v>4.02</v>
      </c>
      <c r="Q1059" s="11" t="n">
        <v>30.15</v>
      </c>
      <c r="R1059" s="11" t="n">
        <f aca="false">SUM(K1059:Q1059)</f>
        <v>172.4123</v>
      </c>
      <c r="S1059" s="11" t="n">
        <f aca="false">R1059/(1-Resumo!$C$6)</f>
        <v>195.923068181818</v>
      </c>
      <c r="T1059" s="11" t="n">
        <f aca="false">S1059-J1059</f>
        <v>55.3330681818182</v>
      </c>
      <c r="U1059" s="12" t="n">
        <f aca="false">IFERROR(S1059/J1059-1,0)</f>
        <v>0.393577553039464</v>
      </c>
      <c r="V1059" s="2" t="str">
        <f aca="false">IF(S1059&lt;J1059,"SIM","NÃO")</f>
        <v>NÃO</v>
      </c>
      <c r="W1059" s="2" t="n">
        <v>5</v>
      </c>
      <c r="X1059" s="2" t="s">
        <v>156</v>
      </c>
    </row>
    <row r="1060" customFormat="false" ht="15" hidden="false" customHeight="false" outlineLevel="0" collapsed="false">
      <c r="A1060" s="2" t="n">
        <v>377036472</v>
      </c>
      <c r="B1060" s="29" t="n">
        <v>46249.7427199074</v>
      </c>
      <c r="C1060" s="2" t="s">
        <v>178</v>
      </c>
      <c r="D1060" s="2" t="s">
        <v>400</v>
      </c>
      <c r="E1060" s="2" t="s">
        <v>78</v>
      </c>
      <c r="F1060" s="2" t="s">
        <v>107</v>
      </c>
      <c r="G1060" s="30" t="n">
        <v>37.2</v>
      </c>
      <c r="H1060" s="11" t="n">
        <v>509.99</v>
      </c>
      <c r="I1060" s="11" t="s">
        <v>350</v>
      </c>
      <c r="J1060" s="11" t="n">
        <v>93.4</v>
      </c>
      <c r="K1060" s="11" t="n">
        <v>93.97</v>
      </c>
      <c r="L1060" s="11" t="n">
        <v>0.51</v>
      </c>
      <c r="M1060" s="11" t="n">
        <v>1.02</v>
      </c>
      <c r="N1060" s="11" t="n">
        <v>1</v>
      </c>
      <c r="O1060" s="11" t="n">
        <v>4.5</v>
      </c>
      <c r="P1060" s="11" t="n">
        <v>2.28</v>
      </c>
      <c r="Q1060" s="11" t="n">
        <v>17.1</v>
      </c>
      <c r="R1060" s="11" t="n">
        <f aca="false">SUM(K1060:Q1060)</f>
        <v>120.38</v>
      </c>
      <c r="S1060" s="11" t="n">
        <f aca="false">R1060/(1-Resumo!$C$6)</f>
        <v>136.795454545455</v>
      </c>
      <c r="T1060" s="11" t="n">
        <f aca="false">S1060-J1060</f>
        <v>43.3954545454545</v>
      </c>
      <c r="U1060" s="12" t="n">
        <f aca="false">IFERROR(S1060/J1060-1,0)</f>
        <v>0.464619427681526</v>
      </c>
      <c r="V1060" s="2" t="str">
        <f aca="false">IF(S1060&lt;J1060,"SIM","NÃO")</f>
        <v>NÃO</v>
      </c>
      <c r="W1060" s="2" t="n">
        <v>5</v>
      </c>
      <c r="X1060" s="2" t="s">
        <v>156</v>
      </c>
    </row>
    <row r="1061" customFormat="false" ht="15" hidden="false" customHeight="false" outlineLevel="0" collapsed="false">
      <c r="A1061" s="2" t="n">
        <v>377043332</v>
      </c>
      <c r="B1061" s="29" t="n">
        <v>46249.7430208333</v>
      </c>
      <c r="C1061" s="2" t="s">
        <v>158</v>
      </c>
      <c r="D1061" s="2" t="s">
        <v>1208</v>
      </c>
      <c r="E1061" s="2" t="s">
        <v>664</v>
      </c>
      <c r="F1061" s="2" t="s">
        <v>112</v>
      </c>
      <c r="G1061" s="30" t="n">
        <v>81.7</v>
      </c>
      <c r="H1061" s="11" t="n">
        <v>623</v>
      </c>
      <c r="I1061" s="11" t="s">
        <v>350</v>
      </c>
      <c r="J1061" s="11" t="n">
        <v>186.08</v>
      </c>
      <c r="K1061" s="11" t="n">
        <v>197.35</v>
      </c>
      <c r="L1061" s="11" t="n">
        <v>0.623</v>
      </c>
      <c r="M1061" s="11" t="n">
        <v>1.246</v>
      </c>
      <c r="N1061" s="11" t="n">
        <v>1</v>
      </c>
      <c r="O1061" s="11" t="n">
        <v>4.5</v>
      </c>
      <c r="P1061" s="11" t="n">
        <v>4.92</v>
      </c>
      <c r="Q1061" s="11" t="n">
        <v>36.9</v>
      </c>
      <c r="R1061" s="11" t="n">
        <f aca="false">SUM(K1061:Q1061)</f>
        <v>246.539</v>
      </c>
      <c r="S1061" s="11" t="n">
        <f aca="false">R1061/(1-Resumo!$C$6)</f>
        <v>280.157954545455</v>
      </c>
      <c r="T1061" s="11" t="n">
        <f aca="false">S1061-J1061</f>
        <v>94.0779545454545</v>
      </c>
      <c r="U1061" s="12" t="n">
        <f aca="false">IFERROR(S1061/J1061-1,0)</f>
        <v>0.505578001641523</v>
      </c>
      <c r="V1061" s="2" t="str">
        <f aca="false">IF(S1061&lt;J1061,"SIM","NÃO")</f>
        <v>NÃO</v>
      </c>
      <c r="W1061" s="2" t="n">
        <v>10</v>
      </c>
      <c r="X1061" s="2" t="s">
        <v>161</v>
      </c>
    </row>
    <row r="1062" customFormat="false" ht="15" hidden="false" customHeight="false" outlineLevel="0" collapsed="false">
      <c r="A1062" s="2" t="n">
        <v>377046320</v>
      </c>
      <c r="B1062" s="29" t="n">
        <v>46249.7478587963</v>
      </c>
      <c r="C1062" s="2" t="s">
        <v>158</v>
      </c>
      <c r="D1062" s="2" t="s">
        <v>1209</v>
      </c>
      <c r="E1062" s="2" t="s">
        <v>78</v>
      </c>
      <c r="F1062" s="2" t="s">
        <v>110</v>
      </c>
      <c r="G1062" s="30" t="n">
        <v>66.8</v>
      </c>
      <c r="H1062" s="11" t="n">
        <v>574.1</v>
      </c>
      <c r="I1062" s="11" t="s">
        <v>350</v>
      </c>
      <c r="J1062" s="11" t="n">
        <v>125.43</v>
      </c>
      <c r="K1062" s="11" t="n">
        <v>131.02</v>
      </c>
      <c r="L1062" s="11" t="n">
        <v>0.5741</v>
      </c>
      <c r="M1062" s="11" t="n">
        <v>1.1482</v>
      </c>
      <c r="N1062" s="11" t="n">
        <v>1</v>
      </c>
      <c r="O1062" s="11" t="n">
        <v>4.5</v>
      </c>
      <c r="P1062" s="11" t="n">
        <v>4.02</v>
      </c>
      <c r="Q1062" s="11" t="n">
        <v>30.15</v>
      </c>
      <c r="R1062" s="11" t="n">
        <f aca="false">SUM(K1062:Q1062)</f>
        <v>172.4123</v>
      </c>
      <c r="S1062" s="11" t="n">
        <f aca="false">R1062/(1-Resumo!$C$6)</f>
        <v>195.923068181818</v>
      </c>
      <c r="T1062" s="11" t="n">
        <f aca="false">S1062-J1062</f>
        <v>70.4930681818182</v>
      </c>
      <c r="U1062" s="12" t="n">
        <f aca="false">IFERROR(S1062/J1062-1,0)</f>
        <v>0.562011226834236</v>
      </c>
      <c r="V1062" s="2" t="str">
        <f aca="false">IF(S1062&lt;J1062,"SIM","NÃO")</f>
        <v>NÃO</v>
      </c>
      <c r="W1062" s="2" t="n">
        <v>5</v>
      </c>
      <c r="X1062" s="2" t="s">
        <v>156</v>
      </c>
    </row>
    <row r="1063" customFormat="false" ht="15" hidden="false" customHeight="false" outlineLevel="0" collapsed="false">
      <c r="A1063" s="2" t="n">
        <v>377049879</v>
      </c>
      <c r="B1063" s="29" t="n">
        <v>46249.7538310185</v>
      </c>
      <c r="C1063" s="2" t="s">
        <v>153</v>
      </c>
      <c r="D1063" s="2" t="s">
        <v>1210</v>
      </c>
      <c r="E1063" s="2" t="s">
        <v>93</v>
      </c>
      <c r="F1063" s="2" t="s">
        <v>108</v>
      </c>
      <c r="G1063" s="30" t="n">
        <v>48.3</v>
      </c>
      <c r="H1063" s="11" t="n">
        <v>539.99</v>
      </c>
      <c r="I1063" s="11" t="s">
        <v>350</v>
      </c>
      <c r="J1063" s="11" t="n">
        <v>132.51</v>
      </c>
      <c r="K1063" s="11" t="n">
        <v>114.95</v>
      </c>
      <c r="L1063" s="11" t="n">
        <v>0.54</v>
      </c>
      <c r="M1063" s="11" t="n">
        <v>1.08</v>
      </c>
      <c r="N1063" s="11" t="n">
        <v>1</v>
      </c>
      <c r="O1063" s="11" t="n">
        <v>4.5</v>
      </c>
      <c r="P1063" s="11" t="n">
        <v>2.94</v>
      </c>
      <c r="Q1063" s="11" t="n">
        <v>22.05</v>
      </c>
      <c r="R1063" s="11" t="n">
        <f aca="false">SUM(K1063:Q1063)</f>
        <v>147.06</v>
      </c>
      <c r="S1063" s="11" t="n">
        <f aca="false">R1063/(1-Resumo!$C$6)</f>
        <v>167.113636363636</v>
      </c>
      <c r="T1063" s="11" t="n">
        <f aca="false">S1063-J1063</f>
        <v>34.6036363636364</v>
      </c>
      <c r="U1063" s="12" t="n">
        <f aca="false">IFERROR(S1063/J1063-1,0)</f>
        <v>0.261139811060572</v>
      </c>
      <c r="V1063" s="2" t="str">
        <f aca="false">IF(S1063&lt;J1063,"SIM","NÃO")</f>
        <v>NÃO</v>
      </c>
      <c r="W1063" s="2" t="n">
        <v>7</v>
      </c>
      <c r="X1063" s="2" t="s">
        <v>156</v>
      </c>
    </row>
    <row r="1064" customFormat="false" ht="15" hidden="false" customHeight="false" outlineLevel="0" collapsed="false">
      <c r="A1064" s="2" t="n">
        <v>377051439</v>
      </c>
      <c r="B1064" s="29" t="n">
        <v>46249.7563888889</v>
      </c>
      <c r="C1064" s="2" t="s">
        <v>153</v>
      </c>
      <c r="D1064" s="2" t="s">
        <v>1211</v>
      </c>
      <c r="E1064" s="2" t="s">
        <v>1212</v>
      </c>
      <c r="F1064" s="2" t="s">
        <v>105</v>
      </c>
      <c r="G1064" s="30" t="n">
        <v>19.5</v>
      </c>
      <c r="H1064" s="11" t="n">
        <v>379.99</v>
      </c>
      <c r="I1064" s="11" t="s">
        <v>350</v>
      </c>
      <c r="J1064" s="11" t="n">
        <v>81.99</v>
      </c>
      <c r="K1064" s="11" t="n">
        <v>106.53</v>
      </c>
      <c r="L1064" s="11" t="n">
        <v>0.38</v>
      </c>
      <c r="M1064" s="11" t="n">
        <v>0.76</v>
      </c>
      <c r="N1064" s="11" t="n">
        <v>1</v>
      </c>
      <c r="O1064" s="11" t="n">
        <v>4.5</v>
      </c>
      <c r="P1064" s="11" t="n">
        <v>1.2</v>
      </c>
      <c r="Q1064" s="11" t="n">
        <v>9</v>
      </c>
      <c r="R1064" s="11" t="n">
        <f aca="false">SUM(K1064:Q1064)</f>
        <v>123.37</v>
      </c>
      <c r="S1064" s="11" t="n">
        <f aca="false">R1064/(1-Resumo!$C$6)</f>
        <v>140.193181818182</v>
      </c>
      <c r="T1064" s="11" t="n">
        <f aca="false">S1064-J1064</f>
        <v>58.2031818181818</v>
      </c>
      <c r="U1064" s="12" t="n">
        <f aca="false">IFERROR(S1064/J1064-1,0)</f>
        <v>0.709881471132843</v>
      </c>
      <c r="V1064" s="2" t="str">
        <f aca="false">IF(S1064&lt;J1064,"SIM","NÃO")</f>
        <v>NÃO</v>
      </c>
      <c r="W1064" s="2" t="n">
        <v>10</v>
      </c>
      <c r="X1064" s="2" t="s">
        <v>161</v>
      </c>
    </row>
    <row r="1065" customFormat="false" ht="15" hidden="false" customHeight="false" outlineLevel="0" collapsed="false">
      <c r="A1065" s="2" t="n">
        <v>377053372</v>
      </c>
      <c r="B1065" s="29" t="n">
        <v>46249.7598032407</v>
      </c>
      <c r="C1065" s="2" t="s">
        <v>153</v>
      </c>
      <c r="D1065" s="2" t="s">
        <v>1213</v>
      </c>
      <c r="E1065" s="2" t="s">
        <v>84</v>
      </c>
      <c r="F1065" s="2" t="s">
        <v>108</v>
      </c>
      <c r="G1065" s="30" t="n">
        <v>48</v>
      </c>
      <c r="H1065" s="11" t="n">
        <v>806.69</v>
      </c>
      <c r="I1065" s="11" t="s">
        <v>350</v>
      </c>
      <c r="J1065" s="11" t="n">
        <v>119.25</v>
      </c>
      <c r="K1065" s="11" t="n">
        <v>93.97</v>
      </c>
      <c r="L1065" s="11" t="n">
        <v>0.8067</v>
      </c>
      <c r="M1065" s="11" t="n">
        <v>1.6134</v>
      </c>
      <c r="N1065" s="11" t="n">
        <v>1</v>
      </c>
      <c r="O1065" s="11" t="n">
        <v>4.5</v>
      </c>
      <c r="P1065" s="11" t="n">
        <v>2.88</v>
      </c>
      <c r="Q1065" s="11" t="n">
        <v>21.6</v>
      </c>
      <c r="R1065" s="11" t="n">
        <f aca="false">SUM(K1065:Q1065)</f>
        <v>126.3701</v>
      </c>
      <c r="S1065" s="11" t="n">
        <f aca="false">R1065/(1-Resumo!$C$6)</f>
        <v>143.602386363636</v>
      </c>
      <c r="T1065" s="11" t="n">
        <f aca="false">S1065-J1065</f>
        <v>24.3523863636364</v>
      </c>
      <c r="U1065" s="12" t="n">
        <f aca="false">IFERROR(S1065/J1065-1,0)</f>
        <v>0.204212883552506</v>
      </c>
      <c r="V1065" s="2" t="str">
        <f aca="false">IF(S1065&lt;J1065,"SIM","NÃO")</f>
        <v>NÃO</v>
      </c>
      <c r="W1065" s="2" t="n">
        <v>5</v>
      </c>
      <c r="X1065" s="2" t="s">
        <v>156</v>
      </c>
    </row>
    <row r="1066" customFormat="false" ht="15" hidden="false" customHeight="false" outlineLevel="0" collapsed="false">
      <c r="A1066" s="2" t="n">
        <v>377079923</v>
      </c>
      <c r="B1066" s="29" t="n">
        <v>46249.8114930556</v>
      </c>
      <c r="C1066" s="2" t="s">
        <v>153</v>
      </c>
      <c r="D1066" s="2" t="s">
        <v>1214</v>
      </c>
      <c r="E1066" s="2" t="s">
        <v>78</v>
      </c>
      <c r="F1066" s="2" t="s">
        <v>108</v>
      </c>
      <c r="G1066" s="30" t="n">
        <v>46.8</v>
      </c>
      <c r="H1066" s="11" t="n">
        <v>506.56</v>
      </c>
      <c r="I1066" s="11" t="s">
        <v>350</v>
      </c>
      <c r="J1066" s="11" t="n">
        <v>103.89</v>
      </c>
      <c r="K1066" s="11" t="n">
        <v>93.97</v>
      </c>
      <c r="L1066" s="11" t="n">
        <v>0.5066</v>
      </c>
      <c r="M1066" s="11" t="n">
        <v>1.0131</v>
      </c>
      <c r="N1066" s="11" t="n">
        <v>1</v>
      </c>
      <c r="O1066" s="11" t="n">
        <v>4.5</v>
      </c>
      <c r="P1066" s="11" t="n">
        <v>2.82</v>
      </c>
      <c r="Q1066" s="11" t="n">
        <v>21.15</v>
      </c>
      <c r="R1066" s="11" t="n">
        <f aca="false">SUM(K1066:Q1066)</f>
        <v>124.9597</v>
      </c>
      <c r="S1066" s="11" t="n">
        <f aca="false">R1066/(1-Resumo!$C$6)</f>
        <v>141.999659090909</v>
      </c>
      <c r="T1066" s="11" t="n">
        <f aca="false">S1066-J1066</f>
        <v>38.1096590909091</v>
      </c>
      <c r="U1066" s="12" t="n">
        <f aca="false">IFERROR(S1066/J1066-1,0)</f>
        <v>0.366827019837416</v>
      </c>
      <c r="V1066" s="2" t="str">
        <f aca="false">IF(S1066&lt;J1066,"SIM","NÃO")</f>
        <v>NÃO</v>
      </c>
      <c r="W1066" s="2" t="n">
        <v>5</v>
      </c>
      <c r="X1066" s="2" t="s">
        <v>156</v>
      </c>
    </row>
    <row r="1067" customFormat="false" ht="15" hidden="false" customHeight="false" outlineLevel="0" collapsed="false">
      <c r="A1067" s="2" t="n">
        <v>377083577</v>
      </c>
      <c r="B1067" s="29" t="n">
        <v>46249.817962963</v>
      </c>
      <c r="C1067" s="2" t="s">
        <v>153</v>
      </c>
      <c r="D1067" s="2" t="s">
        <v>1215</v>
      </c>
      <c r="E1067" s="2" t="s">
        <v>78</v>
      </c>
      <c r="F1067" s="2" t="s">
        <v>113</v>
      </c>
      <c r="G1067" s="30" t="n">
        <v>116.6</v>
      </c>
      <c r="H1067" s="11" t="n">
        <v>1899.99</v>
      </c>
      <c r="I1067" s="11" t="s">
        <v>155</v>
      </c>
      <c r="J1067" s="11" t="n">
        <v>188.75</v>
      </c>
      <c r="K1067" s="11" t="n">
        <v>201.59</v>
      </c>
      <c r="L1067" s="11" t="n">
        <v>1.9</v>
      </c>
      <c r="M1067" s="11" t="n">
        <v>3.8</v>
      </c>
      <c r="N1067" s="11" t="n">
        <v>1</v>
      </c>
      <c r="O1067" s="11" t="n">
        <v>9</v>
      </c>
      <c r="P1067" s="11" t="n">
        <v>7.02</v>
      </c>
      <c r="Q1067" s="11" t="n">
        <v>52.65</v>
      </c>
      <c r="R1067" s="11" t="n">
        <f aca="false">SUM(K1067:Q1067)</f>
        <v>276.96</v>
      </c>
      <c r="S1067" s="11" t="n">
        <f aca="false">R1067/(1-Resumo!$C$6)</f>
        <v>314.727272727273</v>
      </c>
      <c r="T1067" s="11" t="n">
        <f aca="false">S1067-J1067</f>
        <v>125.977272727273</v>
      </c>
      <c r="U1067" s="12" t="n">
        <f aca="false">IFERROR(S1067/J1067-1,0)</f>
        <v>0.66742925948224</v>
      </c>
      <c r="V1067" s="2" t="str">
        <f aca="false">IF(S1067&lt;J1067,"SIM","NÃO")</f>
        <v>NÃO</v>
      </c>
      <c r="W1067" s="2" t="n">
        <v>5</v>
      </c>
      <c r="X1067" s="2" t="s">
        <v>156</v>
      </c>
    </row>
    <row r="1068" customFormat="false" ht="15" hidden="false" customHeight="false" outlineLevel="0" collapsed="false">
      <c r="A1068" s="2" t="n">
        <v>377085289</v>
      </c>
      <c r="B1068" s="29" t="n">
        <v>46249.821099537</v>
      </c>
      <c r="C1068" s="2" t="s">
        <v>153</v>
      </c>
      <c r="D1068" s="2" t="s">
        <v>1216</v>
      </c>
      <c r="E1068" s="2" t="s">
        <v>81</v>
      </c>
      <c r="F1068" s="2" t="s">
        <v>108</v>
      </c>
      <c r="G1068" s="30" t="n">
        <v>46.8</v>
      </c>
      <c r="H1068" s="11" t="n">
        <v>506.56</v>
      </c>
      <c r="I1068" s="11" t="s">
        <v>155</v>
      </c>
      <c r="J1068" s="11" t="n">
        <v>116.49</v>
      </c>
      <c r="K1068" s="11" t="n">
        <v>93.97</v>
      </c>
      <c r="L1068" s="11" t="n">
        <v>0.5066</v>
      </c>
      <c r="M1068" s="11" t="n">
        <v>1.0131</v>
      </c>
      <c r="N1068" s="11" t="n">
        <v>1</v>
      </c>
      <c r="O1068" s="11" t="n">
        <v>4.5</v>
      </c>
      <c r="P1068" s="11" t="n">
        <v>2.82</v>
      </c>
      <c r="Q1068" s="11" t="n">
        <v>21.15</v>
      </c>
      <c r="R1068" s="11" t="n">
        <f aca="false">SUM(K1068:Q1068)</f>
        <v>124.9597</v>
      </c>
      <c r="S1068" s="11" t="n">
        <f aca="false">R1068/(1-Resumo!$C$6)</f>
        <v>141.999659090909</v>
      </c>
      <c r="T1068" s="11" t="n">
        <f aca="false">S1068-J1068</f>
        <v>25.5096590909091</v>
      </c>
      <c r="U1068" s="12" t="n">
        <f aca="false">IFERROR(S1068/J1068-1,0)</f>
        <v>0.218985827890026</v>
      </c>
      <c r="V1068" s="2" t="str">
        <f aca="false">IF(S1068&lt;J1068,"SIM","NÃO")</f>
        <v>NÃO</v>
      </c>
      <c r="W1068" s="2" t="n">
        <v>5</v>
      </c>
      <c r="X1068" s="2" t="s">
        <v>156</v>
      </c>
    </row>
    <row r="1069" customFormat="false" ht="15" hidden="false" customHeight="false" outlineLevel="0" collapsed="false">
      <c r="A1069" s="2" t="n">
        <v>377102944</v>
      </c>
      <c r="B1069" s="29" t="n">
        <v>46249.8334259259</v>
      </c>
      <c r="C1069" s="2" t="s">
        <v>369</v>
      </c>
      <c r="D1069" s="2" t="s">
        <v>1100</v>
      </c>
      <c r="E1069" s="2" t="s">
        <v>78</v>
      </c>
      <c r="F1069" s="2" t="s">
        <v>108</v>
      </c>
      <c r="G1069" s="30" t="n">
        <v>49.6</v>
      </c>
      <c r="H1069" s="11" t="n">
        <v>649.78</v>
      </c>
      <c r="I1069" s="11" t="s">
        <v>155</v>
      </c>
      <c r="J1069" s="11" t="n">
        <v>103.7</v>
      </c>
      <c r="K1069" s="11" t="n">
        <v>93.97</v>
      </c>
      <c r="L1069" s="11" t="n">
        <v>0.6498</v>
      </c>
      <c r="M1069" s="11" t="n">
        <v>1.2996</v>
      </c>
      <c r="N1069" s="11" t="n">
        <v>1</v>
      </c>
      <c r="O1069" s="11" t="n">
        <v>4.5</v>
      </c>
      <c r="P1069" s="11" t="n">
        <v>3</v>
      </c>
      <c r="Q1069" s="11" t="n">
        <v>22.5</v>
      </c>
      <c r="R1069" s="11" t="n">
        <f aca="false">SUM(K1069:Q1069)</f>
        <v>126.9194</v>
      </c>
      <c r="S1069" s="11" t="n">
        <f aca="false">R1069/(1-Resumo!$C$6)</f>
        <v>144.226590909091</v>
      </c>
      <c r="T1069" s="11" t="n">
        <f aca="false">S1069-J1069</f>
        <v>40.5265909090909</v>
      </c>
      <c r="U1069" s="12" t="n">
        <f aca="false">IFERROR(S1069/J1069-1,0)</f>
        <v>0.390806083983519</v>
      </c>
      <c r="V1069" s="2" t="str">
        <f aca="false">IF(S1069&lt;J1069,"SIM","NÃO")</f>
        <v>NÃO</v>
      </c>
      <c r="W1069" s="2" t="n">
        <v>5</v>
      </c>
      <c r="X1069" s="2" t="s">
        <v>156</v>
      </c>
    </row>
    <row r="1070" customFormat="false" ht="15" hidden="false" customHeight="false" outlineLevel="0" collapsed="false">
      <c r="A1070" s="2" t="n">
        <v>377101906</v>
      </c>
      <c r="B1070" s="29" t="n">
        <v>46249.8506828704</v>
      </c>
      <c r="C1070" s="2" t="s">
        <v>158</v>
      </c>
      <c r="D1070" s="2" t="s">
        <v>1217</v>
      </c>
      <c r="E1070" s="2" t="s">
        <v>89</v>
      </c>
      <c r="F1070" s="2" t="s">
        <v>106</v>
      </c>
      <c r="G1070" s="30" t="n">
        <v>33.21</v>
      </c>
      <c r="H1070" s="11" t="n">
        <v>377.97</v>
      </c>
      <c r="I1070" s="11" t="s">
        <v>350</v>
      </c>
      <c r="J1070" s="11" t="n">
        <v>110.35</v>
      </c>
      <c r="K1070" s="11" t="n">
        <v>108.83</v>
      </c>
      <c r="L1070" s="11" t="n">
        <v>0.378</v>
      </c>
      <c r="M1070" s="11" t="n">
        <v>0.7559</v>
      </c>
      <c r="N1070" s="11" t="n">
        <v>1</v>
      </c>
      <c r="O1070" s="11" t="n">
        <v>4.5</v>
      </c>
      <c r="P1070" s="11" t="n">
        <v>2.04</v>
      </c>
      <c r="Q1070" s="11" t="n">
        <v>15.3</v>
      </c>
      <c r="R1070" s="11" t="n">
        <f aca="false">SUM(K1070:Q1070)</f>
        <v>132.8039</v>
      </c>
      <c r="S1070" s="11" t="n">
        <f aca="false">R1070/(1-Resumo!$C$6)</f>
        <v>150.913522727273</v>
      </c>
      <c r="T1070" s="11" t="n">
        <f aca="false">S1070-J1070</f>
        <v>40.5635227272727</v>
      </c>
      <c r="U1070" s="12" t="n">
        <f aca="false">IFERROR(S1070/J1070-1,0)</f>
        <v>0.367589693949005</v>
      </c>
      <c r="V1070" s="2" t="str">
        <f aca="false">IF(S1070&lt;J1070,"SIM","NÃO")</f>
        <v>NÃO</v>
      </c>
      <c r="W1070" s="2" t="n">
        <v>8</v>
      </c>
      <c r="X1070" s="2" t="s">
        <v>156</v>
      </c>
    </row>
    <row r="1071" customFormat="false" ht="15" hidden="false" customHeight="false" outlineLevel="0" collapsed="false">
      <c r="A1071" s="2" t="n">
        <v>377120470</v>
      </c>
      <c r="B1071" s="29" t="n">
        <v>46249.8873032407</v>
      </c>
      <c r="C1071" s="2" t="s">
        <v>158</v>
      </c>
      <c r="D1071" s="2" t="s">
        <v>1218</v>
      </c>
      <c r="E1071" s="2" t="s">
        <v>78</v>
      </c>
      <c r="F1071" s="2" t="s">
        <v>114</v>
      </c>
      <c r="G1071" s="30" t="n">
        <v>124.2</v>
      </c>
      <c r="H1071" s="11" t="n">
        <v>1749.98</v>
      </c>
      <c r="I1071" s="11" t="s">
        <v>155</v>
      </c>
      <c r="J1071" s="11" t="n">
        <v>234.68</v>
      </c>
      <c r="K1071" s="11" t="n">
        <v>239.25</v>
      </c>
      <c r="L1071" s="11" t="n">
        <v>1.75</v>
      </c>
      <c r="M1071" s="11" t="n">
        <v>3.5</v>
      </c>
      <c r="N1071" s="11" t="n">
        <v>1</v>
      </c>
      <c r="O1071" s="11" t="n">
        <v>9</v>
      </c>
      <c r="P1071" s="11" t="n">
        <v>7.5</v>
      </c>
      <c r="Q1071" s="11" t="n">
        <v>56.25</v>
      </c>
      <c r="R1071" s="11" t="n">
        <f aca="false">SUM(K1071:Q1071)</f>
        <v>318.25</v>
      </c>
      <c r="S1071" s="11" t="n">
        <f aca="false">R1071/(1-Resumo!$C$6)</f>
        <v>361.647727272727</v>
      </c>
      <c r="T1071" s="11" t="n">
        <f aca="false">S1071-J1071</f>
        <v>126.967727272727</v>
      </c>
      <c r="U1071" s="12" t="n">
        <f aca="false">IFERROR(S1071/J1071-1,0)</f>
        <v>0.541024915939693</v>
      </c>
      <c r="V1071" s="2" t="str">
        <f aca="false">IF(S1071&lt;J1071,"SIM","NÃO")</f>
        <v>NÃO</v>
      </c>
      <c r="W1071" s="2" t="n">
        <v>5</v>
      </c>
      <c r="X1071" s="2" t="s">
        <v>156</v>
      </c>
    </row>
    <row r="1072" customFormat="false" ht="15" hidden="false" customHeight="false" outlineLevel="0" collapsed="false">
      <c r="A1072" s="2" t="n">
        <v>377126631</v>
      </c>
      <c r="B1072" s="29" t="n">
        <v>46249.8963657407</v>
      </c>
      <c r="C1072" s="2" t="s">
        <v>158</v>
      </c>
      <c r="D1072" s="2" t="s">
        <v>1219</v>
      </c>
      <c r="E1072" s="2" t="s">
        <v>84</v>
      </c>
      <c r="F1072" s="2" t="s">
        <v>109</v>
      </c>
      <c r="G1072" s="30" t="n">
        <v>52.3</v>
      </c>
      <c r="H1072" s="11" t="n">
        <v>630</v>
      </c>
      <c r="I1072" s="11" t="s">
        <v>350</v>
      </c>
      <c r="J1072" s="11" t="n">
        <v>127.35</v>
      </c>
      <c r="K1072" s="11" t="n">
        <v>112.3</v>
      </c>
      <c r="L1072" s="11" t="n">
        <v>0.63</v>
      </c>
      <c r="M1072" s="11" t="n">
        <v>1.26</v>
      </c>
      <c r="N1072" s="11" t="n">
        <v>1</v>
      </c>
      <c r="O1072" s="11" t="n">
        <v>4.5</v>
      </c>
      <c r="P1072" s="11" t="n">
        <v>3.18</v>
      </c>
      <c r="Q1072" s="11" t="n">
        <v>23.85</v>
      </c>
      <c r="R1072" s="11" t="n">
        <f aca="false">SUM(K1072:Q1072)</f>
        <v>146.72</v>
      </c>
      <c r="S1072" s="11" t="n">
        <f aca="false">R1072/(1-Resumo!$C$6)</f>
        <v>166.727272727273</v>
      </c>
      <c r="T1072" s="11" t="n">
        <f aca="false">S1072-J1072</f>
        <v>39.3772727272727</v>
      </c>
      <c r="U1072" s="12" t="n">
        <f aca="false">IFERROR(S1072/J1072-1,0)</f>
        <v>0.309205125459543</v>
      </c>
      <c r="V1072" s="2" t="str">
        <f aca="false">IF(S1072&lt;J1072,"SIM","NÃO")</f>
        <v>NÃO</v>
      </c>
      <c r="W1072" s="2" t="n">
        <v>5</v>
      </c>
      <c r="X1072" s="2" t="s">
        <v>156</v>
      </c>
    </row>
    <row r="1073" customFormat="false" ht="15" hidden="false" customHeight="false" outlineLevel="0" collapsed="false">
      <c r="A1073" s="2" t="n">
        <v>377154301</v>
      </c>
      <c r="B1073" s="29" t="n">
        <v>46249.9426273148</v>
      </c>
      <c r="C1073" s="2" t="s">
        <v>153</v>
      </c>
      <c r="D1073" s="2" t="s">
        <v>1220</v>
      </c>
      <c r="E1073" s="2" t="s">
        <v>86</v>
      </c>
      <c r="F1073" s="2" t="s">
        <v>110</v>
      </c>
      <c r="G1073" s="30" t="n">
        <v>63.9</v>
      </c>
      <c r="H1073" s="11" t="n">
        <v>730.98</v>
      </c>
      <c r="I1073" s="11" t="s">
        <v>350</v>
      </c>
      <c r="J1073" s="11" t="n">
        <v>139.81</v>
      </c>
      <c r="K1073" s="11" t="n">
        <v>131.02</v>
      </c>
      <c r="L1073" s="11" t="n">
        <v>0.731</v>
      </c>
      <c r="M1073" s="11" t="n">
        <v>1.462</v>
      </c>
      <c r="N1073" s="11" t="n">
        <v>1</v>
      </c>
      <c r="O1073" s="11" t="n">
        <v>4.5</v>
      </c>
      <c r="P1073" s="11" t="n">
        <v>3.84</v>
      </c>
      <c r="Q1073" s="11" t="n">
        <v>28.8</v>
      </c>
      <c r="R1073" s="11" t="n">
        <f aca="false">SUM(K1073:Q1073)</f>
        <v>171.353</v>
      </c>
      <c r="S1073" s="11" t="n">
        <f aca="false">R1073/(1-Resumo!$C$6)</f>
        <v>194.719318181818</v>
      </c>
      <c r="T1073" s="11" t="n">
        <f aca="false">S1073-J1073</f>
        <v>54.9093181818182</v>
      </c>
      <c r="U1073" s="12" t="n">
        <f aca="false">IFERROR(S1073/J1073-1,0)</f>
        <v>0.392742423158702</v>
      </c>
      <c r="V1073" s="2" t="str">
        <f aca="false">IF(S1073&lt;J1073,"SIM","NÃO")</f>
        <v>NÃO</v>
      </c>
      <c r="W1073" s="2" t="n">
        <v>5</v>
      </c>
      <c r="X1073" s="2" t="s">
        <v>156</v>
      </c>
    </row>
    <row r="1074" customFormat="false" ht="15" hidden="false" customHeight="false" outlineLevel="0" collapsed="false">
      <c r="A1074" s="2" t="n">
        <v>377190211</v>
      </c>
      <c r="B1074" s="29" t="n">
        <v>46250.0084259259</v>
      </c>
      <c r="C1074" s="2" t="s">
        <v>153</v>
      </c>
      <c r="D1074" s="2" t="s">
        <v>1221</v>
      </c>
      <c r="E1074" s="2" t="s">
        <v>78</v>
      </c>
      <c r="F1074" s="2" t="s">
        <v>109</v>
      </c>
      <c r="G1074" s="30" t="n">
        <v>52.3</v>
      </c>
      <c r="H1074" s="11" t="n">
        <v>699.99</v>
      </c>
      <c r="I1074" s="11" t="s">
        <v>155</v>
      </c>
      <c r="J1074" s="11" t="n">
        <v>114.5</v>
      </c>
      <c r="K1074" s="11" t="n">
        <v>112.3</v>
      </c>
      <c r="L1074" s="11" t="n">
        <v>0.7</v>
      </c>
      <c r="M1074" s="11" t="n">
        <v>1.4</v>
      </c>
      <c r="N1074" s="11" t="n">
        <v>1</v>
      </c>
      <c r="O1074" s="11" t="n">
        <v>4.5</v>
      </c>
      <c r="P1074" s="11" t="n">
        <v>3.18</v>
      </c>
      <c r="Q1074" s="11" t="n">
        <v>23.85</v>
      </c>
      <c r="R1074" s="11" t="n">
        <f aca="false">SUM(K1074:Q1074)</f>
        <v>146.93</v>
      </c>
      <c r="S1074" s="11" t="n">
        <f aca="false">R1074/(1-Resumo!$C$6)</f>
        <v>166.965909090909</v>
      </c>
      <c r="T1074" s="11" t="n">
        <f aca="false">S1074-J1074</f>
        <v>52.4659090909091</v>
      </c>
      <c r="U1074" s="12" t="n">
        <f aca="false">IFERROR(S1074/J1074-1,0)</f>
        <v>0.458217546645494</v>
      </c>
      <c r="V1074" s="2" t="str">
        <f aca="false">IF(S1074&lt;J1074,"SIM","NÃO")</f>
        <v>NÃO</v>
      </c>
      <c r="W1074" s="2" t="n">
        <v>5</v>
      </c>
      <c r="X1074" s="2" t="s">
        <v>156</v>
      </c>
    </row>
    <row r="1075" customFormat="false" ht="15" hidden="false" customHeight="false" outlineLevel="0" collapsed="false">
      <c r="A1075" s="2" t="n">
        <v>377193013</v>
      </c>
      <c r="B1075" s="29" t="n">
        <v>46250.0137037037</v>
      </c>
      <c r="C1075" s="2" t="s">
        <v>153</v>
      </c>
      <c r="D1075" s="2" t="s">
        <v>1222</v>
      </c>
      <c r="E1075" s="2" t="s">
        <v>78</v>
      </c>
      <c r="F1075" s="2" t="s">
        <v>105</v>
      </c>
      <c r="G1075" s="30" t="n">
        <v>17.2</v>
      </c>
      <c r="H1075" s="11" t="n">
        <v>223.34</v>
      </c>
      <c r="I1075" s="11" t="s">
        <v>350</v>
      </c>
      <c r="J1075" s="11" t="n">
        <v>64.84</v>
      </c>
      <c r="K1075" s="11" t="n">
        <v>46.98</v>
      </c>
      <c r="L1075" s="11" t="n">
        <v>0.2233</v>
      </c>
      <c r="M1075" s="11" t="n">
        <v>0.4467</v>
      </c>
      <c r="N1075" s="11" t="n">
        <v>1</v>
      </c>
      <c r="O1075" s="11" t="n">
        <v>4.5</v>
      </c>
      <c r="P1075" s="11" t="n">
        <v>1.08</v>
      </c>
      <c r="Q1075" s="11" t="n">
        <v>8.1</v>
      </c>
      <c r="R1075" s="11" t="n">
        <f aca="false">SUM(K1075:Q1075)</f>
        <v>62.33</v>
      </c>
      <c r="S1075" s="11" t="n">
        <f aca="false">R1075/(1-Resumo!$C$6)</f>
        <v>70.8295454545455</v>
      </c>
      <c r="T1075" s="11" t="n">
        <f aca="false">S1075-J1075</f>
        <v>5.98954545454545</v>
      </c>
      <c r="U1075" s="12" t="n">
        <f aca="false">IFERROR(S1075/J1075-1,0)</f>
        <v>0.0923742358813302</v>
      </c>
      <c r="V1075" s="2" t="str">
        <f aca="false">IF(S1075&lt;J1075,"SIM","NÃO")</f>
        <v>NÃO</v>
      </c>
      <c r="W1075" s="2" t="n">
        <v>5</v>
      </c>
      <c r="X1075" s="2" t="s">
        <v>156</v>
      </c>
    </row>
    <row r="1076" customFormat="false" ht="15" hidden="false" customHeight="false" outlineLevel="0" collapsed="false">
      <c r="A1076" s="2" t="n">
        <v>377209137</v>
      </c>
      <c r="B1076" s="29" t="n">
        <v>46250.0447569444</v>
      </c>
      <c r="C1076" s="2" t="s">
        <v>153</v>
      </c>
      <c r="D1076" s="2" t="s">
        <v>1223</v>
      </c>
      <c r="E1076" s="2" t="s">
        <v>78</v>
      </c>
      <c r="F1076" s="2" t="s">
        <v>107</v>
      </c>
      <c r="G1076" s="30" t="n">
        <v>37.6</v>
      </c>
      <c r="H1076" s="11" t="n">
        <v>383.12</v>
      </c>
      <c r="I1076" s="11" t="s">
        <v>155</v>
      </c>
      <c r="J1076" s="11" t="n">
        <v>91.7</v>
      </c>
      <c r="K1076" s="11" t="n">
        <v>93.97</v>
      </c>
      <c r="L1076" s="11" t="n">
        <v>0.3831</v>
      </c>
      <c r="M1076" s="11" t="n">
        <v>0.7662</v>
      </c>
      <c r="N1076" s="11" t="n">
        <v>1</v>
      </c>
      <c r="O1076" s="11" t="n">
        <v>4.5</v>
      </c>
      <c r="P1076" s="11" t="n">
        <v>2.28</v>
      </c>
      <c r="Q1076" s="11" t="n">
        <v>17.1</v>
      </c>
      <c r="R1076" s="11" t="n">
        <f aca="false">SUM(K1076:Q1076)</f>
        <v>119.9993</v>
      </c>
      <c r="S1076" s="11" t="n">
        <f aca="false">R1076/(1-Resumo!$C$6)</f>
        <v>136.362840909091</v>
      </c>
      <c r="T1076" s="11" t="n">
        <f aca="false">S1076-J1076</f>
        <v>44.6628409090909</v>
      </c>
      <c r="U1076" s="12" t="n">
        <f aca="false">IFERROR(S1076/J1076-1,0)</f>
        <v>0.487053881233271</v>
      </c>
      <c r="V1076" s="2" t="str">
        <f aca="false">IF(S1076&lt;J1076,"SIM","NÃO")</f>
        <v>NÃO</v>
      </c>
      <c r="W1076" s="2" t="n">
        <v>5</v>
      </c>
      <c r="X1076" s="2" t="s">
        <v>156</v>
      </c>
    </row>
    <row r="1077" customFormat="false" ht="15" hidden="false" customHeight="false" outlineLevel="0" collapsed="false">
      <c r="A1077" s="2" t="n">
        <v>377320412</v>
      </c>
      <c r="B1077" s="29" t="n">
        <v>46250.2839583333</v>
      </c>
      <c r="C1077" s="2" t="s">
        <v>153</v>
      </c>
      <c r="D1077" s="2" t="s">
        <v>1224</v>
      </c>
      <c r="E1077" s="2" t="s">
        <v>78</v>
      </c>
      <c r="F1077" s="2" t="s">
        <v>108</v>
      </c>
      <c r="G1077" s="30" t="n">
        <v>46.8</v>
      </c>
      <c r="H1077" s="11" t="n">
        <v>506.56</v>
      </c>
      <c r="I1077" s="11" t="s">
        <v>350</v>
      </c>
      <c r="J1077" s="11" t="n">
        <v>103.89</v>
      </c>
      <c r="K1077" s="11" t="n">
        <v>93.97</v>
      </c>
      <c r="L1077" s="11" t="n">
        <v>0.5066</v>
      </c>
      <c r="M1077" s="11" t="n">
        <v>1.0131</v>
      </c>
      <c r="N1077" s="11" t="n">
        <v>1</v>
      </c>
      <c r="O1077" s="11" t="n">
        <v>4.5</v>
      </c>
      <c r="P1077" s="11" t="n">
        <v>2.82</v>
      </c>
      <c r="Q1077" s="11" t="n">
        <v>21.15</v>
      </c>
      <c r="R1077" s="11" t="n">
        <f aca="false">SUM(K1077:Q1077)</f>
        <v>124.9597</v>
      </c>
      <c r="S1077" s="11" t="n">
        <f aca="false">R1077/(1-Resumo!$C$6)</f>
        <v>141.999659090909</v>
      </c>
      <c r="T1077" s="11" t="n">
        <f aca="false">S1077-J1077</f>
        <v>38.1096590909091</v>
      </c>
      <c r="U1077" s="12" t="n">
        <f aca="false">IFERROR(S1077/J1077-1,0)</f>
        <v>0.366827019837416</v>
      </c>
      <c r="V1077" s="2" t="str">
        <f aca="false">IF(S1077&lt;J1077,"SIM","NÃO")</f>
        <v>NÃO</v>
      </c>
      <c r="W1077" s="2" t="n">
        <v>5</v>
      </c>
      <c r="X1077" s="2" t="s">
        <v>156</v>
      </c>
    </row>
    <row r="1078" customFormat="false" ht="15" hidden="false" customHeight="false" outlineLevel="0" collapsed="false">
      <c r="A1078" s="2" t="n">
        <v>377324801</v>
      </c>
      <c r="B1078" s="29" t="n">
        <v>46250.2933449074</v>
      </c>
      <c r="C1078" s="2" t="s">
        <v>153</v>
      </c>
      <c r="D1078" s="2" t="s">
        <v>1225</v>
      </c>
      <c r="E1078" s="2" t="s">
        <v>188</v>
      </c>
      <c r="F1078" s="2" t="s">
        <v>107</v>
      </c>
      <c r="G1078" s="30" t="n">
        <v>36.8</v>
      </c>
      <c r="H1078" s="11" t="n">
        <v>439.99</v>
      </c>
      <c r="I1078" s="11" t="s">
        <v>350</v>
      </c>
      <c r="J1078" s="11" t="n">
        <v>122.8</v>
      </c>
      <c r="K1078" s="11" t="n">
        <v>124.38</v>
      </c>
      <c r="L1078" s="11" t="n">
        <v>0.44</v>
      </c>
      <c r="M1078" s="11" t="n">
        <v>0.88</v>
      </c>
      <c r="N1078" s="11" t="n">
        <v>1</v>
      </c>
      <c r="O1078" s="11" t="n">
        <v>4.5</v>
      </c>
      <c r="P1078" s="11" t="n">
        <v>2.22</v>
      </c>
      <c r="Q1078" s="11" t="n">
        <v>16.65</v>
      </c>
      <c r="R1078" s="11" t="n">
        <f aca="false">SUM(K1078:Q1078)</f>
        <v>150.07</v>
      </c>
      <c r="S1078" s="11" t="n">
        <f aca="false">R1078/(1-Resumo!$C$6)</f>
        <v>170.534090909091</v>
      </c>
      <c r="T1078" s="11" t="n">
        <f aca="false">S1078-J1078</f>
        <v>47.7340909090909</v>
      </c>
      <c r="U1078" s="12" t="n">
        <f aca="false">IFERROR(S1078/J1078-1,0)</f>
        <v>0.388714095350903</v>
      </c>
      <c r="V1078" s="2" t="str">
        <f aca="false">IF(S1078&lt;J1078,"SIM","NÃO")</f>
        <v>NÃO</v>
      </c>
      <c r="W1078" s="2" t="n">
        <v>10</v>
      </c>
      <c r="X1078" s="2" t="s">
        <v>161</v>
      </c>
    </row>
    <row r="1079" customFormat="false" ht="15" hidden="false" customHeight="false" outlineLevel="0" collapsed="false">
      <c r="A1079" s="2" t="n">
        <v>377331088</v>
      </c>
      <c r="B1079" s="29" t="n">
        <v>46250.3071296296</v>
      </c>
      <c r="C1079" s="2" t="s">
        <v>153</v>
      </c>
      <c r="D1079" s="2" t="s">
        <v>1226</v>
      </c>
      <c r="E1079" s="2" t="s">
        <v>87</v>
      </c>
      <c r="F1079" s="2" t="s">
        <v>110</v>
      </c>
      <c r="G1079" s="30" t="n">
        <v>63.9</v>
      </c>
      <c r="H1079" s="11" t="n">
        <v>799.99</v>
      </c>
      <c r="I1079" s="11" t="s">
        <v>350</v>
      </c>
      <c r="J1079" s="11" t="n">
        <v>155.64</v>
      </c>
      <c r="K1079" s="11" t="n">
        <v>166.05</v>
      </c>
      <c r="L1079" s="11" t="n">
        <v>0.8</v>
      </c>
      <c r="M1079" s="11" t="n">
        <v>1.6</v>
      </c>
      <c r="N1079" s="11" t="n">
        <v>1</v>
      </c>
      <c r="O1079" s="11" t="n">
        <v>4.5</v>
      </c>
      <c r="P1079" s="11" t="n">
        <v>3.84</v>
      </c>
      <c r="Q1079" s="11" t="n">
        <v>28.8</v>
      </c>
      <c r="R1079" s="11" t="n">
        <f aca="false">SUM(K1079:Q1079)</f>
        <v>206.59</v>
      </c>
      <c r="S1079" s="11" t="n">
        <f aca="false">R1079/(1-Resumo!$C$6)</f>
        <v>234.761363636364</v>
      </c>
      <c r="T1079" s="11" t="n">
        <f aca="false">S1079-J1079</f>
        <v>79.1213636363637</v>
      </c>
      <c r="U1079" s="12" t="n">
        <f aca="false">IFERROR(S1079/J1079-1,0)</f>
        <v>0.508361370061448</v>
      </c>
      <c r="V1079" s="2" t="str">
        <f aca="false">IF(S1079&lt;J1079,"SIM","NÃO")</f>
        <v>NÃO</v>
      </c>
      <c r="W1079" s="2" t="n">
        <v>10</v>
      </c>
      <c r="X1079" s="2" t="s">
        <v>156</v>
      </c>
    </row>
    <row r="1080" customFormat="false" ht="15" hidden="false" customHeight="false" outlineLevel="0" collapsed="false">
      <c r="A1080" s="2" t="n">
        <v>377331245</v>
      </c>
      <c r="B1080" s="29" t="n">
        <v>46250.3098032407</v>
      </c>
      <c r="C1080" s="2" t="s">
        <v>191</v>
      </c>
      <c r="D1080" s="2" t="s">
        <v>1227</v>
      </c>
      <c r="E1080" s="2" t="s">
        <v>78</v>
      </c>
      <c r="F1080" s="2" t="s">
        <v>107</v>
      </c>
      <c r="G1080" s="30" t="n">
        <v>39</v>
      </c>
      <c r="H1080" s="11" t="n">
        <v>550.99</v>
      </c>
      <c r="I1080" s="11" t="s">
        <v>155</v>
      </c>
      <c r="J1080" s="11" t="n">
        <v>92.49</v>
      </c>
      <c r="K1080" s="11" t="n">
        <v>93.97</v>
      </c>
      <c r="L1080" s="11" t="n">
        <v>0.551</v>
      </c>
      <c r="M1080" s="11" t="n">
        <v>1.102</v>
      </c>
      <c r="N1080" s="11" t="n">
        <v>1</v>
      </c>
      <c r="O1080" s="11" t="n">
        <v>4.5</v>
      </c>
      <c r="P1080" s="11" t="n">
        <v>2.34</v>
      </c>
      <c r="Q1080" s="11" t="n">
        <v>17.55</v>
      </c>
      <c r="R1080" s="11" t="n">
        <f aca="false">SUM(K1080:Q1080)</f>
        <v>121.013</v>
      </c>
      <c r="S1080" s="11" t="n">
        <f aca="false">R1080/(1-Resumo!$C$6)</f>
        <v>137.514772727273</v>
      </c>
      <c r="T1080" s="11" t="n">
        <f aca="false">S1080-J1080</f>
        <v>45.0247727272727</v>
      </c>
      <c r="U1080" s="12" t="n">
        <f aca="false">IFERROR(S1080/J1080-1,0)</f>
        <v>0.486806927530249</v>
      </c>
      <c r="V1080" s="2" t="str">
        <f aca="false">IF(S1080&lt;J1080,"SIM","NÃO")</f>
        <v>NÃO</v>
      </c>
      <c r="W1080" s="2" t="n">
        <v>5</v>
      </c>
      <c r="X1080" s="2" t="s">
        <v>156</v>
      </c>
    </row>
    <row r="1081" customFormat="false" ht="15" hidden="false" customHeight="false" outlineLevel="0" collapsed="false">
      <c r="A1081" s="2" t="n">
        <v>377348609</v>
      </c>
      <c r="B1081" s="29" t="n">
        <v>46250.3422222222</v>
      </c>
      <c r="C1081" s="2" t="s">
        <v>153</v>
      </c>
      <c r="D1081" s="2" t="s">
        <v>1228</v>
      </c>
      <c r="E1081" s="2" t="s">
        <v>78</v>
      </c>
      <c r="F1081" s="2" t="s">
        <v>105</v>
      </c>
      <c r="G1081" s="30" t="n">
        <v>19.5</v>
      </c>
      <c r="H1081" s="11" t="n">
        <v>379.99</v>
      </c>
      <c r="I1081" s="11" t="s">
        <v>155</v>
      </c>
      <c r="J1081" s="11" t="n">
        <v>65.03</v>
      </c>
      <c r="K1081" s="11" t="n">
        <v>46.98</v>
      </c>
      <c r="L1081" s="11" t="n">
        <v>0.38</v>
      </c>
      <c r="M1081" s="11" t="n">
        <v>0.76</v>
      </c>
      <c r="N1081" s="11" t="n">
        <v>1</v>
      </c>
      <c r="O1081" s="11" t="n">
        <v>4.5</v>
      </c>
      <c r="P1081" s="11" t="n">
        <v>1.2</v>
      </c>
      <c r="Q1081" s="11" t="n">
        <v>9</v>
      </c>
      <c r="R1081" s="11" t="n">
        <f aca="false">SUM(K1081:Q1081)</f>
        <v>63.82</v>
      </c>
      <c r="S1081" s="11" t="n">
        <f aca="false">R1081/(1-Resumo!$C$6)</f>
        <v>72.5227272727273</v>
      </c>
      <c r="T1081" s="11" t="n">
        <f aca="false">S1081-J1081</f>
        <v>7.49272727272727</v>
      </c>
      <c r="U1081" s="12" t="n">
        <f aca="false">IFERROR(S1081/J1081-1,0)</f>
        <v>0.115219549019334</v>
      </c>
      <c r="V1081" s="2" t="str">
        <f aca="false">IF(S1081&lt;J1081,"SIM","NÃO")</f>
        <v>NÃO</v>
      </c>
      <c r="W1081" s="2" t="n">
        <v>5</v>
      </c>
      <c r="X1081" s="2" t="s">
        <v>156</v>
      </c>
    </row>
    <row r="1082" customFormat="false" ht="15" hidden="false" customHeight="false" outlineLevel="0" collapsed="false">
      <c r="A1082" s="2" t="n">
        <v>377434055</v>
      </c>
      <c r="B1082" s="29" t="n">
        <v>46250.4865162037</v>
      </c>
      <c r="C1082" s="2" t="s">
        <v>153</v>
      </c>
      <c r="D1082" s="2" t="s">
        <v>1229</v>
      </c>
      <c r="E1082" s="2" t="s">
        <v>78</v>
      </c>
      <c r="F1082" s="2" t="s">
        <v>106</v>
      </c>
      <c r="G1082" s="30" t="n">
        <v>28.6</v>
      </c>
      <c r="H1082" s="11" t="n">
        <v>529.99</v>
      </c>
      <c r="I1082" s="11" t="s">
        <v>155</v>
      </c>
      <c r="J1082" s="11" t="n">
        <v>82.86</v>
      </c>
      <c r="K1082" s="11" t="n">
        <v>82.21</v>
      </c>
      <c r="L1082" s="11" t="n">
        <v>0.53</v>
      </c>
      <c r="M1082" s="11" t="n">
        <v>1.06</v>
      </c>
      <c r="N1082" s="11" t="n">
        <v>1</v>
      </c>
      <c r="O1082" s="11" t="n">
        <v>4.5</v>
      </c>
      <c r="P1082" s="11" t="n">
        <v>1.74</v>
      </c>
      <c r="Q1082" s="11" t="n">
        <v>13.05</v>
      </c>
      <c r="R1082" s="11" t="n">
        <f aca="false">SUM(K1082:Q1082)</f>
        <v>104.09</v>
      </c>
      <c r="S1082" s="11" t="n">
        <f aca="false">R1082/(1-Resumo!$C$6)</f>
        <v>118.284090909091</v>
      </c>
      <c r="T1082" s="11" t="n">
        <f aca="false">S1082-J1082</f>
        <v>35.4240909090909</v>
      </c>
      <c r="U1082" s="12" t="n">
        <f aca="false">IFERROR(S1082/J1082-1,0)</f>
        <v>0.427517389682487</v>
      </c>
      <c r="V1082" s="2" t="str">
        <f aca="false">IF(S1082&lt;J1082,"SIM","NÃO")</f>
        <v>NÃO</v>
      </c>
      <c r="W1082" s="2" t="n">
        <v>5</v>
      </c>
      <c r="X1082" s="2" t="s">
        <v>156</v>
      </c>
    </row>
    <row r="1083" customFormat="false" ht="15" hidden="false" customHeight="false" outlineLevel="0" collapsed="false">
      <c r="A1083" s="2" t="n">
        <v>377441754</v>
      </c>
      <c r="B1083" s="29" t="n">
        <v>46250.4984490741</v>
      </c>
      <c r="C1083" s="2" t="s">
        <v>153</v>
      </c>
      <c r="D1083" s="2" t="s">
        <v>1230</v>
      </c>
      <c r="E1083" s="2" t="s">
        <v>80</v>
      </c>
      <c r="F1083" s="2" t="s">
        <v>108</v>
      </c>
      <c r="G1083" s="30" t="n">
        <v>46.8</v>
      </c>
      <c r="H1083" s="11" t="n">
        <v>506.56</v>
      </c>
      <c r="I1083" s="11" t="s">
        <v>155</v>
      </c>
      <c r="J1083" s="11" t="n">
        <v>116.49</v>
      </c>
      <c r="K1083" s="11" t="n">
        <v>93.97</v>
      </c>
      <c r="L1083" s="11" t="n">
        <v>0.5066</v>
      </c>
      <c r="M1083" s="11" t="n">
        <v>1.0131</v>
      </c>
      <c r="N1083" s="11" t="n">
        <v>1</v>
      </c>
      <c r="O1083" s="11" t="n">
        <v>4.5</v>
      </c>
      <c r="P1083" s="11" t="n">
        <v>2.82</v>
      </c>
      <c r="Q1083" s="11" t="n">
        <v>21.15</v>
      </c>
      <c r="R1083" s="11" t="n">
        <f aca="false">SUM(K1083:Q1083)</f>
        <v>124.9597</v>
      </c>
      <c r="S1083" s="11" t="n">
        <f aca="false">R1083/(1-Resumo!$C$6)</f>
        <v>141.999659090909</v>
      </c>
      <c r="T1083" s="11" t="n">
        <f aca="false">S1083-J1083</f>
        <v>25.5096590909091</v>
      </c>
      <c r="U1083" s="12" t="n">
        <f aca="false">IFERROR(S1083/J1083-1,0)</f>
        <v>0.218985827890026</v>
      </c>
      <c r="V1083" s="2" t="str">
        <f aca="false">IF(S1083&lt;J1083,"SIM","NÃO")</f>
        <v>NÃO</v>
      </c>
      <c r="W1083" s="2" t="n">
        <v>5</v>
      </c>
      <c r="X1083" s="2" t="s">
        <v>156</v>
      </c>
    </row>
    <row r="1084" customFormat="false" ht="15" hidden="false" customHeight="false" outlineLevel="0" collapsed="false">
      <c r="A1084" s="2" t="n">
        <v>377444132</v>
      </c>
      <c r="B1084" s="29" t="n">
        <v>46250.5019328704</v>
      </c>
      <c r="C1084" s="2" t="s">
        <v>158</v>
      </c>
      <c r="D1084" s="2" t="s">
        <v>1231</v>
      </c>
      <c r="E1084" s="2" t="s">
        <v>78</v>
      </c>
      <c r="F1084" s="2" t="s">
        <v>114</v>
      </c>
      <c r="G1084" s="30" t="n">
        <v>124.2</v>
      </c>
      <c r="H1084" s="11" t="n">
        <v>1597.99</v>
      </c>
      <c r="I1084" s="11" t="s">
        <v>155</v>
      </c>
      <c r="J1084" s="11" t="n">
        <v>233.95</v>
      </c>
      <c r="K1084" s="11" t="n">
        <v>239.25</v>
      </c>
      <c r="L1084" s="11" t="n">
        <v>1.598</v>
      </c>
      <c r="M1084" s="11" t="n">
        <v>3.196</v>
      </c>
      <c r="N1084" s="11" t="n">
        <v>1</v>
      </c>
      <c r="O1084" s="11" t="n">
        <v>9</v>
      </c>
      <c r="P1084" s="11" t="n">
        <v>7.5</v>
      </c>
      <c r="Q1084" s="11" t="n">
        <v>56.25</v>
      </c>
      <c r="R1084" s="11" t="n">
        <f aca="false">SUM(K1084:Q1084)</f>
        <v>317.794</v>
      </c>
      <c r="S1084" s="11" t="n">
        <f aca="false">R1084/(1-Resumo!$C$6)</f>
        <v>361.129545454545</v>
      </c>
      <c r="T1084" s="11" t="n">
        <f aca="false">S1084-J1084</f>
        <v>127.179545454545</v>
      </c>
      <c r="U1084" s="12" t="n">
        <f aca="false">IFERROR(S1084/J1084-1,0)</f>
        <v>0.543618488799083</v>
      </c>
      <c r="V1084" s="2" t="str">
        <f aca="false">IF(S1084&lt;J1084,"SIM","NÃO")</f>
        <v>NÃO</v>
      </c>
      <c r="W1084" s="2" t="n">
        <v>5</v>
      </c>
      <c r="X1084" s="2" t="s">
        <v>156</v>
      </c>
    </row>
    <row r="1085" customFormat="false" ht="15" hidden="false" customHeight="false" outlineLevel="0" collapsed="false">
      <c r="A1085" s="2" t="n">
        <v>377446782</v>
      </c>
      <c r="B1085" s="29" t="n">
        <v>46250.5063425926</v>
      </c>
      <c r="C1085" s="2" t="s">
        <v>198</v>
      </c>
      <c r="D1085" s="2" t="s">
        <v>1232</v>
      </c>
      <c r="E1085" s="2" t="s">
        <v>79</v>
      </c>
      <c r="F1085" s="2" t="s">
        <v>113</v>
      </c>
      <c r="G1085" s="30" t="n">
        <v>106.5</v>
      </c>
      <c r="H1085" s="11" t="n">
        <v>1289.99</v>
      </c>
      <c r="I1085" s="11" t="s">
        <v>350</v>
      </c>
      <c r="J1085" s="11" t="n">
        <v>193.73</v>
      </c>
      <c r="K1085" s="11" t="n">
        <v>214.11</v>
      </c>
      <c r="L1085" s="11" t="n">
        <v>1.29</v>
      </c>
      <c r="M1085" s="11" t="n">
        <v>2.58</v>
      </c>
      <c r="N1085" s="11" t="n">
        <v>1</v>
      </c>
      <c r="O1085" s="11" t="n">
        <v>9</v>
      </c>
      <c r="P1085" s="11" t="n">
        <v>6.42</v>
      </c>
      <c r="Q1085" s="11" t="n">
        <v>48.15</v>
      </c>
      <c r="R1085" s="11" t="n">
        <f aca="false">SUM(K1085:Q1085)</f>
        <v>282.55</v>
      </c>
      <c r="S1085" s="11" t="n">
        <f aca="false">R1085/(1-Resumo!$C$6)</f>
        <v>321.079545454545</v>
      </c>
      <c r="T1085" s="11" t="n">
        <f aca="false">S1085-J1085</f>
        <v>127.349545454545</v>
      </c>
      <c r="U1085" s="12" t="n">
        <f aca="false">IFERROR(S1085/J1085-1,0)</f>
        <v>0.657355832625538</v>
      </c>
      <c r="V1085" s="2" t="str">
        <f aca="false">IF(S1085&lt;J1085,"SIM","NÃO")</f>
        <v>NÃO</v>
      </c>
      <c r="W1085" s="2" t="n">
        <v>7</v>
      </c>
      <c r="X1085" s="2" t="s">
        <v>156</v>
      </c>
    </row>
    <row r="1086" customFormat="false" ht="15" hidden="false" customHeight="false" outlineLevel="0" collapsed="false">
      <c r="A1086" s="2" t="n">
        <v>377448133</v>
      </c>
      <c r="B1086" s="29" t="n">
        <v>46250.5084143519</v>
      </c>
      <c r="C1086" s="2" t="s">
        <v>153</v>
      </c>
      <c r="D1086" s="2" t="s">
        <v>1233</v>
      </c>
      <c r="E1086" s="2" t="s">
        <v>78</v>
      </c>
      <c r="F1086" s="2" t="s">
        <v>109</v>
      </c>
      <c r="G1086" s="30" t="n">
        <v>51.7</v>
      </c>
      <c r="H1086" s="11" t="n">
        <v>659.99</v>
      </c>
      <c r="I1086" s="11" t="s">
        <v>155</v>
      </c>
      <c r="J1086" s="11" t="n">
        <v>114.31</v>
      </c>
      <c r="K1086" s="11" t="n">
        <v>112.3</v>
      </c>
      <c r="L1086" s="11" t="n">
        <v>0.66</v>
      </c>
      <c r="M1086" s="11" t="n">
        <v>1.32</v>
      </c>
      <c r="N1086" s="11" t="n">
        <v>1</v>
      </c>
      <c r="O1086" s="11" t="n">
        <v>4.5</v>
      </c>
      <c r="P1086" s="11" t="n">
        <v>3.12</v>
      </c>
      <c r="Q1086" s="11" t="n">
        <v>23.4</v>
      </c>
      <c r="R1086" s="11" t="n">
        <f aca="false">SUM(K1086:Q1086)</f>
        <v>146.3</v>
      </c>
      <c r="S1086" s="11" t="n">
        <f aca="false">R1086/(1-Resumo!$C$6)</f>
        <v>166.25</v>
      </c>
      <c r="T1086" s="11" t="n">
        <f aca="false">S1086-J1086</f>
        <v>51.94</v>
      </c>
      <c r="U1086" s="12" t="n">
        <f aca="false">IFERROR(S1086/J1086-1,0)</f>
        <v>0.454378444580526</v>
      </c>
      <c r="V1086" s="2" t="str">
        <f aca="false">IF(S1086&lt;J1086,"SIM","NÃO")</f>
        <v>NÃO</v>
      </c>
      <c r="W1086" s="2" t="n">
        <v>5</v>
      </c>
      <c r="X1086" s="2" t="s">
        <v>156</v>
      </c>
    </row>
    <row r="1087" customFormat="false" ht="15" hidden="false" customHeight="false" outlineLevel="0" collapsed="false">
      <c r="A1087" s="2" t="n">
        <v>377458800</v>
      </c>
      <c r="B1087" s="29" t="n">
        <v>46250.5298611111</v>
      </c>
      <c r="C1087" s="2" t="s">
        <v>153</v>
      </c>
      <c r="D1087" s="2" t="s">
        <v>1234</v>
      </c>
      <c r="E1087" s="2" t="s">
        <v>78</v>
      </c>
      <c r="F1087" s="2" t="s">
        <v>111</v>
      </c>
      <c r="G1087" s="30" t="n">
        <v>78.7</v>
      </c>
      <c r="H1087" s="11" t="n">
        <v>1442.46</v>
      </c>
      <c r="I1087" s="11" t="s">
        <v>155</v>
      </c>
      <c r="J1087" s="11" t="n">
        <v>139.37</v>
      </c>
      <c r="K1087" s="11" t="n">
        <v>134.39</v>
      </c>
      <c r="L1087" s="11" t="n">
        <v>1.4425</v>
      </c>
      <c r="M1087" s="11" t="n">
        <v>2.8849</v>
      </c>
      <c r="N1087" s="11" t="n">
        <v>1</v>
      </c>
      <c r="O1087" s="11" t="n">
        <v>4.5</v>
      </c>
      <c r="P1087" s="11" t="n">
        <v>4.74</v>
      </c>
      <c r="Q1087" s="11" t="n">
        <v>35.55</v>
      </c>
      <c r="R1087" s="11" t="n">
        <f aca="false">SUM(K1087:Q1087)</f>
        <v>184.5074</v>
      </c>
      <c r="S1087" s="11" t="n">
        <f aca="false">R1087/(1-Resumo!$C$6)</f>
        <v>209.6675</v>
      </c>
      <c r="T1087" s="11" t="n">
        <f aca="false">S1087-J1087</f>
        <v>70.2975</v>
      </c>
      <c r="U1087" s="12" t="n">
        <f aca="false">IFERROR(S1087/J1087-1,0)</f>
        <v>0.504394776494224</v>
      </c>
      <c r="V1087" s="2" t="str">
        <f aca="false">IF(S1087&lt;J1087,"SIM","NÃO")</f>
        <v>NÃO</v>
      </c>
      <c r="W1087" s="2" t="n">
        <v>5</v>
      </c>
      <c r="X1087" s="2" t="s">
        <v>156</v>
      </c>
    </row>
    <row r="1088" customFormat="false" ht="15" hidden="false" customHeight="false" outlineLevel="0" collapsed="false">
      <c r="A1088" s="2" t="n">
        <v>377461632</v>
      </c>
      <c r="B1088" s="29" t="n">
        <v>46250.5355439815</v>
      </c>
      <c r="C1088" s="2" t="s">
        <v>158</v>
      </c>
      <c r="D1088" s="2" t="s">
        <v>1235</v>
      </c>
      <c r="E1088" s="2" t="s">
        <v>78</v>
      </c>
      <c r="F1088" s="2" t="s">
        <v>109</v>
      </c>
      <c r="G1088" s="30" t="n">
        <v>52.3</v>
      </c>
      <c r="H1088" s="11" t="n">
        <v>620</v>
      </c>
      <c r="I1088" s="11" t="s">
        <v>155</v>
      </c>
      <c r="J1088" s="11" t="n">
        <v>114.13</v>
      </c>
      <c r="K1088" s="11" t="n">
        <v>112.3</v>
      </c>
      <c r="L1088" s="11" t="n">
        <v>0.62</v>
      </c>
      <c r="M1088" s="11" t="n">
        <v>1.24</v>
      </c>
      <c r="N1088" s="11" t="n">
        <v>1</v>
      </c>
      <c r="O1088" s="11" t="n">
        <v>4.5</v>
      </c>
      <c r="P1088" s="11" t="n">
        <v>3.18</v>
      </c>
      <c r="Q1088" s="11" t="n">
        <v>23.85</v>
      </c>
      <c r="R1088" s="11" t="n">
        <f aca="false">SUM(K1088:Q1088)</f>
        <v>146.69</v>
      </c>
      <c r="S1088" s="11" t="n">
        <f aca="false">R1088/(1-Resumo!$C$6)</f>
        <v>166.693181818182</v>
      </c>
      <c r="T1088" s="11" t="n">
        <f aca="false">S1088-J1088</f>
        <v>52.5631818181818</v>
      </c>
      <c r="U1088" s="12" t="n">
        <f aca="false">IFERROR(S1088/J1088-1,0)</f>
        <v>0.460555347570155</v>
      </c>
      <c r="V1088" s="2" t="str">
        <f aca="false">IF(S1088&lt;J1088,"SIM","NÃO")</f>
        <v>NÃO</v>
      </c>
      <c r="W1088" s="2" t="n">
        <v>5</v>
      </c>
      <c r="X1088" s="2" t="s">
        <v>156</v>
      </c>
    </row>
    <row r="1089" customFormat="false" ht="15" hidden="false" customHeight="false" outlineLevel="0" collapsed="false">
      <c r="A1089" s="2" t="n">
        <v>377462623</v>
      </c>
      <c r="B1089" s="29" t="n">
        <v>46250.5373726852</v>
      </c>
      <c r="C1089" s="2" t="s">
        <v>158</v>
      </c>
      <c r="D1089" s="2" t="s">
        <v>1236</v>
      </c>
      <c r="E1089" s="2" t="s">
        <v>78</v>
      </c>
      <c r="F1089" s="2" t="s">
        <v>113</v>
      </c>
      <c r="G1089" s="30" t="n">
        <v>104.6</v>
      </c>
      <c r="H1089" s="11" t="n">
        <v>1280.36</v>
      </c>
      <c r="I1089" s="11" t="s">
        <v>155</v>
      </c>
      <c r="J1089" s="11" t="n">
        <v>185.77</v>
      </c>
      <c r="K1089" s="11" t="n">
        <v>201.59</v>
      </c>
      <c r="L1089" s="11" t="n">
        <v>1.2804</v>
      </c>
      <c r="M1089" s="11" t="n">
        <v>2.5607</v>
      </c>
      <c r="N1089" s="11" t="n">
        <v>1</v>
      </c>
      <c r="O1089" s="11" t="n">
        <v>9</v>
      </c>
      <c r="P1089" s="11" t="n">
        <v>6.3</v>
      </c>
      <c r="Q1089" s="11" t="n">
        <v>47.25</v>
      </c>
      <c r="R1089" s="11" t="n">
        <f aca="false">SUM(K1089:Q1089)</f>
        <v>268.9811</v>
      </c>
      <c r="S1089" s="11" t="n">
        <f aca="false">R1089/(1-Resumo!$C$6)</f>
        <v>305.660340909091</v>
      </c>
      <c r="T1089" s="11" t="n">
        <f aca="false">S1089-J1089</f>
        <v>119.890340909091</v>
      </c>
      <c r="U1089" s="12" t="n">
        <f aca="false">IFERROR(S1089/J1089-1,0)</f>
        <v>0.645369763196915</v>
      </c>
      <c r="V1089" s="2" t="str">
        <f aca="false">IF(S1089&lt;J1089,"SIM","NÃO")</f>
        <v>NÃO</v>
      </c>
      <c r="W1089" s="2" t="n">
        <v>5</v>
      </c>
      <c r="X1089" s="2" t="s">
        <v>156</v>
      </c>
    </row>
    <row r="1090" customFormat="false" ht="15" hidden="false" customHeight="false" outlineLevel="0" collapsed="false">
      <c r="A1090" s="2" t="n">
        <v>377486574</v>
      </c>
      <c r="B1090" s="29" t="n">
        <v>46250.5784837963</v>
      </c>
      <c r="C1090" s="2" t="s">
        <v>158</v>
      </c>
      <c r="D1090" s="2" t="s">
        <v>1237</v>
      </c>
      <c r="E1090" s="2" t="s">
        <v>78</v>
      </c>
      <c r="F1090" s="2" t="s">
        <v>110</v>
      </c>
      <c r="G1090" s="30" t="n">
        <v>69.15</v>
      </c>
      <c r="H1090" s="11" t="n">
        <v>684</v>
      </c>
      <c r="I1090" s="11" t="s">
        <v>155</v>
      </c>
      <c r="J1090" s="11" t="n">
        <v>124.49</v>
      </c>
      <c r="K1090" s="11" t="n">
        <v>131.02</v>
      </c>
      <c r="L1090" s="11" t="n">
        <v>0.684</v>
      </c>
      <c r="M1090" s="11" t="n">
        <v>1.368</v>
      </c>
      <c r="N1090" s="11" t="n">
        <v>1</v>
      </c>
      <c r="O1090" s="11" t="n">
        <v>4.5</v>
      </c>
      <c r="P1090" s="11" t="n">
        <v>4.2</v>
      </c>
      <c r="Q1090" s="11" t="n">
        <v>31.5</v>
      </c>
      <c r="R1090" s="11" t="n">
        <f aca="false">SUM(K1090:Q1090)</f>
        <v>174.272</v>
      </c>
      <c r="S1090" s="11" t="n">
        <f aca="false">R1090/(1-Resumo!$C$6)</f>
        <v>198.036363636364</v>
      </c>
      <c r="T1090" s="11" t="n">
        <f aca="false">S1090-J1090</f>
        <v>73.5463636363637</v>
      </c>
      <c r="U1090" s="12" t="n">
        <f aca="false">IFERROR(S1090/J1090-1,0)</f>
        <v>0.590781296781779</v>
      </c>
      <c r="V1090" s="2" t="str">
        <f aca="false">IF(S1090&lt;J1090,"SIM","NÃO")</f>
        <v>NÃO</v>
      </c>
      <c r="W1090" s="2" t="n">
        <v>5</v>
      </c>
      <c r="X1090" s="2" t="s">
        <v>156</v>
      </c>
    </row>
    <row r="1091" customFormat="false" ht="15" hidden="false" customHeight="false" outlineLevel="0" collapsed="false">
      <c r="A1091" s="2" t="n">
        <v>377579486</v>
      </c>
      <c r="B1091" s="29" t="n">
        <v>46250.5955092593</v>
      </c>
      <c r="C1091" s="2" t="s">
        <v>158</v>
      </c>
      <c r="D1091" s="2" t="s">
        <v>1238</v>
      </c>
      <c r="E1091" s="2" t="s">
        <v>78</v>
      </c>
      <c r="F1091" s="2" t="s">
        <v>110</v>
      </c>
      <c r="G1091" s="30" t="n">
        <v>66.8</v>
      </c>
      <c r="H1091" s="11" t="n">
        <v>574.1</v>
      </c>
      <c r="I1091" s="11" t="s">
        <v>155</v>
      </c>
      <c r="J1091" s="11" t="n">
        <v>123.97</v>
      </c>
      <c r="K1091" s="11" t="n">
        <v>131.02</v>
      </c>
      <c r="L1091" s="11" t="n">
        <v>0.5741</v>
      </c>
      <c r="M1091" s="11" t="n">
        <v>1.1482</v>
      </c>
      <c r="N1091" s="11" t="n">
        <v>1</v>
      </c>
      <c r="O1091" s="11" t="n">
        <v>4.5</v>
      </c>
      <c r="P1091" s="11" t="n">
        <v>4.02</v>
      </c>
      <c r="Q1091" s="11" t="n">
        <v>30.15</v>
      </c>
      <c r="R1091" s="11" t="n">
        <f aca="false">SUM(K1091:Q1091)</f>
        <v>172.4123</v>
      </c>
      <c r="S1091" s="11" t="n">
        <f aca="false">R1091/(1-Resumo!$C$6)</f>
        <v>195.923068181818</v>
      </c>
      <c r="T1091" s="11" t="n">
        <f aca="false">S1091-J1091</f>
        <v>71.9530681818182</v>
      </c>
      <c r="U1091" s="12" t="n">
        <f aca="false">IFERROR(S1091/J1091-1,0)</f>
        <v>0.580407099958201</v>
      </c>
      <c r="V1091" s="2" t="str">
        <f aca="false">IF(S1091&lt;J1091,"SIM","NÃO")</f>
        <v>NÃO</v>
      </c>
      <c r="W1091" s="2" t="n">
        <v>5</v>
      </c>
      <c r="X1091" s="2" t="s">
        <v>156</v>
      </c>
    </row>
    <row r="1092" customFormat="false" ht="15" hidden="false" customHeight="false" outlineLevel="0" collapsed="false">
      <c r="A1092" s="2" t="n">
        <v>377500684</v>
      </c>
      <c r="B1092" s="29" t="n">
        <v>46250.6007986111</v>
      </c>
      <c r="C1092" s="2" t="s">
        <v>153</v>
      </c>
      <c r="D1092" s="2" t="s">
        <v>1239</v>
      </c>
      <c r="E1092" s="2" t="s">
        <v>78</v>
      </c>
      <c r="F1092" s="2" t="s">
        <v>106</v>
      </c>
      <c r="G1092" s="30" t="n">
        <v>27.5</v>
      </c>
      <c r="H1092" s="11" t="n">
        <v>342.07</v>
      </c>
      <c r="I1092" s="11" t="s">
        <v>350</v>
      </c>
      <c r="J1092" s="11" t="n">
        <v>80.4</v>
      </c>
      <c r="K1092" s="11" t="n">
        <v>82.21</v>
      </c>
      <c r="L1092" s="11" t="n">
        <v>0.3421</v>
      </c>
      <c r="M1092" s="11" t="n">
        <v>0.6841</v>
      </c>
      <c r="N1092" s="11" t="n">
        <v>1</v>
      </c>
      <c r="O1092" s="11" t="n">
        <v>4.5</v>
      </c>
      <c r="P1092" s="11" t="n">
        <v>1.68</v>
      </c>
      <c r="Q1092" s="11" t="n">
        <v>12.6</v>
      </c>
      <c r="R1092" s="11" t="n">
        <f aca="false">SUM(K1092:Q1092)</f>
        <v>103.0162</v>
      </c>
      <c r="S1092" s="11" t="n">
        <f aca="false">R1092/(1-Resumo!$C$6)</f>
        <v>117.063863636364</v>
      </c>
      <c r="T1092" s="11" t="n">
        <f aca="false">S1092-J1092</f>
        <v>36.6638636363636</v>
      </c>
      <c r="U1092" s="12" t="n">
        <f aca="false">IFERROR(S1092/J1092-1,0)</f>
        <v>0.456018204432383</v>
      </c>
      <c r="V1092" s="2" t="str">
        <f aca="false">IF(S1092&lt;J1092,"SIM","NÃO")</f>
        <v>NÃO</v>
      </c>
      <c r="W1092" s="2" t="n">
        <v>5</v>
      </c>
      <c r="X1092" s="2" t="s">
        <v>156</v>
      </c>
    </row>
    <row r="1093" customFormat="false" ht="15" hidden="false" customHeight="false" outlineLevel="0" collapsed="false">
      <c r="A1093" s="2" t="n">
        <v>377503996</v>
      </c>
      <c r="B1093" s="29" t="n">
        <v>46250.6123032407</v>
      </c>
      <c r="C1093" s="2" t="s">
        <v>194</v>
      </c>
      <c r="D1093" s="2" t="s">
        <v>1240</v>
      </c>
      <c r="E1093" s="2" t="s">
        <v>79</v>
      </c>
      <c r="F1093" s="2" t="s">
        <v>108</v>
      </c>
      <c r="G1093" s="30" t="n">
        <v>48.6</v>
      </c>
      <c r="H1093" s="11" t="n">
        <v>699.99</v>
      </c>
      <c r="I1093" s="11" t="s">
        <v>350</v>
      </c>
      <c r="J1093" s="11" t="n">
        <v>119.26</v>
      </c>
      <c r="K1093" s="11" t="n">
        <v>114.95</v>
      </c>
      <c r="L1093" s="11" t="n">
        <v>0.7</v>
      </c>
      <c r="M1093" s="11" t="n">
        <v>1.4</v>
      </c>
      <c r="N1093" s="11" t="n">
        <v>1</v>
      </c>
      <c r="O1093" s="11" t="n">
        <v>4.5</v>
      </c>
      <c r="P1093" s="11" t="n">
        <v>2.94</v>
      </c>
      <c r="Q1093" s="11" t="n">
        <v>22.05</v>
      </c>
      <c r="R1093" s="11" t="n">
        <f aca="false">SUM(K1093:Q1093)</f>
        <v>147.54</v>
      </c>
      <c r="S1093" s="11" t="n">
        <f aca="false">R1093/(1-Resumo!$C$6)</f>
        <v>167.659090909091</v>
      </c>
      <c r="T1093" s="11" t="n">
        <f aca="false">S1093-J1093</f>
        <v>48.3990909090909</v>
      </c>
      <c r="U1093" s="12" t="n">
        <f aca="false">IFERROR(S1093/J1093-1,0)</f>
        <v>0.40582836583172</v>
      </c>
      <c r="V1093" s="2" t="str">
        <f aca="false">IF(S1093&lt;J1093,"SIM","NÃO")</f>
        <v>NÃO</v>
      </c>
      <c r="W1093" s="2" t="n">
        <v>7</v>
      </c>
      <c r="X1093" s="2" t="s">
        <v>156</v>
      </c>
    </row>
    <row r="1094" customFormat="false" ht="15" hidden="false" customHeight="false" outlineLevel="0" collapsed="false">
      <c r="A1094" s="2" t="n">
        <v>377509946</v>
      </c>
      <c r="B1094" s="29" t="n">
        <v>46250.6146412037</v>
      </c>
      <c r="C1094" s="2" t="s">
        <v>153</v>
      </c>
      <c r="D1094" s="2" t="s">
        <v>1241</v>
      </c>
      <c r="E1094" s="2" t="s">
        <v>412</v>
      </c>
      <c r="F1094" s="2" t="s">
        <v>108</v>
      </c>
      <c r="G1094" s="30" t="n">
        <v>48.3</v>
      </c>
      <c r="H1094" s="11" t="n">
        <v>449.99</v>
      </c>
      <c r="I1094" s="11" t="s">
        <v>350</v>
      </c>
      <c r="J1094" s="11" t="n">
        <v>132.08</v>
      </c>
      <c r="K1094" s="11" t="n">
        <v>124.38</v>
      </c>
      <c r="L1094" s="11" t="n">
        <v>0.45</v>
      </c>
      <c r="M1094" s="11" t="n">
        <v>0.9</v>
      </c>
      <c r="N1094" s="11" t="n">
        <v>1</v>
      </c>
      <c r="O1094" s="11" t="n">
        <v>4.5</v>
      </c>
      <c r="P1094" s="11" t="n">
        <v>2.94</v>
      </c>
      <c r="Q1094" s="11" t="n">
        <v>22.05</v>
      </c>
      <c r="R1094" s="11" t="n">
        <f aca="false">SUM(K1094:Q1094)</f>
        <v>156.22</v>
      </c>
      <c r="S1094" s="11" t="n">
        <f aca="false">R1094/(1-Resumo!$C$6)</f>
        <v>177.522727272727</v>
      </c>
      <c r="T1094" s="11" t="n">
        <f aca="false">S1094-J1094</f>
        <v>45.4427272727273</v>
      </c>
      <c r="U1094" s="12" t="n">
        <f aca="false">IFERROR(S1094/J1094-1,0)</f>
        <v>0.344054567479764</v>
      </c>
      <c r="V1094" s="2" t="str">
        <f aca="false">IF(S1094&lt;J1094,"SIM","NÃO")</f>
        <v>NÃO</v>
      </c>
      <c r="W1094" s="2" t="n">
        <v>10</v>
      </c>
      <c r="X1094" s="2" t="s">
        <v>161</v>
      </c>
    </row>
    <row r="1095" customFormat="false" ht="15" hidden="false" customHeight="false" outlineLevel="0" collapsed="false">
      <c r="A1095" s="2" t="n">
        <v>377602185</v>
      </c>
      <c r="B1095" s="29" t="n">
        <v>46250.6302199074</v>
      </c>
      <c r="C1095" s="2" t="s">
        <v>158</v>
      </c>
      <c r="D1095" s="2" t="s">
        <v>1242</v>
      </c>
      <c r="E1095" s="2" t="s">
        <v>93</v>
      </c>
      <c r="F1095" s="2" t="s">
        <v>110</v>
      </c>
      <c r="G1095" s="30" t="n">
        <v>69.15</v>
      </c>
      <c r="H1095" s="11" t="n">
        <v>707</v>
      </c>
      <c r="I1095" s="11" t="s">
        <v>350</v>
      </c>
      <c r="J1095" s="11" t="n">
        <v>158.25</v>
      </c>
      <c r="K1095" s="11" t="n">
        <v>149.5</v>
      </c>
      <c r="L1095" s="11" t="n">
        <v>0.707</v>
      </c>
      <c r="M1095" s="11" t="n">
        <v>1.414</v>
      </c>
      <c r="N1095" s="11" t="n">
        <v>1</v>
      </c>
      <c r="O1095" s="11" t="n">
        <v>4.5</v>
      </c>
      <c r="P1095" s="11" t="n">
        <v>4.2</v>
      </c>
      <c r="Q1095" s="11" t="n">
        <v>31.5</v>
      </c>
      <c r="R1095" s="11" t="n">
        <f aca="false">SUM(K1095:Q1095)</f>
        <v>192.821</v>
      </c>
      <c r="S1095" s="11" t="n">
        <f aca="false">R1095/(1-Resumo!$C$6)</f>
        <v>219.114772727273</v>
      </c>
      <c r="T1095" s="11" t="n">
        <f aca="false">S1095-J1095</f>
        <v>60.8647727272727</v>
      </c>
      <c r="U1095" s="12" t="n">
        <f aca="false">IFERROR(S1095/J1095-1,0)</f>
        <v>0.38461151802384</v>
      </c>
      <c r="V1095" s="2" t="str">
        <f aca="false">IF(S1095&lt;J1095,"SIM","NÃO")</f>
        <v>NÃO</v>
      </c>
      <c r="W1095" s="2" t="n">
        <v>7</v>
      </c>
      <c r="X1095" s="2" t="s">
        <v>156</v>
      </c>
    </row>
    <row r="1096" customFormat="false" ht="15" hidden="false" customHeight="false" outlineLevel="0" collapsed="false">
      <c r="A1096" s="2" t="n">
        <v>377540596</v>
      </c>
      <c r="B1096" s="29" t="n">
        <v>46250.6592592593</v>
      </c>
      <c r="C1096" s="2" t="s">
        <v>153</v>
      </c>
      <c r="D1096" s="2" t="s">
        <v>1243</v>
      </c>
      <c r="E1096" s="2" t="s">
        <v>81</v>
      </c>
      <c r="F1096" s="2" t="s">
        <v>107</v>
      </c>
      <c r="G1096" s="30" t="n">
        <v>37.2</v>
      </c>
      <c r="H1096" s="11" t="n">
        <v>429.99</v>
      </c>
      <c r="I1096" s="11" t="s">
        <v>155</v>
      </c>
      <c r="J1096" s="11" t="n">
        <v>113.01</v>
      </c>
      <c r="K1096" s="11" t="n">
        <v>93.97</v>
      </c>
      <c r="L1096" s="11" t="n">
        <v>0.43</v>
      </c>
      <c r="M1096" s="11" t="n">
        <v>0.86</v>
      </c>
      <c r="N1096" s="11" t="n">
        <v>1</v>
      </c>
      <c r="O1096" s="11" t="n">
        <v>4.5</v>
      </c>
      <c r="P1096" s="11" t="n">
        <v>2.28</v>
      </c>
      <c r="Q1096" s="11" t="n">
        <v>17.1</v>
      </c>
      <c r="R1096" s="11" t="n">
        <f aca="false">SUM(K1096:Q1096)</f>
        <v>120.14</v>
      </c>
      <c r="S1096" s="11" t="n">
        <f aca="false">R1096/(1-Resumo!$C$6)</f>
        <v>136.522727272727</v>
      </c>
      <c r="T1096" s="11" t="n">
        <f aca="false">S1096-J1096</f>
        <v>23.5127272727272</v>
      </c>
      <c r="U1096" s="12" t="n">
        <f aca="false">IFERROR(S1096/J1096-1,0)</f>
        <v>0.208058820217036</v>
      </c>
      <c r="V1096" s="2" t="str">
        <f aca="false">IF(S1096&lt;J1096,"SIM","NÃO")</f>
        <v>NÃO</v>
      </c>
      <c r="W1096" s="2" t="n">
        <v>5</v>
      </c>
      <c r="X1096" s="2" t="s">
        <v>156</v>
      </c>
    </row>
    <row r="1097" customFormat="false" ht="15" hidden="false" customHeight="false" outlineLevel="0" collapsed="false">
      <c r="A1097" s="2" t="n">
        <v>377547866</v>
      </c>
      <c r="B1097" s="29" t="n">
        <v>46250.6696643519</v>
      </c>
      <c r="C1097" s="2" t="s">
        <v>158</v>
      </c>
      <c r="D1097" s="2" t="s">
        <v>1244</v>
      </c>
      <c r="E1097" s="2" t="s">
        <v>81</v>
      </c>
      <c r="F1097" s="2" t="s">
        <v>107</v>
      </c>
      <c r="G1097" s="30" t="n">
        <v>36.8</v>
      </c>
      <c r="H1097" s="11" t="n">
        <v>444.99</v>
      </c>
      <c r="I1097" s="11" t="s">
        <v>155</v>
      </c>
      <c r="J1097" s="11" t="n">
        <v>113.09</v>
      </c>
      <c r="K1097" s="11" t="n">
        <v>93.97</v>
      </c>
      <c r="L1097" s="11" t="n">
        <v>0.445</v>
      </c>
      <c r="M1097" s="11" t="n">
        <v>0.89</v>
      </c>
      <c r="N1097" s="11" t="n">
        <v>1</v>
      </c>
      <c r="O1097" s="11" t="n">
        <v>4.5</v>
      </c>
      <c r="P1097" s="11" t="n">
        <v>2.22</v>
      </c>
      <c r="Q1097" s="11" t="n">
        <v>16.65</v>
      </c>
      <c r="R1097" s="11" t="n">
        <f aca="false">SUM(K1097:Q1097)</f>
        <v>119.675</v>
      </c>
      <c r="S1097" s="11" t="n">
        <f aca="false">R1097/(1-Resumo!$C$6)</f>
        <v>135.994318181818</v>
      </c>
      <c r="T1097" s="11" t="n">
        <f aca="false">S1097-J1097</f>
        <v>22.9043181818182</v>
      </c>
      <c r="U1097" s="12" t="n">
        <f aca="false">IFERROR(S1097/J1097-1,0)</f>
        <v>0.202531772763447</v>
      </c>
      <c r="V1097" s="2" t="str">
        <f aca="false">IF(S1097&lt;J1097,"SIM","NÃO")</f>
        <v>NÃO</v>
      </c>
      <c r="W1097" s="2" t="n">
        <v>5</v>
      </c>
      <c r="X1097" s="2" t="s">
        <v>156</v>
      </c>
    </row>
    <row r="1098" customFormat="false" ht="15" hidden="false" customHeight="false" outlineLevel="0" collapsed="false">
      <c r="A1098" s="2" t="n">
        <v>377547749</v>
      </c>
      <c r="B1098" s="29" t="n">
        <v>46250.6697222222</v>
      </c>
      <c r="C1098" s="2" t="s">
        <v>158</v>
      </c>
      <c r="D1098" s="2" t="s">
        <v>1245</v>
      </c>
      <c r="E1098" s="2" t="s">
        <v>78</v>
      </c>
      <c r="F1098" s="2" t="s">
        <v>112</v>
      </c>
      <c r="G1098" s="30" t="n">
        <v>81.7</v>
      </c>
      <c r="H1098" s="11" t="n">
        <v>563</v>
      </c>
      <c r="I1098" s="11" t="s">
        <v>155</v>
      </c>
      <c r="J1098" s="11" t="n">
        <v>161.8</v>
      </c>
      <c r="K1098" s="11" t="n">
        <v>167.99</v>
      </c>
      <c r="L1098" s="11" t="n">
        <v>0.563</v>
      </c>
      <c r="M1098" s="11" t="n">
        <v>1.126</v>
      </c>
      <c r="N1098" s="11" t="n">
        <v>1</v>
      </c>
      <c r="O1098" s="11" t="n">
        <v>4.5</v>
      </c>
      <c r="P1098" s="11" t="n">
        <v>4.92</v>
      </c>
      <c r="Q1098" s="11" t="n">
        <v>36.9</v>
      </c>
      <c r="R1098" s="11" t="n">
        <f aca="false">SUM(K1098:Q1098)</f>
        <v>216.999</v>
      </c>
      <c r="S1098" s="11" t="n">
        <f aca="false">R1098/(1-Resumo!$C$6)</f>
        <v>246.589772727273</v>
      </c>
      <c r="T1098" s="11" t="n">
        <f aca="false">S1098-J1098</f>
        <v>84.7897727272728</v>
      </c>
      <c r="U1098" s="12" t="n">
        <f aca="false">IFERROR(S1098/J1098-1,0)</f>
        <v>0.524040622541859</v>
      </c>
      <c r="V1098" s="2" t="str">
        <f aca="false">IF(S1098&lt;J1098,"SIM","NÃO")</f>
        <v>NÃO</v>
      </c>
      <c r="W1098" s="2" t="n">
        <v>5</v>
      </c>
      <c r="X1098" s="2" t="s">
        <v>156</v>
      </c>
    </row>
    <row r="1099" customFormat="false" ht="15" hidden="false" customHeight="false" outlineLevel="0" collapsed="false">
      <c r="A1099" s="2" t="n">
        <v>377544315</v>
      </c>
      <c r="B1099" s="29" t="n">
        <v>46250.6702662037</v>
      </c>
      <c r="C1099" s="2" t="s">
        <v>194</v>
      </c>
      <c r="D1099" s="2" t="s">
        <v>1246</v>
      </c>
      <c r="E1099" s="2" t="s">
        <v>78</v>
      </c>
      <c r="F1099" s="2" t="s">
        <v>105</v>
      </c>
      <c r="G1099" s="30" t="n">
        <v>15.05</v>
      </c>
      <c r="H1099" s="11" t="n">
        <v>228.79</v>
      </c>
      <c r="I1099" s="11" t="s">
        <v>350</v>
      </c>
      <c r="J1099" s="11" t="n">
        <v>63.84</v>
      </c>
      <c r="K1099" s="11" t="n">
        <v>46.98</v>
      </c>
      <c r="L1099" s="11" t="n">
        <v>0.2288</v>
      </c>
      <c r="M1099" s="11" t="n">
        <v>0.4576</v>
      </c>
      <c r="N1099" s="11" t="n">
        <v>1</v>
      </c>
      <c r="O1099" s="11" t="n">
        <v>4.5</v>
      </c>
      <c r="P1099" s="11" t="n">
        <v>0.96</v>
      </c>
      <c r="Q1099" s="11" t="n">
        <v>7.2</v>
      </c>
      <c r="R1099" s="11" t="n">
        <f aca="false">SUM(K1099:Q1099)</f>
        <v>61.3264</v>
      </c>
      <c r="S1099" s="11" t="n">
        <f aca="false">R1099/(1-Resumo!$C$6)</f>
        <v>69.6890909090909</v>
      </c>
      <c r="T1099" s="11" t="n">
        <f aca="false">S1099-J1099</f>
        <v>5.8490909090909</v>
      </c>
      <c r="U1099" s="12" t="n">
        <f aca="false">IFERROR(S1099/J1099-1,0)</f>
        <v>0.0916210982000454</v>
      </c>
      <c r="V1099" s="2" t="str">
        <f aca="false">IF(S1099&lt;J1099,"SIM","NÃO")</f>
        <v>NÃO</v>
      </c>
      <c r="W1099" s="2" t="n">
        <v>5</v>
      </c>
      <c r="X1099" s="2" t="s">
        <v>156</v>
      </c>
    </row>
    <row r="1100" customFormat="false" ht="15" hidden="false" customHeight="false" outlineLevel="0" collapsed="false">
      <c r="A1100" s="2" t="n">
        <v>377553221</v>
      </c>
      <c r="B1100" s="29" t="n">
        <v>46250.6785069444</v>
      </c>
      <c r="C1100" s="2" t="s">
        <v>153</v>
      </c>
      <c r="D1100" s="2" t="s">
        <v>1247</v>
      </c>
      <c r="E1100" s="2" t="s">
        <v>342</v>
      </c>
      <c r="F1100" s="2" t="s">
        <v>106</v>
      </c>
      <c r="G1100" s="30" t="n">
        <v>30.5</v>
      </c>
      <c r="H1100" s="11" t="n">
        <v>499.99</v>
      </c>
      <c r="I1100" s="11" t="s">
        <v>350</v>
      </c>
      <c r="J1100" s="11" t="n">
        <v>109.41</v>
      </c>
      <c r="K1100" s="11" t="n">
        <v>114.95</v>
      </c>
      <c r="L1100" s="11" t="n">
        <v>0.5</v>
      </c>
      <c r="M1100" s="11" t="n">
        <v>1</v>
      </c>
      <c r="N1100" s="11" t="n">
        <v>1</v>
      </c>
      <c r="O1100" s="11" t="n">
        <v>4.5</v>
      </c>
      <c r="P1100" s="11" t="n">
        <v>1.86</v>
      </c>
      <c r="Q1100" s="11" t="n">
        <v>13.95</v>
      </c>
      <c r="R1100" s="11" t="n">
        <f aca="false">SUM(K1100:Q1100)</f>
        <v>137.76</v>
      </c>
      <c r="S1100" s="11" t="n">
        <f aca="false">R1100/(1-Resumo!$C$6)</f>
        <v>156.545454545455</v>
      </c>
      <c r="T1100" s="11" t="n">
        <f aca="false">S1100-J1100</f>
        <v>47.1354545454545</v>
      </c>
      <c r="U1100" s="12" t="n">
        <f aca="false">IFERROR(S1100/J1100-1,0)</f>
        <v>0.430814866515442</v>
      </c>
      <c r="V1100" s="2" t="str">
        <f aca="false">IF(S1100&lt;J1100,"SIM","NÃO")</f>
        <v>NÃO</v>
      </c>
      <c r="W1100" s="2" t="n">
        <v>10</v>
      </c>
      <c r="X1100" s="2" t="s">
        <v>161</v>
      </c>
    </row>
    <row r="1101" customFormat="false" ht="15" hidden="false" customHeight="false" outlineLevel="0" collapsed="false">
      <c r="A1101" s="2" t="n">
        <v>377554795</v>
      </c>
      <c r="B1101" s="29" t="n">
        <v>46250.6811111111</v>
      </c>
      <c r="C1101" s="2" t="s">
        <v>198</v>
      </c>
      <c r="D1101" s="2" t="s">
        <v>1248</v>
      </c>
      <c r="E1101" s="2" t="s">
        <v>78</v>
      </c>
      <c r="F1101" s="2" t="s">
        <v>108</v>
      </c>
      <c r="G1101" s="30" t="n">
        <v>41</v>
      </c>
      <c r="H1101" s="11" t="n">
        <v>509.99</v>
      </c>
      <c r="I1101" s="11" t="s">
        <v>350</v>
      </c>
      <c r="J1101" s="11" t="n">
        <v>100.84</v>
      </c>
      <c r="K1101" s="11" t="n">
        <v>93.97</v>
      </c>
      <c r="L1101" s="11" t="n">
        <v>0.51</v>
      </c>
      <c r="M1101" s="11" t="n">
        <v>1.02</v>
      </c>
      <c r="N1101" s="11" t="n">
        <v>1</v>
      </c>
      <c r="O1101" s="11" t="n">
        <v>4.5</v>
      </c>
      <c r="P1101" s="11" t="n">
        <v>2.46</v>
      </c>
      <c r="Q1101" s="11" t="n">
        <v>18.45</v>
      </c>
      <c r="R1101" s="11" t="n">
        <f aca="false">SUM(K1101:Q1101)</f>
        <v>121.91</v>
      </c>
      <c r="S1101" s="11" t="n">
        <f aca="false">R1101/(1-Resumo!$C$6)</f>
        <v>138.534090909091</v>
      </c>
      <c r="T1101" s="11" t="n">
        <f aca="false">S1101-J1101</f>
        <v>37.6940909090909</v>
      </c>
      <c r="U1101" s="12" t="n">
        <f aca="false">IFERROR(S1101/J1101-1,0)</f>
        <v>0.373800980851754</v>
      </c>
      <c r="V1101" s="2" t="str">
        <f aca="false">IF(S1101&lt;J1101,"SIM","NÃO")</f>
        <v>NÃO</v>
      </c>
      <c r="W1101" s="2" t="n">
        <v>5</v>
      </c>
      <c r="X1101" s="2" t="s">
        <v>156</v>
      </c>
    </row>
    <row r="1102" customFormat="false" ht="15" hidden="false" customHeight="false" outlineLevel="0" collapsed="false">
      <c r="A1102" s="2" t="n">
        <v>377575083</v>
      </c>
      <c r="B1102" s="29" t="n">
        <v>46250.7134143519</v>
      </c>
      <c r="C1102" s="2" t="s">
        <v>153</v>
      </c>
      <c r="D1102" s="2" t="s">
        <v>1249</v>
      </c>
      <c r="E1102" s="2" t="s">
        <v>78</v>
      </c>
      <c r="F1102" s="2" t="s">
        <v>106</v>
      </c>
      <c r="G1102" s="30" t="n">
        <v>30.5</v>
      </c>
      <c r="H1102" s="11" t="n">
        <v>413.55</v>
      </c>
      <c r="I1102" s="11" t="s">
        <v>155</v>
      </c>
      <c r="J1102" s="11" t="n">
        <v>82.32</v>
      </c>
      <c r="K1102" s="11" t="n">
        <v>82.21</v>
      </c>
      <c r="L1102" s="11" t="n">
        <v>0.4136</v>
      </c>
      <c r="M1102" s="11" t="n">
        <v>0.8271</v>
      </c>
      <c r="N1102" s="11" t="n">
        <v>1</v>
      </c>
      <c r="O1102" s="11" t="n">
        <v>4.5</v>
      </c>
      <c r="P1102" s="11" t="n">
        <v>1.86</v>
      </c>
      <c r="Q1102" s="11" t="n">
        <v>13.95</v>
      </c>
      <c r="R1102" s="11" t="n">
        <f aca="false">SUM(K1102:Q1102)</f>
        <v>104.7607</v>
      </c>
      <c r="S1102" s="11" t="n">
        <f aca="false">R1102/(1-Resumo!$C$6)</f>
        <v>119.04625</v>
      </c>
      <c r="T1102" s="11" t="n">
        <f aca="false">S1102-J1102</f>
        <v>36.72625</v>
      </c>
      <c r="U1102" s="12" t="n">
        <f aca="false">IFERROR(S1102/J1102-1,0)</f>
        <v>0.446140063168125</v>
      </c>
      <c r="V1102" s="2" t="str">
        <f aca="false">IF(S1102&lt;J1102,"SIM","NÃO")</f>
        <v>NÃO</v>
      </c>
      <c r="W1102" s="2" t="n">
        <v>5</v>
      </c>
      <c r="X1102" s="2" t="s">
        <v>156</v>
      </c>
    </row>
    <row r="1103" customFormat="false" ht="15" hidden="false" customHeight="false" outlineLevel="0" collapsed="false">
      <c r="A1103" s="2" t="n">
        <v>377591884</v>
      </c>
      <c r="B1103" s="29" t="n">
        <v>46250.7393402778</v>
      </c>
      <c r="C1103" s="2" t="s">
        <v>153</v>
      </c>
      <c r="D1103" s="2" t="s">
        <v>1250</v>
      </c>
      <c r="E1103" s="2" t="s">
        <v>80</v>
      </c>
      <c r="F1103" s="2" t="s">
        <v>109</v>
      </c>
      <c r="G1103" s="30" t="n">
        <v>59.9</v>
      </c>
      <c r="H1103" s="11" t="n">
        <v>901.58</v>
      </c>
      <c r="I1103" s="11" t="s">
        <v>155</v>
      </c>
      <c r="J1103" s="11" t="n">
        <v>129.6</v>
      </c>
      <c r="K1103" s="11" t="n">
        <v>112.3</v>
      </c>
      <c r="L1103" s="11" t="n">
        <v>0.9016</v>
      </c>
      <c r="M1103" s="11" t="n">
        <v>1.8032</v>
      </c>
      <c r="N1103" s="11" t="n">
        <v>1</v>
      </c>
      <c r="O1103" s="11" t="n">
        <v>4.5</v>
      </c>
      <c r="P1103" s="11" t="n">
        <v>3.6</v>
      </c>
      <c r="Q1103" s="11" t="n">
        <v>27</v>
      </c>
      <c r="R1103" s="11" t="n">
        <f aca="false">SUM(K1103:Q1103)</f>
        <v>151.1048</v>
      </c>
      <c r="S1103" s="11" t="n">
        <f aca="false">R1103/(1-Resumo!$C$6)</f>
        <v>171.71</v>
      </c>
      <c r="T1103" s="11" t="n">
        <f aca="false">S1103-J1103</f>
        <v>42.11</v>
      </c>
      <c r="U1103" s="12" t="n">
        <f aca="false">IFERROR(S1103/J1103-1,0)</f>
        <v>0.324922839506173</v>
      </c>
      <c r="V1103" s="2" t="str">
        <f aca="false">IF(S1103&lt;J1103,"SIM","NÃO")</f>
        <v>NÃO</v>
      </c>
      <c r="W1103" s="2" t="n">
        <v>5</v>
      </c>
      <c r="X1103" s="2" t="s">
        <v>156</v>
      </c>
    </row>
    <row r="1104" customFormat="false" ht="15" hidden="false" customHeight="false" outlineLevel="0" collapsed="false">
      <c r="A1104" s="2" t="n">
        <v>377666582</v>
      </c>
      <c r="B1104" s="29" t="n">
        <v>46250.749375</v>
      </c>
      <c r="C1104" s="2" t="s">
        <v>158</v>
      </c>
      <c r="D1104" s="2" t="s">
        <v>1251</v>
      </c>
      <c r="E1104" s="2" t="s">
        <v>79</v>
      </c>
      <c r="F1104" s="2" t="s">
        <v>109</v>
      </c>
      <c r="G1104" s="30" t="n">
        <v>52.3</v>
      </c>
      <c r="H1104" s="11" t="n">
        <v>640.18</v>
      </c>
      <c r="I1104" s="11" t="s">
        <v>350</v>
      </c>
      <c r="J1104" s="11" t="n">
        <v>127.4</v>
      </c>
      <c r="K1104" s="11" t="n">
        <v>128.14</v>
      </c>
      <c r="L1104" s="11" t="n">
        <v>0.6402</v>
      </c>
      <c r="M1104" s="11" t="n">
        <v>1.2804</v>
      </c>
      <c r="N1104" s="11" t="n">
        <v>1</v>
      </c>
      <c r="O1104" s="11" t="n">
        <v>4.5</v>
      </c>
      <c r="P1104" s="11" t="n">
        <v>3.18</v>
      </c>
      <c r="Q1104" s="11" t="n">
        <v>23.85</v>
      </c>
      <c r="R1104" s="11" t="n">
        <f aca="false">SUM(K1104:Q1104)</f>
        <v>162.5906</v>
      </c>
      <c r="S1104" s="11" t="n">
        <f aca="false">R1104/(1-Resumo!$C$6)</f>
        <v>184.762045454545</v>
      </c>
      <c r="T1104" s="11" t="n">
        <f aca="false">S1104-J1104</f>
        <v>57.3620454545454</v>
      </c>
      <c r="U1104" s="12" t="n">
        <f aca="false">IFERROR(S1104/J1104-1,0)</f>
        <v>0.450251534180105</v>
      </c>
      <c r="V1104" s="2" t="str">
        <f aca="false">IF(S1104&lt;J1104,"SIM","NÃO")</f>
        <v>NÃO</v>
      </c>
      <c r="W1104" s="2" t="n">
        <v>7</v>
      </c>
      <c r="X1104" s="2" t="s">
        <v>156</v>
      </c>
    </row>
    <row r="1105" customFormat="false" ht="15" hidden="false" customHeight="false" outlineLevel="0" collapsed="false">
      <c r="A1105" s="2" t="n">
        <v>377603216</v>
      </c>
      <c r="B1105" s="29" t="n">
        <v>46250.7569328704</v>
      </c>
      <c r="C1105" s="2" t="s">
        <v>153</v>
      </c>
      <c r="D1105" s="2" t="s">
        <v>492</v>
      </c>
      <c r="E1105" s="2" t="s">
        <v>493</v>
      </c>
      <c r="F1105" s="2" t="s">
        <v>106</v>
      </c>
      <c r="G1105" s="30" t="n">
        <v>27</v>
      </c>
      <c r="H1105" s="11" t="n">
        <v>329.99</v>
      </c>
      <c r="I1105" s="11" t="s">
        <v>350</v>
      </c>
      <c r="J1105" s="11" t="n">
        <v>106.55</v>
      </c>
      <c r="K1105" s="11" t="n">
        <v>108.83</v>
      </c>
      <c r="L1105" s="11" t="n">
        <v>0.33</v>
      </c>
      <c r="M1105" s="11" t="n">
        <v>0.66</v>
      </c>
      <c r="N1105" s="11" t="n">
        <v>1</v>
      </c>
      <c r="O1105" s="11" t="n">
        <v>4.5</v>
      </c>
      <c r="P1105" s="11" t="n">
        <v>1.62</v>
      </c>
      <c r="Q1105" s="11" t="n">
        <v>12.15</v>
      </c>
      <c r="R1105" s="11" t="n">
        <f aca="false">SUM(K1105:Q1105)</f>
        <v>129.09</v>
      </c>
      <c r="S1105" s="11" t="n">
        <f aca="false">R1105/(1-Resumo!$C$6)</f>
        <v>146.693181818182</v>
      </c>
      <c r="T1105" s="11" t="n">
        <f aca="false">S1105-J1105</f>
        <v>40.1431818181818</v>
      </c>
      <c r="U1105" s="12" t="n">
        <f aca="false">IFERROR(S1105/J1105-1,0)</f>
        <v>0.376754404675568</v>
      </c>
      <c r="V1105" s="2" t="str">
        <f aca="false">IF(S1105&lt;J1105,"SIM","NÃO")</f>
        <v>NÃO</v>
      </c>
      <c r="W1105" s="2" t="n">
        <v>10</v>
      </c>
      <c r="X1105" s="2" t="s">
        <v>161</v>
      </c>
    </row>
    <row r="1106" customFormat="false" ht="15" hidden="false" customHeight="false" outlineLevel="0" collapsed="false">
      <c r="A1106" s="2" t="n">
        <v>377614421</v>
      </c>
      <c r="B1106" s="29" t="n">
        <v>46250.7797106481</v>
      </c>
      <c r="C1106" s="2" t="s">
        <v>153</v>
      </c>
      <c r="D1106" s="2" t="s">
        <v>1252</v>
      </c>
      <c r="E1106" s="2" t="s">
        <v>78</v>
      </c>
      <c r="F1106" s="2" t="s">
        <v>109</v>
      </c>
      <c r="G1106" s="30" t="n">
        <v>52.3</v>
      </c>
      <c r="H1106" s="11" t="n">
        <v>577.12</v>
      </c>
      <c r="I1106" s="11" t="s">
        <v>155</v>
      </c>
      <c r="J1106" s="11" t="n">
        <v>113.91</v>
      </c>
      <c r="K1106" s="11" t="n">
        <v>112.3</v>
      </c>
      <c r="L1106" s="11" t="n">
        <v>0.5771</v>
      </c>
      <c r="M1106" s="11" t="n">
        <v>1.1542</v>
      </c>
      <c r="N1106" s="11" t="n">
        <v>1</v>
      </c>
      <c r="O1106" s="11" t="n">
        <v>4.5</v>
      </c>
      <c r="P1106" s="11" t="n">
        <v>3.18</v>
      </c>
      <c r="Q1106" s="11" t="n">
        <v>23.85</v>
      </c>
      <c r="R1106" s="11" t="n">
        <f aca="false">SUM(K1106:Q1106)</f>
        <v>146.5613</v>
      </c>
      <c r="S1106" s="11" t="n">
        <f aca="false">R1106/(1-Resumo!$C$6)</f>
        <v>166.546931818182</v>
      </c>
      <c r="T1106" s="11" t="n">
        <f aca="false">S1106-J1106</f>
        <v>52.6369318181818</v>
      </c>
      <c r="U1106" s="12" t="n">
        <f aca="false">IFERROR(S1106/J1106-1,0)</f>
        <v>0.46209228178546</v>
      </c>
      <c r="V1106" s="2" t="str">
        <f aca="false">IF(S1106&lt;J1106,"SIM","NÃO")</f>
        <v>NÃO</v>
      </c>
      <c r="W1106" s="2" t="n">
        <v>5</v>
      </c>
      <c r="X1106" s="2" t="s">
        <v>156</v>
      </c>
    </row>
    <row r="1107" customFormat="false" ht="15" hidden="false" customHeight="false" outlineLevel="0" collapsed="false">
      <c r="A1107" s="2" t="n">
        <v>377625507</v>
      </c>
      <c r="B1107" s="29" t="n">
        <v>46250.8038078704</v>
      </c>
      <c r="C1107" s="2" t="s">
        <v>153</v>
      </c>
      <c r="D1107" s="2" t="s">
        <v>1253</v>
      </c>
      <c r="E1107" s="2" t="s">
        <v>88</v>
      </c>
      <c r="F1107" s="2" t="s">
        <v>109</v>
      </c>
      <c r="G1107" s="30" t="n">
        <v>59.9</v>
      </c>
      <c r="H1107" s="11" t="n">
        <v>901.58</v>
      </c>
      <c r="I1107" s="11" t="s">
        <v>350</v>
      </c>
      <c r="J1107" s="11" t="n">
        <v>146.55</v>
      </c>
      <c r="K1107" s="11" t="n">
        <v>142.32</v>
      </c>
      <c r="L1107" s="11" t="n">
        <v>0.9016</v>
      </c>
      <c r="M1107" s="11" t="n">
        <v>1.8032</v>
      </c>
      <c r="N1107" s="11" t="n">
        <v>1</v>
      </c>
      <c r="O1107" s="11" t="n">
        <v>4.5</v>
      </c>
      <c r="P1107" s="11" t="n">
        <v>3.6</v>
      </c>
      <c r="Q1107" s="11" t="n">
        <v>27</v>
      </c>
      <c r="R1107" s="11" t="n">
        <f aca="false">SUM(K1107:Q1107)</f>
        <v>181.1248</v>
      </c>
      <c r="S1107" s="11" t="n">
        <f aca="false">R1107/(1-Resumo!$C$6)</f>
        <v>205.823636363636</v>
      </c>
      <c r="T1107" s="11" t="n">
        <f aca="false">S1107-J1107</f>
        <v>59.2736363636363</v>
      </c>
      <c r="U1107" s="12" t="n">
        <f aca="false">IFERROR(S1107/J1107-1,0)</f>
        <v>0.404460159424335</v>
      </c>
      <c r="V1107" s="2" t="str">
        <f aca="false">IF(S1107&lt;J1107,"SIM","NÃO")</f>
        <v>NÃO</v>
      </c>
      <c r="W1107" s="2" t="n">
        <v>10</v>
      </c>
      <c r="X1107" s="2" t="s">
        <v>156</v>
      </c>
    </row>
    <row r="1108" customFormat="false" ht="15" hidden="false" customHeight="false" outlineLevel="0" collapsed="false">
      <c r="A1108" s="2" t="n">
        <v>377630378</v>
      </c>
      <c r="B1108" s="29" t="n">
        <v>46250.8123726852</v>
      </c>
      <c r="C1108" s="2" t="s">
        <v>153</v>
      </c>
      <c r="D1108" s="2" t="s">
        <v>817</v>
      </c>
      <c r="E1108" s="2" t="s">
        <v>78</v>
      </c>
      <c r="F1108" s="2" t="s">
        <v>106</v>
      </c>
      <c r="G1108" s="30" t="n">
        <v>27.5</v>
      </c>
      <c r="H1108" s="11" t="n">
        <v>342.07</v>
      </c>
      <c r="I1108" s="11" t="s">
        <v>155</v>
      </c>
      <c r="J1108" s="11" t="n">
        <v>81.95</v>
      </c>
      <c r="K1108" s="11" t="n">
        <v>82.21</v>
      </c>
      <c r="L1108" s="11" t="n">
        <v>0.3421</v>
      </c>
      <c r="M1108" s="11" t="n">
        <v>0.6841</v>
      </c>
      <c r="N1108" s="11" t="n">
        <v>1</v>
      </c>
      <c r="O1108" s="11" t="n">
        <v>4.5</v>
      </c>
      <c r="P1108" s="11" t="n">
        <v>1.68</v>
      </c>
      <c r="Q1108" s="11" t="n">
        <v>12.6</v>
      </c>
      <c r="R1108" s="11" t="n">
        <f aca="false">SUM(K1108:Q1108)</f>
        <v>103.0162</v>
      </c>
      <c r="S1108" s="11" t="n">
        <f aca="false">R1108/(1-Resumo!$C$6)</f>
        <v>117.063863636364</v>
      </c>
      <c r="T1108" s="11" t="n">
        <f aca="false">S1108-J1108</f>
        <v>35.1138636363636</v>
      </c>
      <c r="U1108" s="12" t="n">
        <f aca="false">IFERROR(S1108/J1108-1,0)</f>
        <v>0.428479116978202</v>
      </c>
      <c r="V1108" s="2" t="str">
        <f aca="false">IF(S1108&lt;J1108,"SIM","NÃO")</f>
        <v>NÃO</v>
      </c>
      <c r="W1108" s="2" t="n">
        <v>5</v>
      </c>
      <c r="X1108" s="2" t="s">
        <v>156</v>
      </c>
    </row>
    <row r="1109" customFormat="false" ht="15" hidden="false" customHeight="false" outlineLevel="0" collapsed="false">
      <c r="A1109" s="2" t="n">
        <v>377640403</v>
      </c>
      <c r="B1109" s="29" t="n">
        <v>46250.8284953704</v>
      </c>
      <c r="C1109" s="2" t="s">
        <v>153</v>
      </c>
      <c r="D1109" s="2" t="s">
        <v>1254</v>
      </c>
      <c r="E1109" s="2" t="s">
        <v>78</v>
      </c>
      <c r="F1109" s="2" t="s">
        <v>107</v>
      </c>
      <c r="G1109" s="30" t="n">
        <v>39.8</v>
      </c>
      <c r="H1109" s="11" t="n">
        <v>449.99</v>
      </c>
      <c r="I1109" s="11" t="s">
        <v>155</v>
      </c>
      <c r="J1109" s="11" t="n">
        <v>92.01</v>
      </c>
      <c r="K1109" s="11" t="n">
        <v>93.97</v>
      </c>
      <c r="L1109" s="11" t="n">
        <v>0.45</v>
      </c>
      <c r="M1109" s="11" t="n">
        <v>0.9</v>
      </c>
      <c r="N1109" s="11" t="n">
        <v>1</v>
      </c>
      <c r="O1109" s="11" t="n">
        <v>4.5</v>
      </c>
      <c r="P1109" s="11" t="n">
        <v>2.4</v>
      </c>
      <c r="Q1109" s="11" t="n">
        <v>18</v>
      </c>
      <c r="R1109" s="11" t="n">
        <f aca="false">SUM(K1109:Q1109)</f>
        <v>121.22</v>
      </c>
      <c r="S1109" s="11" t="n">
        <f aca="false">R1109/(1-Resumo!$C$6)</f>
        <v>137.75</v>
      </c>
      <c r="T1109" s="11" t="n">
        <f aca="false">S1109-J1109</f>
        <v>45.74</v>
      </c>
      <c r="U1109" s="12" t="n">
        <f aca="false">IFERROR(S1109/J1109-1,0)</f>
        <v>0.497119878274101</v>
      </c>
      <c r="V1109" s="2" t="str">
        <f aca="false">IF(S1109&lt;J1109,"SIM","NÃO")</f>
        <v>NÃO</v>
      </c>
      <c r="W1109" s="2" t="n">
        <v>5</v>
      </c>
      <c r="X1109" s="2" t="s">
        <v>156</v>
      </c>
    </row>
    <row r="1110" customFormat="false" ht="15" hidden="false" customHeight="false" outlineLevel="0" collapsed="false">
      <c r="A1110" s="2" t="n">
        <v>377648057</v>
      </c>
      <c r="B1110" s="29" t="n">
        <v>46250.8415856482</v>
      </c>
      <c r="C1110" s="2" t="s">
        <v>153</v>
      </c>
      <c r="D1110" s="2" t="s">
        <v>1255</v>
      </c>
      <c r="E1110" s="2" t="s">
        <v>81</v>
      </c>
      <c r="F1110" s="2" t="s">
        <v>106</v>
      </c>
      <c r="G1110" s="30" t="n">
        <v>30.5</v>
      </c>
      <c r="H1110" s="11" t="n">
        <v>413.55</v>
      </c>
      <c r="I1110" s="11" t="s">
        <v>155</v>
      </c>
      <c r="J1110" s="11" t="n">
        <v>101.37</v>
      </c>
      <c r="K1110" s="11" t="n">
        <v>82.21</v>
      </c>
      <c r="L1110" s="11" t="n">
        <v>0.4136</v>
      </c>
      <c r="M1110" s="11" t="n">
        <v>0.8271</v>
      </c>
      <c r="N1110" s="11" t="n">
        <v>1</v>
      </c>
      <c r="O1110" s="11" t="n">
        <v>4.5</v>
      </c>
      <c r="P1110" s="11" t="n">
        <v>1.86</v>
      </c>
      <c r="Q1110" s="11" t="n">
        <v>13.95</v>
      </c>
      <c r="R1110" s="11" t="n">
        <f aca="false">SUM(K1110:Q1110)</f>
        <v>104.7607</v>
      </c>
      <c r="S1110" s="11" t="n">
        <f aca="false">R1110/(1-Resumo!$C$6)</f>
        <v>119.04625</v>
      </c>
      <c r="T1110" s="11" t="n">
        <f aca="false">S1110-J1110</f>
        <v>17.67625</v>
      </c>
      <c r="U1110" s="12" t="n">
        <f aca="false">IFERROR(S1110/J1110-1,0)</f>
        <v>0.174373581927592</v>
      </c>
      <c r="V1110" s="2" t="str">
        <f aca="false">IF(S1110&lt;J1110,"SIM","NÃO")</f>
        <v>NÃO</v>
      </c>
      <c r="W1110" s="2" t="n">
        <v>5</v>
      </c>
      <c r="X1110" s="2" t="s">
        <v>156</v>
      </c>
    </row>
    <row r="1111" customFormat="false" ht="15" hidden="false" customHeight="false" outlineLevel="0" collapsed="false">
      <c r="A1111" s="2" t="n">
        <v>377650352</v>
      </c>
      <c r="B1111" s="29" t="n">
        <v>46250.8458101852</v>
      </c>
      <c r="C1111" s="2" t="s">
        <v>153</v>
      </c>
      <c r="D1111" s="2" t="s">
        <v>1256</v>
      </c>
      <c r="E1111" s="2" t="s">
        <v>172</v>
      </c>
      <c r="F1111" s="2" t="s">
        <v>110</v>
      </c>
      <c r="G1111" s="30" t="n">
        <v>68.74</v>
      </c>
      <c r="H1111" s="11" t="n">
        <v>999.99</v>
      </c>
      <c r="I1111" s="11" t="s">
        <v>350</v>
      </c>
      <c r="J1111" s="11" t="n">
        <v>159.15</v>
      </c>
      <c r="K1111" s="11" t="n">
        <v>166.05</v>
      </c>
      <c r="L1111" s="11" t="n">
        <v>1</v>
      </c>
      <c r="M1111" s="11" t="n">
        <v>2</v>
      </c>
      <c r="N1111" s="11" t="n">
        <v>1</v>
      </c>
      <c r="O1111" s="11" t="n">
        <v>4.5</v>
      </c>
      <c r="P1111" s="11" t="n">
        <v>4.14</v>
      </c>
      <c r="Q1111" s="11" t="n">
        <v>31.05</v>
      </c>
      <c r="R1111" s="11" t="n">
        <f aca="false">SUM(K1111:Q1111)</f>
        <v>209.74</v>
      </c>
      <c r="S1111" s="11" t="n">
        <f aca="false">R1111/(1-Resumo!$C$6)</f>
        <v>238.340909090909</v>
      </c>
      <c r="T1111" s="11" t="n">
        <f aca="false">S1111-J1111</f>
        <v>79.1909090909091</v>
      </c>
      <c r="U1111" s="12" t="n">
        <f aca="false">IFERROR(S1111/J1111-1,0)</f>
        <v>0.497586610687459</v>
      </c>
      <c r="V1111" s="2" t="str">
        <f aca="false">IF(S1111&lt;J1111,"SIM","NÃO")</f>
        <v>NÃO</v>
      </c>
      <c r="W1111" s="2" t="n">
        <v>8</v>
      </c>
      <c r="X1111" s="2" t="s">
        <v>161</v>
      </c>
    </row>
    <row r="1112" customFormat="false" ht="15" hidden="false" customHeight="false" outlineLevel="0" collapsed="false">
      <c r="A1112" s="2" t="n">
        <v>377654012</v>
      </c>
      <c r="B1112" s="29" t="n">
        <v>46250.8520717593</v>
      </c>
      <c r="C1112" s="2" t="s">
        <v>153</v>
      </c>
      <c r="D1112" s="2" t="s">
        <v>1257</v>
      </c>
      <c r="E1112" s="2" t="s">
        <v>78</v>
      </c>
      <c r="F1112" s="2" t="s">
        <v>109</v>
      </c>
      <c r="G1112" s="30" t="n">
        <v>52.3</v>
      </c>
      <c r="H1112" s="11" t="n">
        <v>699.99</v>
      </c>
      <c r="I1112" s="11" t="s">
        <v>155</v>
      </c>
      <c r="J1112" s="11" t="n">
        <v>114.5</v>
      </c>
      <c r="K1112" s="11" t="n">
        <v>112.3</v>
      </c>
      <c r="L1112" s="11" t="n">
        <v>0.7</v>
      </c>
      <c r="M1112" s="11" t="n">
        <v>1.4</v>
      </c>
      <c r="N1112" s="11" t="n">
        <v>1</v>
      </c>
      <c r="O1112" s="11" t="n">
        <v>4.5</v>
      </c>
      <c r="P1112" s="11" t="n">
        <v>3.18</v>
      </c>
      <c r="Q1112" s="11" t="n">
        <v>23.85</v>
      </c>
      <c r="R1112" s="11" t="n">
        <f aca="false">SUM(K1112:Q1112)</f>
        <v>146.93</v>
      </c>
      <c r="S1112" s="11" t="n">
        <f aca="false">R1112/(1-Resumo!$C$6)</f>
        <v>166.965909090909</v>
      </c>
      <c r="T1112" s="11" t="n">
        <f aca="false">S1112-J1112</f>
        <v>52.4659090909091</v>
      </c>
      <c r="U1112" s="12" t="n">
        <f aca="false">IFERROR(S1112/J1112-1,0)</f>
        <v>0.458217546645494</v>
      </c>
      <c r="V1112" s="2" t="str">
        <f aca="false">IF(S1112&lt;J1112,"SIM","NÃO")</f>
        <v>NÃO</v>
      </c>
      <c r="W1112" s="2" t="n">
        <v>5</v>
      </c>
      <c r="X1112" s="2" t="s">
        <v>156</v>
      </c>
    </row>
    <row r="1113" customFormat="false" ht="15" hidden="false" customHeight="false" outlineLevel="0" collapsed="false">
      <c r="A1113" s="2" t="n">
        <v>377657527</v>
      </c>
      <c r="B1113" s="29" t="n">
        <v>46250.8632291667</v>
      </c>
      <c r="C1113" s="2" t="s">
        <v>191</v>
      </c>
      <c r="D1113" s="2" t="s">
        <v>1258</v>
      </c>
      <c r="E1113" s="2" t="s">
        <v>84</v>
      </c>
      <c r="F1113" s="2" t="s">
        <v>110</v>
      </c>
      <c r="G1113" s="30" t="n">
        <v>66.8</v>
      </c>
      <c r="H1113" s="11" t="n">
        <v>749.99</v>
      </c>
      <c r="I1113" s="11" t="s">
        <v>350</v>
      </c>
      <c r="J1113" s="11" t="n">
        <v>141.41</v>
      </c>
      <c r="K1113" s="11" t="n">
        <v>131.02</v>
      </c>
      <c r="L1113" s="11" t="n">
        <v>0.75</v>
      </c>
      <c r="M1113" s="11" t="n">
        <v>1.5</v>
      </c>
      <c r="N1113" s="11" t="n">
        <v>1</v>
      </c>
      <c r="O1113" s="11" t="n">
        <v>4.5</v>
      </c>
      <c r="P1113" s="11" t="n">
        <v>4.02</v>
      </c>
      <c r="Q1113" s="11" t="n">
        <v>30.15</v>
      </c>
      <c r="R1113" s="11" t="n">
        <f aca="false">SUM(K1113:Q1113)</f>
        <v>172.94</v>
      </c>
      <c r="S1113" s="11" t="n">
        <f aca="false">R1113/(1-Resumo!$C$6)</f>
        <v>196.522727272727</v>
      </c>
      <c r="T1113" s="11" t="n">
        <f aca="false">S1113-J1113</f>
        <v>55.1127272727273</v>
      </c>
      <c r="U1113" s="12" t="n">
        <f aca="false">IFERROR(S1113/J1113-1,0)</f>
        <v>0.389737128015892</v>
      </c>
      <c r="V1113" s="2" t="str">
        <f aca="false">IF(S1113&lt;J1113,"SIM","NÃO")</f>
        <v>NÃO</v>
      </c>
      <c r="W1113" s="2" t="n">
        <v>5</v>
      </c>
      <c r="X1113" s="2" t="s">
        <v>156</v>
      </c>
    </row>
    <row r="1114" customFormat="false" ht="15" hidden="false" customHeight="false" outlineLevel="0" collapsed="false">
      <c r="A1114" s="2" t="n">
        <v>377663501</v>
      </c>
      <c r="B1114" s="29" t="n">
        <v>46250.8693055556</v>
      </c>
      <c r="C1114" s="2" t="s">
        <v>153</v>
      </c>
      <c r="D1114" s="2" t="s">
        <v>394</v>
      </c>
      <c r="E1114" s="2" t="s">
        <v>78</v>
      </c>
      <c r="F1114" s="2" t="s">
        <v>105</v>
      </c>
      <c r="G1114" s="30" t="n">
        <v>17.2</v>
      </c>
      <c r="H1114" s="11" t="n">
        <v>269.99</v>
      </c>
      <c r="I1114" s="11" t="s">
        <v>155</v>
      </c>
      <c r="J1114" s="11" t="n">
        <v>64.51</v>
      </c>
      <c r="K1114" s="11" t="n">
        <v>46.98</v>
      </c>
      <c r="L1114" s="11" t="n">
        <v>0.27</v>
      </c>
      <c r="M1114" s="11" t="n">
        <v>0.54</v>
      </c>
      <c r="N1114" s="11" t="n">
        <v>1</v>
      </c>
      <c r="O1114" s="11" t="n">
        <v>4.5</v>
      </c>
      <c r="P1114" s="11" t="n">
        <v>1.08</v>
      </c>
      <c r="Q1114" s="11" t="n">
        <v>8.1</v>
      </c>
      <c r="R1114" s="11" t="n">
        <f aca="false">SUM(K1114:Q1114)</f>
        <v>62.47</v>
      </c>
      <c r="S1114" s="11" t="n">
        <f aca="false">R1114/(1-Resumo!$C$6)</f>
        <v>70.9886363636364</v>
      </c>
      <c r="T1114" s="11" t="n">
        <f aca="false">S1114-J1114</f>
        <v>6.47863636363636</v>
      </c>
      <c r="U1114" s="12" t="n">
        <f aca="false">IFERROR(S1114/J1114-1,0)</f>
        <v>0.100428404334775</v>
      </c>
      <c r="V1114" s="2" t="str">
        <f aca="false">IF(S1114&lt;J1114,"SIM","NÃO")</f>
        <v>NÃO</v>
      </c>
      <c r="W1114" s="2" t="n">
        <v>5</v>
      </c>
      <c r="X1114" s="2" t="s">
        <v>156</v>
      </c>
    </row>
    <row r="1115" customFormat="false" ht="15" hidden="false" customHeight="false" outlineLevel="0" collapsed="false">
      <c r="A1115" s="2" t="n">
        <v>377665813</v>
      </c>
      <c r="B1115" s="29" t="n">
        <v>46250.8774537037</v>
      </c>
      <c r="C1115" s="2" t="s">
        <v>178</v>
      </c>
      <c r="D1115" s="2" t="s">
        <v>1259</v>
      </c>
      <c r="E1115" s="2" t="s">
        <v>78</v>
      </c>
      <c r="F1115" s="2" t="s">
        <v>107</v>
      </c>
      <c r="G1115" s="30" t="n">
        <v>39.8</v>
      </c>
      <c r="H1115" s="11" t="n">
        <v>629.99</v>
      </c>
      <c r="I1115" s="11" t="s">
        <v>155</v>
      </c>
      <c r="J1115" s="11" t="n">
        <v>92.87</v>
      </c>
      <c r="K1115" s="11" t="n">
        <v>93.97</v>
      </c>
      <c r="L1115" s="11" t="n">
        <v>0.63</v>
      </c>
      <c r="M1115" s="11" t="n">
        <v>1.26</v>
      </c>
      <c r="N1115" s="11" t="n">
        <v>1</v>
      </c>
      <c r="O1115" s="11" t="n">
        <v>4.5</v>
      </c>
      <c r="P1115" s="11" t="n">
        <v>2.4</v>
      </c>
      <c r="Q1115" s="11" t="n">
        <v>18</v>
      </c>
      <c r="R1115" s="11" t="n">
        <f aca="false">SUM(K1115:Q1115)</f>
        <v>121.76</v>
      </c>
      <c r="S1115" s="11" t="n">
        <f aca="false">R1115/(1-Resumo!$C$6)</f>
        <v>138.363636363636</v>
      </c>
      <c r="T1115" s="11" t="n">
        <f aca="false">S1115-J1115</f>
        <v>45.4936363636364</v>
      </c>
      <c r="U1115" s="12" t="n">
        <f aca="false">IFERROR(S1115/J1115-1,0)</f>
        <v>0.489863641258064</v>
      </c>
      <c r="V1115" s="2" t="str">
        <f aca="false">IF(S1115&lt;J1115,"SIM","NÃO")</f>
        <v>NÃO</v>
      </c>
      <c r="W1115" s="2" t="n">
        <v>5</v>
      </c>
      <c r="X1115" s="2" t="s">
        <v>156</v>
      </c>
    </row>
    <row r="1116" customFormat="false" ht="15" hidden="false" customHeight="false" outlineLevel="0" collapsed="false">
      <c r="A1116" s="2" t="n">
        <v>377681242</v>
      </c>
      <c r="B1116" s="29" t="n">
        <v>46250.9013541667</v>
      </c>
      <c r="C1116" s="2" t="s">
        <v>158</v>
      </c>
      <c r="D1116" s="2" t="s">
        <v>1260</v>
      </c>
      <c r="E1116" s="2" t="s">
        <v>79</v>
      </c>
      <c r="F1116" s="2" t="s">
        <v>109</v>
      </c>
      <c r="G1116" s="30" t="n">
        <v>56.7</v>
      </c>
      <c r="H1116" s="11" t="n">
        <v>613</v>
      </c>
      <c r="I1116" s="11" t="s">
        <v>350</v>
      </c>
      <c r="J1116" s="11" t="n">
        <v>129.33</v>
      </c>
      <c r="K1116" s="11" t="n">
        <v>128.14</v>
      </c>
      <c r="L1116" s="11" t="n">
        <v>0.613</v>
      </c>
      <c r="M1116" s="11" t="n">
        <v>1.226</v>
      </c>
      <c r="N1116" s="11" t="n">
        <v>1</v>
      </c>
      <c r="O1116" s="11" t="n">
        <v>4.5</v>
      </c>
      <c r="P1116" s="11" t="n">
        <v>3.42</v>
      </c>
      <c r="Q1116" s="11" t="n">
        <v>25.65</v>
      </c>
      <c r="R1116" s="11" t="n">
        <f aca="false">SUM(K1116:Q1116)</f>
        <v>164.549</v>
      </c>
      <c r="S1116" s="11" t="n">
        <f aca="false">R1116/(1-Resumo!$C$6)</f>
        <v>186.9875</v>
      </c>
      <c r="T1116" s="11" t="n">
        <f aca="false">S1116-J1116</f>
        <v>57.6575</v>
      </c>
      <c r="U1116" s="12" t="n">
        <f aca="false">IFERROR(S1116/J1116-1,0)</f>
        <v>0.445816902497487</v>
      </c>
      <c r="V1116" s="2" t="str">
        <f aca="false">IF(S1116&lt;J1116,"SIM","NÃO")</f>
        <v>NÃO</v>
      </c>
      <c r="W1116" s="2" t="n">
        <v>7</v>
      </c>
      <c r="X1116" s="2" t="s">
        <v>156</v>
      </c>
    </row>
    <row r="1117" customFormat="false" ht="15" hidden="false" customHeight="false" outlineLevel="0" collapsed="false">
      <c r="A1117" s="2" t="n">
        <v>377689287</v>
      </c>
      <c r="B1117" s="29" t="n">
        <v>46250.916724537</v>
      </c>
      <c r="C1117" s="2" t="s">
        <v>153</v>
      </c>
      <c r="D1117" s="2" t="s">
        <v>1261</v>
      </c>
      <c r="E1117" s="2" t="s">
        <v>78</v>
      </c>
      <c r="F1117" s="2" t="s">
        <v>113</v>
      </c>
      <c r="G1117" s="30" t="n">
        <v>106.5</v>
      </c>
      <c r="H1117" s="11" t="n">
        <v>1132.29</v>
      </c>
      <c r="I1117" s="11" t="s">
        <v>155</v>
      </c>
      <c r="J1117" s="11" t="n">
        <v>185.06</v>
      </c>
      <c r="K1117" s="11" t="n">
        <v>201.59</v>
      </c>
      <c r="L1117" s="11" t="n">
        <v>1.1323</v>
      </c>
      <c r="M1117" s="11" t="n">
        <v>2.2646</v>
      </c>
      <c r="N1117" s="11" t="n">
        <v>1</v>
      </c>
      <c r="O1117" s="11" t="n">
        <v>9</v>
      </c>
      <c r="P1117" s="11" t="n">
        <v>6.42</v>
      </c>
      <c r="Q1117" s="11" t="n">
        <v>48.15</v>
      </c>
      <c r="R1117" s="11" t="n">
        <f aca="false">SUM(K1117:Q1117)</f>
        <v>269.5569</v>
      </c>
      <c r="S1117" s="11" t="n">
        <f aca="false">R1117/(1-Resumo!$C$6)</f>
        <v>306.314659090909</v>
      </c>
      <c r="T1117" s="11" t="n">
        <f aca="false">S1117-J1117</f>
        <v>121.254659090909</v>
      </c>
      <c r="U1117" s="12" t="n">
        <f aca="false">IFERROR(S1117/J1117-1,0)</f>
        <v>0.655218086517395</v>
      </c>
      <c r="V1117" s="2" t="str">
        <f aca="false">IF(S1117&lt;J1117,"SIM","NÃO")</f>
        <v>NÃO</v>
      </c>
      <c r="W1117" s="2" t="n">
        <v>5</v>
      </c>
      <c r="X1117" s="2" t="s">
        <v>156</v>
      </c>
    </row>
    <row r="1118" customFormat="false" ht="15" hidden="false" customHeight="false" outlineLevel="0" collapsed="false">
      <c r="A1118" s="2" t="n">
        <v>377695604</v>
      </c>
      <c r="B1118" s="29" t="n">
        <v>46250.9296643519</v>
      </c>
      <c r="C1118" s="2" t="s">
        <v>153</v>
      </c>
      <c r="D1118" s="2" t="s">
        <v>435</v>
      </c>
      <c r="E1118" s="2" t="s">
        <v>436</v>
      </c>
      <c r="F1118" s="2" t="s">
        <v>110</v>
      </c>
      <c r="G1118" s="30" t="n">
        <v>66.8</v>
      </c>
      <c r="H1118" s="11" t="n">
        <v>719.99</v>
      </c>
      <c r="I1118" s="11" t="s">
        <v>350</v>
      </c>
      <c r="J1118" s="11" t="n">
        <v>156.78</v>
      </c>
      <c r="K1118" s="11" t="n">
        <v>166.05</v>
      </c>
      <c r="L1118" s="11" t="n">
        <v>0.72</v>
      </c>
      <c r="M1118" s="11" t="n">
        <v>1.44</v>
      </c>
      <c r="N1118" s="11" t="n">
        <v>1</v>
      </c>
      <c r="O1118" s="11" t="n">
        <v>4.5</v>
      </c>
      <c r="P1118" s="11" t="n">
        <v>4.02</v>
      </c>
      <c r="Q1118" s="11" t="n">
        <v>30.15</v>
      </c>
      <c r="R1118" s="11" t="n">
        <f aca="false">SUM(K1118:Q1118)</f>
        <v>207.88</v>
      </c>
      <c r="S1118" s="11" t="n">
        <f aca="false">R1118/(1-Resumo!$C$6)</f>
        <v>236.227272727273</v>
      </c>
      <c r="T1118" s="11" t="n">
        <f aca="false">S1118-J1118</f>
        <v>79.4472727272728</v>
      </c>
      <c r="U1118" s="12" t="n">
        <f aca="false">IFERROR(S1118/J1118-1,0)</f>
        <v>0.506743670922776</v>
      </c>
      <c r="V1118" s="2" t="str">
        <f aca="false">IF(S1118&lt;J1118,"SIM","NÃO")</f>
        <v>NÃO</v>
      </c>
      <c r="W1118" s="2" t="n">
        <v>10</v>
      </c>
      <c r="X1118" s="2" t="s">
        <v>161</v>
      </c>
    </row>
    <row r="1119" customFormat="false" ht="15" hidden="false" customHeight="false" outlineLevel="0" collapsed="false">
      <c r="A1119" s="2" t="n">
        <v>377708260</v>
      </c>
      <c r="B1119" s="29" t="n">
        <v>46250.953587963</v>
      </c>
      <c r="C1119" s="2" t="s">
        <v>158</v>
      </c>
      <c r="D1119" s="2" t="s">
        <v>1262</v>
      </c>
      <c r="E1119" s="2" t="s">
        <v>86</v>
      </c>
      <c r="F1119" s="2" t="s">
        <v>107</v>
      </c>
      <c r="G1119" s="30" t="n">
        <v>36.8</v>
      </c>
      <c r="H1119" s="11" t="n">
        <v>419</v>
      </c>
      <c r="I1119" s="11" t="s">
        <v>350</v>
      </c>
      <c r="J1119" s="11" t="n">
        <v>113.45</v>
      </c>
      <c r="K1119" s="11" t="n">
        <v>93.97</v>
      </c>
      <c r="L1119" s="11" t="n">
        <v>0.419</v>
      </c>
      <c r="M1119" s="11" t="n">
        <v>0.838</v>
      </c>
      <c r="N1119" s="11" t="n">
        <v>1</v>
      </c>
      <c r="O1119" s="11" t="n">
        <v>4.5</v>
      </c>
      <c r="P1119" s="11" t="n">
        <v>2.22</v>
      </c>
      <c r="Q1119" s="11" t="n">
        <v>16.65</v>
      </c>
      <c r="R1119" s="11" t="n">
        <f aca="false">SUM(K1119:Q1119)</f>
        <v>119.597</v>
      </c>
      <c r="S1119" s="11" t="n">
        <f aca="false">R1119/(1-Resumo!$C$6)</f>
        <v>135.905681818182</v>
      </c>
      <c r="T1119" s="11" t="n">
        <f aca="false">S1119-J1119</f>
        <v>22.4556818181818</v>
      </c>
      <c r="U1119" s="12" t="n">
        <f aca="false">IFERROR(S1119/J1119-1,0)</f>
        <v>0.197934612764934</v>
      </c>
      <c r="V1119" s="2" t="str">
        <f aca="false">IF(S1119&lt;J1119,"SIM","NÃO")</f>
        <v>NÃO</v>
      </c>
      <c r="W1119" s="2" t="n">
        <v>5</v>
      </c>
      <c r="X1119" s="2" t="s">
        <v>156</v>
      </c>
    </row>
    <row r="1120" customFormat="false" ht="15" hidden="false" customHeight="false" outlineLevel="0" collapsed="false">
      <c r="A1120" s="2" t="n">
        <v>377708593</v>
      </c>
      <c r="B1120" s="29" t="n">
        <v>46250.9542592593</v>
      </c>
      <c r="C1120" s="2" t="s">
        <v>153</v>
      </c>
      <c r="D1120" s="2" t="s">
        <v>1263</v>
      </c>
      <c r="E1120" s="2" t="s">
        <v>78</v>
      </c>
      <c r="F1120" s="2" t="s">
        <v>106</v>
      </c>
      <c r="G1120" s="30" t="n">
        <v>34.4</v>
      </c>
      <c r="H1120" s="11" t="n">
        <v>439.69</v>
      </c>
      <c r="I1120" s="11" t="s">
        <v>155</v>
      </c>
      <c r="J1120" s="11" t="n">
        <v>82.43</v>
      </c>
      <c r="K1120" s="11" t="n">
        <v>82.21</v>
      </c>
      <c r="L1120" s="11" t="n">
        <v>0.4397</v>
      </c>
      <c r="M1120" s="11" t="n">
        <v>0.8794</v>
      </c>
      <c r="N1120" s="11" t="n">
        <v>1</v>
      </c>
      <c r="O1120" s="11" t="n">
        <v>4.5</v>
      </c>
      <c r="P1120" s="11" t="n">
        <v>2.1</v>
      </c>
      <c r="Q1120" s="11" t="n">
        <v>15.75</v>
      </c>
      <c r="R1120" s="11" t="n">
        <f aca="false">SUM(K1120:Q1120)</f>
        <v>106.8791</v>
      </c>
      <c r="S1120" s="11" t="n">
        <f aca="false">R1120/(1-Resumo!$C$6)</f>
        <v>121.453522727273</v>
      </c>
      <c r="T1120" s="11" t="n">
        <f aca="false">S1120-J1120</f>
        <v>39.0235227272727</v>
      </c>
      <c r="U1120" s="12" t="n">
        <f aca="false">IFERROR(S1120/J1120-1,0)</f>
        <v>0.473414081369316</v>
      </c>
      <c r="V1120" s="2" t="str">
        <f aca="false">IF(S1120&lt;J1120,"SIM","NÃO")</f>
        <v>NÃO</v>
      </c>
      <c r="W1120" s="2" t="n">
        <v>5</v>
      </c>
      <c r="X1120" s="2" t="s">
        <v>156</v>
      </c>
    </row>
    <row r="1121" customFormat="false" ht="15" hidden="false" customHeight="false" outlineLevel="0" collapsed="false">
      <c r="A1121" s="2" t="n">
        <v>377723161</v>
      </c>
      <c r="B1121" s="29" t="n">
        <v>46250.9854976852</v>
      </c>
      <c r="C1121" s="2" t="s">
        <v>158</v>
      </c>
      <c r="D1121" s="2" t="s">
        <v>689</v>
      </c>
      <c r="E1121" s="2" t="s">
        <v>78</v>
      </c>
      <c r="F1121" s="2" t="s">
        <v>106</v>
      </c>
      <c r="G1121" s="30" t="n">
        <v>31.4</v>
      </c>
      <c r="H1121" s="11" t="n">
        <v>368.32</v>
      </c>
      <c r="I1121" s="11" t="s">
        <v>350</v>
      </c>
      <c r="J1121" s="11" t="n">
        <v>82.56</v>
      </c>
      <c r="K1121" s="11" t="n">
        <v>82.21</v>
      </c>
      <c r="L1121" s="11" t="n">
        <v>0.3683</v>
      </c>
      <c r="M1121" s="11" t="n">
        <v>0.7366</v>
      </c>
      <c r="N1121" s="11" t="n">
        <v>1</v>
      </c>
      <c r="O1121" s="11" t="n">
        <v>4.5</v>
      </c>
      <c r="P1121" s="11" t="n">
        <v>1.92</v>
      </c>
      <c r="Q1121" s="11" t="n">
        <v>14.4</v>
      </c>
      <c r="R1121" s="11" t="n">
        <f aca="false">SUM(K1121:Q1121)</f>
        <v>105.1349</v>
      </c>
      <c r="S1121" s="11" t="n">
        <f aca="false">R1121/(1-Resumo!$C$6)</f>
        <v>119.471477272727</v>
      </c>
      <c r="T1121" s="11" t="n">
        <f aca="false">S1121-J1121</f>
        <v>36.9114772727273</v>
      </c>
      <c r="U1121" s="12" t="n">
        <f aca="false">IFERROR(S1121/J1121-1,0)</f>
        <v>0.447086691772375</v>
      </c>
      <c r="V1121" s="2" t="str">
        <f aca="false">IF(S1121&lt;J1121,"SIM","NÃO")</f>
        <v>NÃO</v>
      </c>
      <c r="W1121" s="2" t="n">
        <v>5</v>
      </c>
      <c r="X1121" s="2" t="s">
        <v>156</v>
      </c>
    </row>
    <row r="1122" customFormat="false" ht="15" hidden="false" customHeight="false" outlineLevel="0" collapsed="false">
      <c r="A1122" s="2" t="n">
        <v>377730968</v>
      </c>
      <c r="B1122" s="29" t="n">
        <v>46251.0041319444</v>
      </c>
      <c r="C1122" s="2" t="s">
        <v>153</v>
      </c>
      <c r="D1122" s="2" t="s">
        <v>1264</v>
      </c>
      <c r="E1122" s="2" t="s">
        <v>78</v>
      </c>
      <c r="F1122" s="2" t="s">
        <v>106</v>
      </c>
      <c r="G1122" s="30" t="n">
        <v>34.4</v>
      </c>
      <c r="H1122" s="11" t="n">
        <v>499.98</v>
      </c>
      <c r="I1122" s="11" t="s">
        <v>155</v>
      </c>
      <c r="J1122" s="11" t="n">
        <v>82.73</v>
      </c>
      <c r="K1122" s="11" t="n">
        <v>82.21</v>
      </c>
      <c r="L1122" s="11" t="n">
        <v>0.5</v>
      </c>
      <c r="M1122" s="11" t="n">
        <v>1</v>
      </c>
      <c r="N1122" s="11" t="n">
        <v>1</v>
      </c>
      <c r="O1122" s="11" t="n">
        <v>4.5</v>
      </c>
      <c r="P1122" s="11" t="n">
        <v>2.1</v>
      </c>
      <c r="Q1122" s="11" t="n">
        <v>15.75</v>
      </c>
      <c r="R1122" s="11" t="n">
        <f aca="false">SUM(K1122:Q1122)</f>
        <v>107.06</v>
      </c>
      <c r="S1122" s="11" t="n">
        <f aca="false">R1122/(1-Resumo!$C$6)</f>
        <v>121.659090909091</v>
      </c>
      <c r="T1122" s="11" t="n">
        <f aca="false">S1122-J1122</f>
        <v>38.9290909090909</v>
      </c>
      <c r="U1122" s="12" t="n">
        <f aca="false">IFERROR(S1122/J1122-1,0)</f>
        <v>0.470555915739041</v>
      </c>
      <c r="V1122" s="2" t="str">
        <f aca="false">IF(S1122&lt;J1122,"SIM","NÃO")</f>
        <v>NÃO</v>
      </c>
      <c r="W1122" s="2" t="n">
        <v>5</v>
      </c>
      <c r="X1122" s="2" t="s">
        <v>156</v>
      </c>
    </row>
    <row r="1123" customFormat="false" ht="15" hidden="false" customHeight="false" outlineLevel="0" collapsed="false">
      <c r="A1123" s="2" t="n">
        <v>377827780</v>
      </c>
      <c r="B1123" s="29" t="n">
        <v>46251.2829861111</v>
      </c>
      <c r="C1123" s="2" t="s">
        <v>153</v>
      </c>
      <c r="D1123" s="2" t="s">
        <v>1265</v>
      </c>
      <c r="E1123" s="2" t="s">
        <v>78</v>
      </c>
      <c r="F1123" s="2" t="s">
        <v>108</v>
      </c>
      <c r="G1123" s="30" t="n">
        <v>45.3</v>
      </c>
      <c r="H1123" s="11" t="n">
        <v>630.04</v>
      </c>
      <c r="I1123" s="11" t="s">
        <v>350</v>
      </c>
      <c r="J1123" s="11" t="n">
        <v>103.97</v>
      </c>
      <c r="K1123" s="11" t="n">
        <v>93.97</v>
      </c>
      <c r="L1123" s="11" t="n">
        <v>0.63</v>
      </c>
      <c r="M1123" s="11" t="n">
        <v>1.2601</v>
      </c>
      <c r="N1123" s="11" t="n">
        <v>1</v>
      </c>
      <c r="O1123" s="11" t="n">
        <v>4.5</v>
      </c>
      <c r="P1123" s="11" t="n">
        <v>2.76</v>
      </c>
      <c r="Q1123" s="11" t="n">
        <v>20.7</v>
      </c>
      <c r="R1123" s="11" t="n">
        <f aca="false">SUM(K1123:Q1123)</f>
        <v>124.8201</v>
      </c>
      <c r="S1123" s="11" t="n">
        <f aca="false">R1123/(1-Resumo!$C$6)</f>
        <v>141.841022727273</v>
      </c>
      <c r="T1123" s="11" t="n">
        <f aca="false">S1123-J1123</f>
        <v>37.8710227272727</v>
      </c>
      <c r="U1123" s="12" t="n">
        <f aca="false">IFERROR(S1123/J1123-1,0)</f>
        <v>0.364249521277991</v>
      </c>
      <c r="V1123" s="2" t="str">
        <f aca="false">IF(S1123&lt;J1123,"SIM","NÃO")</f>
        <v>NÃO</v>
      </c>
      <c r="W1123" s="2" t="n">
        <v>5</v>
      </c>
      <c r="X1123" s="2" t="s">
        <v>156</v>
      </c>
    </row>
    <row r="1124" customFormat="false" ht="15" hidden="false" customHeight="false" outlineLevel="0" collapsed="false">
      <c r="A1124" s="2" t="n">
        <v>377842701</v>
      </c>
      <c r="B1124" s="29" t="n">
        <v>46251.3209375</v>
      </c>
      <c r="C1124" s="2" t="s">
        <v>153</v>
      </c>
      <c r="D1124" s="2" t="s">
        <v>1266</v>
      </c>
      <c r="E1124" s="2" t="s">
        <v>80</v>
      </c>
      <c r="F1124" s="2" t="s">
        <v>109</v>
      </c>
      <c r="G1124" s="30" t="n">
        <v>52.3</v>
      </c>
      <c r="H1124" s="11" t="n">
        <v>577.12</v>
      </c>
      <c r="I1124" s="11" t="s">
        <v>155</v>
      </c>
      <c r="J1124" s="11" t="n">
        <v>128.03</v>
      </c>
      <c r="K1124" s="11" t="n">
        <v>112.3</v>
      </c>
      <c r="L1124" s="11" t="n">
        <v>0.5771</v>
      </c>
      <c r="M1124" s="11" t="n">
        <v>1.1542</v>
      </c>
      <c r="N1124" s="11" t="n">
        <v>1</v>
      </c>
      <c r="O1124" s="11" t="n">
        <v>4.5</v>
      </c>
      <c r="P1124" s="11" t="n">
        <v>3.18</v>
      </c>
      <c r="Q1124" s="11" t="n">
        <v>23.85</v>
      </c>
      <c r="R1124" s="11" t="n">
        <f aca="false">SUM(K1124:Q1124)</f>
        <v>146.5613</v>
      </c>
      <c r="S1124" s="11" t="n">
        <f aca="false">R1124/(1-Resumo!$C$6)</f>
        <v>166.546931818182</v>
      </c>
      <c r="T1124" s="11" t="n">
        <f aca="false">S1124-J1124</f>
        <v>38.5169318181818</v>
      </c>
      <c r="U1124" s="12" t="n">
        <f aca="false">IFERROR(S1124/J1124-1,0)</f>
        <v>0.300843019746792</v>
      </c>
      <c r="V1124" s="2" t="str">
        <f aca="false">IF(S1124&lt;J1124,"SIM","NÃO")</f>
        <v>NÃO</v>
      </c>
      <c r="W1124" s="2" t="n">
        <v>5</v>
      </c>
      <c r="X1124" s="2" t="s">
        <v>156</v>
      </c>
    </row>
    <row r="1125" customFormat="false" ht="15" hidden="false" customHeight="false" outlineLevel="0" collapsed="false">
      <c r="A1125" s="2" t="n">
        <v>377866314</v>
      </c>
      <c r="B1125" s="29" t="n">
        <v>46251.3739699074</v>
      </c>
      <c r="C1125" s="2" t="s">
        <v>153</v>
      </c>
      <c r="D1125" s="2" t="s">
        <v>1267</v>
      </c>
      <c r="E1125" s="2" t="s">
        <v>78</v>
      </c>
      <c r="F1125" s="2" t="s">
        <v>109</v>
      </c>
      <c r="G1125" s="30" t="n">
        <v>52.3</v>
      </c>
      <c r="H1125" s="11" t="n">
        <v>699.99</v>
      </c>
      <c r="I1125" s="11" t="s">
        <v>155</v>
      </c>
      <c r="J1125" s="11" t="n">
        <v>114.5</v>
      </c>
      <c r="K1125" s="11" t="n">
        <v>112.3</v>
      </c>
      <c r="L1125" s="11" t="n">
        <v>0.7</v>
      </c>
      <c r="M1125" s="11" t="n">
        <v>1.4</v>
      </c>
      <c r="N1125" s="11" t="n">
        <v>1</v>
      </c>
      <c r="O1125" s="11" t="n">
        <v>4.5</v>
      </c>
      <c r="P1125" s="11" t="n">
        <v>3.18</v>
      </c>
      <c r="Q1125" s="11" t="n">
        <v>23.85</v>
      </c>
      <c r="R1125" s="11" t="n">
        <f aca="false">SUM(K1125:Q1125)</f>
        <v>146.93</v>
      </c>
      <c r="S1125" s="11" t="n">
        <f aca="false">R1125/(1-Resumo!$C$6)</f>
        <v>166.965909090909</v>
      </c>
      <c r="T1125" s="11" t="n">
        <f aca="false">S1125-J1125</f>
        <v>52.4659090909091</v>
      </c>
      <c r="U1125" s="12" t="n">
        <f aca="false">IFERROR(S1125/J1125-1,0)</f>
        <v>0.458217546645494</v>
      </c>
      <c r="V1125" s="2" t="str">
        <f aca="false">IF(S1125&lt;J1125,"SIM","NÃO")</f>
        <v>NÃO</v>
      </c>
      <c r="W1125" s="2" t="n">
        <v>5</v>
      </c>
      <c r="X1125" s="2" t="s">
        <v>156</v>
      </c>
    </row>
    <row r="1126" customFormat="false" ht="15" hidden="false" customHeight="false" outlineLevel="0" collapsed="false">
      <c r="A1126" s="2" t="n">
        <v>377889460</v>
      </c>
      <c r="B1126" s="29" t="n">
        <v>46251.4180671296</v>
      </c>
      <c r="C1126" s="2" t="s">
        <v>158</v>
      </c>
      <c r="D1126" s="2" t="s">
        <v>1268</v>
      </c>
      <c r="E1126" s="2" t="s">
        <v>78</v>
      </c>
      <c r="F1126" s="2" t="s">
        <v>106</v>
      </c>
      <c r="G1126" s="30" t="n">
        <v>27.6</v>
      </c>
      <c r="H1126" s="11" t="n">
        <v>599.99</v>
      </c>
      <c r="I1126" s="11" t="s">
        <v>350</v>
      </c>
      <c r="J1126" s="11" t="n">
        <v>81.63</v>
      </c>
      <c r="K1126" s="11" t="n">
        <v>82.21</v>
      </c>
      <c r="L1126" s="11" t="n">
        <v>0.6</v>
      </c>
      <c r="M1126" s="11" t="n">
        <v>1.2</v>
      </c>
      <c r="N1126" s="11" t="n">
        <v>1</v>
      </c>
      <c r="O1126" s="11" t="n">
        <v>4.5</v>
      </c>
      <c r="P1126" s="11" t="n">
        <v>1.68</v>
      </c>
      <c r="Q1126" s="11" t="n">
        <v>12.6</v>
      </c>
      <c r="R1126" s="11" t="n">
        <f aca="false">SUM(K1126:Q1126)</f>
        <v>103.79</v>
      </c>
      <c r="S1126" s="11" t="n">
        <f aca="false">R1126/(1-Resumo!$C$6)</f>
        <v>117.943181818182</v>
      </c>
      <c r="T1126" s="11" t="n">
        <f aca="false">S1126-J1126</f>
        <v>36.3131818181818</v>
      </c>
      <c r="U1126" s="12" t="n">
        <f aca="false">IFERROR(S1126/J1126-1,0)</f>
        <v>0.444850934928112</v>
      </c>
      <c r="V1126" s="2" t="str">
        <f aca="false">IF(S1126&lt;J1126,"SIM","NÃO")</f>
        <v>NÃO</v>
      </c>
      <c r="W1126" s="2" t="n">
        <v>5</v>
      </c>
      <c r="X1126" s="2" t="s">
        <v>156</v>
      </c>
    </row>
    <row r="1127" customFormat="false" ht="15" hidden="false" customHeight="false" outlineLevel="0" collapsed="false">
      <c r="A1127" s="2" t="n">
        <v>377894933</v>
      </c>
      <c r="B1127" s="29" t="n">
        <v>46251.4285648148</v>
      </c>
      <c r="C1127" s="2" t="s">
        <v>194</v>
      </c>
      <c r="D1127" s="2" t="s">
        <v>1269</v>
      </c>
      <c r="E1127" s="2" t="s">
        <v>83</v>
      </c>
      <c r="F1127" s="2" t="s">
        <v>113</v>
      </c>
      <c r="G1127" s="30" t="n">
        <v>117</v>
      </c>
      <c r="H1127" s="11" t="n">
        <v>1300.8</v>
      </c>
      <c r="I1127" s="11" t="s">
        <v>350</v>
      </c>
      <c r="J1127" s="11" t="n">
        <v>219.61</v>
      </c>
      <c r="K1127" s="11" t="n">
        <v>236.82</v>
      </c>
      <c r="L1127" s="11" t="n">
        <v>1.3008</v>
      </c>
      <c r="M1127" s="11" t="n">
        <v>2.6016</v>
      </c>
      <c r="N1127" s="11" t="n">
        <v>1</v>
      </c>
      <c r="O1127" s="11" t="n">
        <v>9</v>
      </c>
      <c r="P1127" s="11" t="n">
        <v>7.02</v>
      </c>
      <c r="Q1127" s="11" t="n">
        <v>52.65</v>
      </c>
      <c r="R1127" s="11" t="n">
        <f aca="false">SUM(K1127:Q1127)</f>
        <v>310.3924</v>
      </c>
      <c r="S1127" s="11" t="n">
        <f aca="false">R1127/(1-Resumo!$C$6)</f>
        <v>352.718636363636</v>
      </c>
      <c r="T1127" s="11" t="n">
        <f aca="false">S1127-J1127</f>
        <v>133.108636363636</v>
      </c>
      <c r="U1127" s="12" t="n">
        <f aca="false">IFERROR(S1127/J1127-1,0)</f>
        <v>0.606113730538848</v>
      </c>
      <c r="V1127" s="2" t="str">
        <f aca="false">IF(S1127&lt;J1127,"SIM","NÃO")</f>
        <v>NÃO</v>
      </c>
      <c r="W1127" s="2" t="n">
        <v>11</v>
      </c>
      <c r="X1127" s="2" t="s">
        <v>156</v>
      </c>
    </row>
    <row r="1128" customFormat="false" ht="15" hidden="false" customHeight="false" outlineLevel="0" collapsed="false">
      <c r="A1128" s="2" t="n">
        <v>377912090</v>
      </c>
      <c r="B1128" s="29" t="n">
        <v>46251.4525231482</v>
      </c>
      <c r="C1128" s="2" t="s">
        <v>153</v>
      </c>
      <c r="D1128" s="2" t="s">
        <v>1270</v>
      </c>
      <c r="E1128" s="2" t="s">
        <v>79</v>
      </c>
      <c r="F1128" s="2" t="s">
        <v>107</v>
      </c>
      <c r="G1128" s="30" t="n">
        <v>35.9</v>
      </c>
      <c r="H1128" s="11" t="n">
        <v>619.99</v>
      </c>
      <c r="I1128" s="11" t="s">
        <v>350</v>
      </c>
      <c r="J1128" s="11" t="n">
        <v>113.9</v>
      </c>
      <c r="K1128" s="11" t="n">
        <v>114.95</v>
      </c>
      <c r="L1128" s="11" t="n">
        <v>0.62</v>
      </c>
      <c r="M1128" s="11" t="n">
        <v>1.24</v>
      </c>
      <c r="N1128" s="11" t="n">
        <v>1</v>
      </c>
      <c r="O1128" s="11" t="n">
        <v>4.5</v>
      </c>
      <c r="P1128" s="11" t="n">
        <v>2.16</v>
      </c>
      <c r="Q1128" s="11" t="n">
        <v>16.2</v>
      </c>
      <c r="R1128" s="11" t="n">
        <f aca="false">SUM(K1128:Q1128)</f>
        <v>140.67</v>
      </c>
      <c r="S1128" s="11" t="n">
        <f aca="false">R1128/(1-Resumo!$C$6)</f>
        <v>159.852272727273</v>
      </c>
      <c r="T1128" s="11" t="n">
        <f aca="false">S1128-J1128</f>
        <v>45.9522727272727</v>
      </c>
      <c r="U1128" s="12" t="n">
        <f aca="false">IFERROR(S1128/J1128-1,0)</f>
        <v>0.403444009897039</v>
      </c>
      <c r="V1128" s="2" t="str">
        <f aca="false">IF(S1128&lt;J1128,"SIM","NÃO")</f>
        <v>NÃO</v>
      </c>
      <c r="W1128" s="2" t="n">
        <v>7</v>
      </c>
      <c r="X1128" s="2" t="s">
        <v>156</v>
      </c>
    </row>
    <row r="1129" customFormat="false" ht="15" hidden="false" customHeight="false" outlineLevel="0" collapsed="false">
      <c r="A1129" s="2" t="n">
        <v>377938667</v>
      </c>
      <c r="B1129" s="29" t="n">
        <v>46251.4942939815</v>
      </c>
      <c r="C1129" s="2" t="s">
        <v>153</v>
      </c>
      <c r="D1129" s="2" t="s">
        <v>254</v>
      </c>
      <c r="E1129" s="2" t="s">
        <v>255</v>
      </c>
      <c r="F1129" s="2" t="s">
        <v>109</v>
      </c>
      <c r="G1129" s="30" t="n">
        <v>52.3</v>
      </c>
      <c r="H1129" s="11" t="n">
        <v>699.99</v>
      </c>
      <c r="I1129" s="11" t="s">
        <v>350</v>
      </c>
      <c r="J1129" s="11" t="n">
        <v>142.01</v>
      </c>
      <c r="K1129" s="11" t="n">
        <v>142.32</v>
      </c>
      <c r="L1129" s="11" t="n">
        <v>0.7</v>
      </c>
      <c r="M1129" s="11" t="n">
        <v>1.4</v>
      </c>
      <c r="N1129" s="11" t="n">
        <v>1</v>
      </c>
      <c r="O1129" s="11" t="n">
        <v>4.5</v>
      </c>
      <c r="P1129" s="11" t="n">
        <v>3.18</v>
      </c>
      <c r="Q1129" s="11" t="n">
        <v>23.85</v>
      </c>
      <c r="R1129" s="11" t="n">
        <f aca="false">SUM(K1129:Q1129)</f>
        <v>176.95</v>
      </c>
      <c r="S1129" s="11" t="n">
        <f aca="false">R1129/(1-Resumo!$C$6)</f>
        <v>201.079545454545</v>
      </c>
      <c r="T1129" s="11" t="n">
        <f aca="false">S1129-J1129</f>
        <v>59.0695454545455</v>
      </c>
      <c r="U1129" s="12" t="n">
        <f aca="false">IFERROR(S1129/J1129-1,0)</f>
        <v>0.415953421974125</v>
      </c>
      <c r="V1129" s="2" t="str">
        <f aca="false">IF(S1129&lt;J1129,"SIM","NÃO")</f>
        <v>NÃO</v>
      </c>
      <c r="W1129" s="2" t="n">
        <v>10</v>
      </c>
      <c r="X1129" s="2" t="s">
        <v>161</v>
      </c>
    </row>
    <row r="1130" customFormat="false" ht="15" hidden="false" customHeight="false" outlineLevel="0" collapsed="false">
      <c r="A1130" s="2" t="n">
        <v>377955657</v>
      </c>
      <c r="B1130" s="29" t="n">
        <v>46251.5200462963</v>
      </c>
      <c r="C1130" s="2" t="s">
        <v>158</v>
      </c>
      <c r="D1130" s="2" t="s">
        <v>1271</v>
      </c>
      <c r="E1130" s="2" t="s">
        <v>78</v>
      </c>
      <c r="F1130" s="2" t="s">
        <v>113</v>
      </c>
      <c r="G1130" s="30" t="n">
        <v>106.5</v>
      </c>
      <c r="H1130" s="11" t="n">
        <v>1099.99</v>
      </c>
      <c r="I1130" s="11" t="s">
        <v>155</v>
      </c>
      <c r="J1130" s="11" t="n">
        <v>184.91</v>
      </c>
      <c r="K1130" s="11" t="n">
        <v>201.59</v>
      </c>
      <c r="L1130" s="11" t="n">
        <v>1.1</v>
      </c>
      <c r="M1130" s="11" t="n">
        <v>2.2</v>
      </c>
      <c r="N1130" s="11" t="n">
        <v>1</v>
      </c>
      <c r="O1130" s="11" t="n">
        <v>9</v>
      </c>
      <c r="P1130" s="11" t="n">
        <v>6.42</v>
      </c>
      <c r="Q1130" s="11" t="n">
        <v>48.15</v>
      </c>
      <c r="R1130" s="11" t="n">
        <f aca="false">SUM(K1130:Q1130)</f>
        <v>269.46</v>
      </c>
      <c r="S1130" s="11" t="n">
        <f aca="false">R1130/(1-Resumo!$C$6)</f>
        <v>306.204545454545</v>
      </c>
      <c r="T1130" s="11" t="n">
        <f aca="false">S1130-J1130</f>
        <v>121.294545454545</v>
      </c>
      <c r="U1130" s="12" t="n">
        <f aca="false">IFERROR(S1130/J1130-1,0)</f>
        <v>0.655965309905064</v>
      </c>
      <c r="V1130" s="2" t="str">
        <f aca="false">IF(S1130&lt;J1130,"SIM","NÃO")</f>
        <v>NÃO</v>
      </c>
      <c r="W1130" s="2" t="n">
        <v>5</v>
      </c>
      <c r="X1130" s="2" t="s">
        <v>156</v>
      </c>
    </row>
    <row r="1131" customFormat="false" ht="15" hidden="false" customHeight="false" outlineLevel="0" collapsed="false">
      <c r="A1131" s="2" t="n">
        <v>377963471</v>
      </c>
      <c r="B1131" s="29" t="n">
        <v>46251.5360069444</v>
      </c>
      <c r="C1131" s="2" t="s">
        <v>191</v>
      </c>
      <c r="D1131" s="2" t="s">
        <v>984</v>
      </c>
      <c r="E1131" s="2" t="s">
        <v>78</v>
      </c>
      <c r="F1131" s="2" t="s">
        <v>115</v>
      </c>
      <c r="G1131" s="30" t="n">
        <v>158.8</v>
      </c>
      <c r="H1131" s="11" t="n">
        <v>1746.98</v>
      </c>
      <c r="I1131" s="11" t="s">
        <v>155</v>
      </c>
      <c r="J1131" s="11" t="n">
        <v>255.33</v>
      </c>
      <c r="K1131" s="11" t="n">
        <v>271.15</v>
      </c>
      <c r="L1131" s="11" t="n">
        <v>1.747</v>
      </c>
      <c r="M1131" s="11" t="n">
        <v>3.494</v>
      </c>
      <c r="N1131" s="11" t="n">
        <v>1</v>
      </c>
      <c r="O1131" s="11" t="n">
        <v>9</v>
      </c>
      <c r="P1131" s="11" t="n">
        <v>9.54</v>
      </c>
      <c r="Q1131" s="11" t="n">
        <v>71.55</v>
      </c>
      <c r="R1131" s="11" t="n">
        <f aca="false">SUM(K1131:Q1131)</f>
        <v>367.481</v>
      </c>
      <c r="S1131" s="11" t="n">
        <f aca="false">R1131/(1-Resumo!$C$6)</f>
        <v>417.592045454545</v>
      </c>
      <c r="T1131" s="11" t="n">
        <f aca="false">S1131-J1131</f>
        <v>162.262045454545</v>
      </c>
      <c r="U1131" s="12" t="n">
        <f aca="false">IFERROR(S1131/J1131-1,0)</f>
        <v>0.635499335975191</v>
      </c>
      <c r="V1131" s="2" t="str">
        <f aca="false">IF(S1131&lt;J1131,"SIM","NÃO")</f>
        <v>NÃO</v>
      </c>
      <c r="W1131" s="2" t="n">
        <v>5</v>
      </c>
      <c r="X1131" s="2" t="s">
        <v>156</v>
      </c>
    </row>
    <row r="1132" customFormat="false" ht="15" hidden="false" customHeight="false" outlineLevel="0" collapsed="false">
      <c r="A1132" s="2" t="n">
        <v>377967007</v>
      </c>
      <c r="B1132" s="29" t="n">
        <v>46251.5399884259</v>
      </c>
      <c r="C1132" s="2" t="s">
        <v>153</v>
      </c>
      <c r="D1132" s="2" t="s">
        <v>1272</v>
      </c>
      <c r="E1132" s="2" t="s">
        <v>85</v>
      </c>
      <c r="F1132" s="2" t="s">
        <v>109</v>
      </c>
      <c r="G1132" s="30" t="n">
        <v>60</v>
      </c>
      <c r="H1132" s="11" t="n">
        <v>793.39</v>
      </c>
      <c r="I1132" s="11" t="s">
        <v>350</v>
      </c>
      <c r="J1132" s="11" t="n">
        <v>146.05</v>
      </c>
      <c r="K1132" s="11" t="n">
        <v>162.04</v>
      </c>
      <c r="L1132" s="11" t="n">
        <v>0.7934</v>
      </c>
      <c r="M1132" s="11" t="n">
        <v>1.5868</v>
      </c>
      <c r="N1132" s="11" t="n">
        <v>1</v>
      </c>
      <c r="O1132" s="11" t="n">
        <v>4.5</v>
      </c>
      <c r="P1132" s="11" t="n">
        <v>3.6</v>
      </c>
      <c r="Q1132" s="11" t="n">
        <v>27</v>
      </c>
      <c r="R1132" s="11" t="n">
        <f aca="false">SUM(K1132:Q1132)</f>
        <v>200.5202</v>
      </c>
      <c r="S1132" s="11" t="n">
        <f aca="false">R1132/(1-Resumo!$C$6)</f>
        <v>227.863863636364</v>
      </c>
      <c r="T1132" s="11" t="n">
        <f aca="false">S1132-J1132</f>
        <v>81.8138636363636</v>
      </c>
      <c r="U1132" s="12" t="n">
        <f aca="false">IFERROR(S1132/J1132-1,0)</f>
        <v>0.560177087547851</v>
      </c>
      <c r="V1132" s="2" t="str">
        <f aca="false">IF(S1132&lt;J1132,"SIM","NÃO")</f>
        <v>NÃO</v>
      </c>
      <c r="W1132" s="2" t="n">
        <v>11</v>
      </c>
      <c r="X1132" s="2" t="s">
        <v>156</v>
      </c>
    </row>
    <row r="1133" customFormat="false" ht="15" hidden="false" customHeight="false" outlineLevel="0" collapsed="false">
      <c r="A1133" s="2" t="n">
        <v>377973538</v>
      </c>
      <c r="B1133" s="29" t="n">
        <v>46251.5596990741</v>
      </c>
      <c r="C1133" s="2" t="s">
        <v>178</v>
      </c>
      <c r="D1133" s="2" t="s">
        <v>1273</v>
      </c>
      <c r="E1133" s="2" t="s">
        <v>78</v>
      </c>
      <c r="F1133" s="2" t="s">
        <v>106</v>
      </c>
      <c r="G1133" s="30" t="n">
        <v>33.3</v>
      </c>
      <c r="H1133" s="11" t="n">
        <v>509.99</v>
      </c>
      <c r="I1133" s="11" t="s">
        <v>155</v>
      </c>
      <c r="J1133" s="11" t="n">
        <v>82.77</v>
      </c>
      <c r="K1133" s="11" t="n">
        <v>82.21</v>
      </c>
      <c r="L1133" s="11" t="n">
        <v>0.51</v>
      </c>
      <c r="M1133" s="11" t="n">
        <v>1.02</v>
      </c>
      <c r="N1133" s="11" t="n">
        <v>1</v>
      </c>
      <c r="O1133" s="11" t="n">
        <v>4.5</v>
      </c>
      <c r="P1133" s="11" t="n">
        <v>2.04</v>
      </c>
      <c r="Q1133" s="11" t="n">
        <v>15.3</v>
      </c>
      <c r="R1133" s="11" t="n">
        <f aca="false">SUM(K1133:Q1133)</f>
        <v>106.58</v>
      </c>
      <c r="S1133" s="11" t="n">
        <f aca="false">R1133/(1-Resumo!$C$6)</f>
        <v>121.113636363636</v>
      </c>
      <c r="T1133" s="11" t="n">
        <f aca="false">S1133-J1133</f>
        <v>38.3436363636364</v>
      </c>
      <c r="U1133" s="12" t="n">
        <f aca="false">IFERROR(S1133/J1133-1,0)</f>
        <v>0.463255241798192</v>
      </c>
      <c r="V1133" s="2" t="str">
        <f aca="false">IF(S1133&lt;J1133,"SIM","NÃO")</f>
        <v>NÃO</v>
      </c>
      <c r="W1133" s="2" t="n">
        <v>5</v>
      </c>
      <c r="X1133" s="2" t="s">
        <v>156</v>
      </c>
    </row>
    <row r="1134" customFormat="false" ht="15" hidden="false" customHeight="false" outlineLevel="0" collapsed="false">
      <c r="A1134" s="2" t="n">
        <v>377984575</v>
      </c>
      <c r="B1134" s="29" t="n">
        <v>46251.5732175926</v>
      </c>
      <c r="C1134" s="2" t="s">
        <v>158</v>
      </c>
      <c r="D1134" s="2" t="s">
        <v>1274</v>
      </c>
      <c r="E1134" s="2" t="s">
        <v>91</v>
      </c>
      <c r="F1134" s="2" t="s">
        <v>106</v>
      </c>
      <c r="G1134" s="30" t="n">
        <v>27.6</v>
      </c>
      <c r="H1134" s="11" t="n">
        <v>379.98</v>
      </c>
      <c r="I1134" s="11" t="s">
        <v>350</v>
      </c>
      <c r="J1134" s="11" t="n">
        <v>107.31</v>
      </c>
      <c r="K1134" s="11" t="n">
        <v>114.95</v>
      </c>
      <c r="L1134" s="11" t="n">
        <v>0.38</v>
      </c>
      <c r="M1134" s="11" t="n">
        <v>0.76</v>
      </c>
      <c r="N1134" s="11" t="n">
        <v>1</v>
      </c>
      <c r="O1134" s="11" t="n">
        <v>4.5</v>
      </c>
      <c r="P1134" s="11" t="n">
        <v>1.68</v>
      </c>
      <c r="Q1134" s="11" t="n">
        <v>12.6</v>
      </c>
      <c r="R1134" s="11" t="n">
        <f aca="false">SUM(K1134:Q1134)</f>
        <v>135.87</v>
      </c>
      <c r="S1134" s="11" t="n">
        <f aca="false">R1134/(1-Resumo!$C$6)</f>
        <v>154.397727272727</v>
      </c>
      <c r="T1134" s="11" t="n">
        <f aca="false">S1134-J1134</f>
        <v>47.0877272727273</v>
      </c>
      <c r="U1134" s="12" t="n">
        <f aca="false">IFERROR(S1134/J1134-1,0)</f>
        <v>0.438800925102295</v>
      </c>
      <c r="V1134" s="2" t="str">
        <f aca="false">IF(S1134&lt;J1134,"SIM","NÃO")</f>
        <v>NÃO</v>
      </c>
      <c r="W1134" s="2" t="n">
        <v>10</v>
      </c>
      <c r="X1134" s="2" t="s">
        <v>156</v>
      </c>
    </row>
    <row r="1135" customFormat="false" ht="15" hidden="false" customHeight="false" outlineLevel="0" collapsed="false">
      <c r="A1135" s="2" t="n">
        <v>377985822</v>
      </c>
      <c r="B1135" s="29" t="n">
        <v>46251.5751851852</v>
      </c>
      <c r="C1135" s="2" t="s">
        <v>191</v>
      </c>
      <c r="D1135" s="2" t="s">
        <v>1275</v>
      </c>
      <c r="E1135" s="2" t="s">
        <v>79</v>
      </c>
      <c r="F1135" s="2" t="s">
        <v>110</v>
      </c>
      <c r="G1135" s="30" t="n">
        <v>67.3</v>
      </c>
      <c r="H1135" s="11" t="n">
        <v>622.49</v>
      </c>
      <c r="I1135" s="11" t="s">
        <v>350</v>
      </c>
      <c r="J1135" s="11" t="n">
        <v>141.33</v>
      </c>
      <c r="K1135" s="11" t="n">
        <v>149.5</v>
      </c>
      <c r="L1135" s="11" t="n">
        <v>0.6225</v>
      </c>
      <c r="M1135" s="11" t="n">
        <v>1.245</v>
      </c>
      <c r="N1135" s="11" t="n">
        <v>1</v>
      </c>
      <c r="O1135" s="11" t="n">
        <v>4.5</v>
      </c>
      <c r="P1135" s="11" t="n">
        <v>4.08</v>
      </c>
      <c r="Q1135" s="11" t="n">
        <v>30.6</v>
      </c>
      <c r="R1135" s="11" t="n">
        <f aca="false">SUM(K1135:Q1135)</f>
        <v>191.5475</v>
      </c>
      <c r="S1135" s="11" t="n">
        <f aca="false">R1135/(1-Resumo!$C$6)</f>
        <v>217.667613636364</v>
      </c>
      <c r="T1135" s="11" t="n">
        <f aca="false">S1135-J1135</f>
        <v>76.3376136363636</v>
      </c>
      <c r="U1135" s="12" t="n">
        <f aca="false">IFERROR(S1135/J1135-1,0)</f>
        <v>0.540137363874362</v>
      </c>
      <c r="V1135" s="2" t="str">
        <f aca="false">IF(S1135&lt;J1135,"SIM","NÃO")</f>
        <v>NÃO</v>
      </c>
      <c r="W1135" s="2" t="n">
        <v>7</v>
      </c>
      <c r="X1135" s="2" t="s">
        <v>156</v>
      </c>
    </row>
    <row r="1136" customFormat="false" ht="15" hidden="false" customHeight="false" outlineLevel="0" collapsed="false">
      <c r="A1136" s="2" t="n">
        <v>377989186</v>
      </c>
      <c r="B1136" s="29" t="n">
        <v>46251.580625</v>
      </c>
      <c r="C1136" s="2" t="s">
        <v>153</v>
      </c>
      <c r="D1136" s="2" t="s">
        <v>1276</v>
      </c>
      <c r="E1136" s="2" t="s">
        <v>78</v>
      </c>
      <c r="F1136" s="2" t="s">
        <v>107</v>
      </c>
      <c r="G1136" s="30" t="n">
        <v>39</v>
      </c>
      <c r="H1136" s="11" t="n">
        <v>539.99</v>
      </c>
      <c r="I1136" s="11" t="s">
        <v>155</v>
      </c>
      <c r="J1136" s="11" t="n">
        <v>92.44</v>
      </c>
      <c r="K1136" s="11" t="n">
        <v>93.97</v>
      </c>
      <c r="L1136" s="11" t="n">
        <v>0.54</v>
      </c>
      <c r="M1136" s="11" t="n">
        <v>1.08</v>
      </c>
      <c r="N1136" s="11" t="n">
        <v>1</v>
      </c>
      <c r="O1136" s="11" t="n">
        <v>4.5</v>
      </c>
      <c r="P1136" s="11" t="n">
        <v>2.34</v>
      </c>
      <c r="Q1136" s="11" t="n">
        <v>17.55</v>
      </c>
      <c r="R1136" s="11" t="n">
        <f aca="false">SUM(K1136:Q1136)</f>
        <v>120.98</v>
      </c>
      <c r="S1136" s="11" t="n">
        <f aca="false">R1136/(1-Resumo!$C$6)</f>
        <v>137.477272727273</v>
      </c>
      <c r="T1136" s="11" t="n">
        <f aca="false">S1136-J1136</f>
        <v>45.0372727272727</v>
      </c>
      <c r="U1136" s="12" t="n">
        <f aca="false">IFERROR(S1136/J1136-1,0)</f>
        <v>0.487205460052712</v>
      </c>
      <c r="V1136" s="2" t="str">
        <f aca="false">IF(S1136&lt;J1136,"SIM","NÃO")</f>
        <v>NÃO</v>
      </c>
      <c r="W1136" s="2" t="n">
        <v>5</v>
      </c>
      <c r="X1136" s="2" t="s">
        <v>156</v>
      </c>
    </row>
    <row r="1137" customFormat="false" ht="15" hidden="false" customHeight="false" outlineLevel="0" collapsed="false">
      <c r="A1137" s="2" t="n">
        <v>377990946</v>
      </c>
      <c r="B1137" s="29" t="n">
        <v>46251.5839351852</v>
      </c>
      <c r="C1137" s="2" t="s">
        <v>158</v>
      </c>
      <c r="D1137" s="2" t="s">
        <v>1277</v>
      </c>
      <c r="E1137" s="2" t="s">
        <v>813</v>
      </c>
      <c r="F1137" s="2" t="s">
        <v>106</v>
      </c>
      <c r="G1137" s="30" t="n">
        <v>27.5</v>
      </c>
      <c r="H1137" s="11" t="n">
        <v>399.98</v>
      </c>
      <c r="I1137" s="11" t="s">
        <v>350</v>
      </c>
      <c r="J1137" s="11" t="n">
        <v>107.4</v>
      </c>
      <c r="K1137" s="11" t="n">
        <v>114.95</v>
      </c>
      <c r="L1137" s="11" t="n">
        <v>0.4</v>
      </c>
      <c r="M1137" s="11" t="n">
        <v>0.8</v>
      </c>
      <c r="N1137" s="11" t="n">
        <v>1</v>
      </c>
      <c r="O1137" s="11" t="n">
        <v>4.5</v>
      </c>
      <c r="P1137" s="11" t="n">
        <v>1.68</v>
      </c>
      <c r="Q1137" s="11" t="n">
        <v>12.6</v>
      </c>
      <c r="R1137" s="11" t="n">
        <f aca="false">SUM(K1137:Q1137)</f>
        <v>135.93</v>
      </c>
      <c r="S1137" s="11" t="n">
        <f aca="false">R1137/(1-Resumo!$C$6)</f>
        <v>154.465909090909</v>
      </c>
      <c r="T1137" s="11" t="n">
        <f aca="false">S1137-J1137</f>
        <v>47.0659090909091</v>
      </c>
      <c r="U1137" s="12" t="n">
        <f aca="false">IFERROR(S1137/J1137-1,0)</f>
        <v>0.438230066023362</v>
      </c>
      <c r="V1137" s="2" t="str">
        <f aca="false">IF(S1137&lt;J1137,"SIM","NÃO")</f>
        <v>NÃO</v>
      </c>
      <c r="W1137" s="2" t="n">
        <v>10</v>
      </c>
      <c r="X1137" s="2" t="s">
        <v>161</v>
      </c>
    </row>
    <row r="1138" customFormat="false" ht="15" hidden="false" customHeight="false" outlineLevel="0" collapsed="false">
      <c r="A1138" s="2" t="n">
        <v>377990405</v>
      </c>
      <c r="B1138" s="29" t="n">
        <v>46251.5846643519</v>
      </c>
      <c r="C1138" s="2" t="s">
        <v>178</v>
      </c>
      <c r="D1138" s="2" t="s">
        <v>400</v>
      </c>
      <c r="E1138" s="2" t="s">
        <v>78</v>
      </c>
      <c r="F1138" s="2" t="s">
        <v>106</v>
      </c>
      <c r="G1138" s="30" t="n">
        <v>22.4</v>
      </c>
      <c r="H1138" s="11" t="n">
        <v>559.99</v>
      </c>
      <c r="I1138" s="11" t="s">
        <v>350</v>
      </c>
      <c r="J1138" s="11" t="n">
        <v>78.89</v>
      </c>
      <c r="K1138" s="11" t="n">
        <v>82.21</v>
      </c>
      <c r="L1138" s="11" t="n">
        <v>0.56</v>
      </c>
      <c r="M1138" s="11" t="n">
        <v>1.12</v>
      </c>
      <c r="N1138" s="11" t="n">
        <v>1</v>
      </c>
      <c r="O1138" s="11" t="n">
        <v>4.5</v>
      </c>
      <c r="P1138" s="11" t="n">
        <v>1.38</v>
      </c>
      <c r="Q1138" s="11" t="n">
        <v>10.35</v>
      </c>
      <c r="R1138" s="11" t="n">
        <f aca="false">SUM(K1138:Q1138)</f>
        <v>101.12</v>
      </c>
      <c r="S1138" s="11" t="n">
        <f aca="false">R1138/(1-Resumo!$C$6)</f>
        <v>114.909090909091</v>
      </c>
      <c r="T1138" s="11" t="n">
        <f aca="false">S1138-J1138</f>
        <v>36.0190909090909</v>
      </c>
      <c r="U1138" s="12" t="n">
        <f aca="false">IFERROR(S1138/J1138-1,0)</f>
        <v>0.456573594994181</v>
      </c>
      <c r="V1138" s="2" t="str">
        <f aca="false">IF(S1138&lt;J1138,"SIM","NÃO")</f>
        <v>NÃO</v>
      </c>
      <c r="W1138" s="2" t="n">
        <v>5</v>
      </c>
      <c r="X1138" s="2" t="s">
        <v>156</v>
      </c>
    </row>
    <row r="1139" customFormat="false" ht="15" hidden="false" customHeight="false" outlineLevel="0" collapsed="false">
      <c r="A1139" s="2" t="n">
        <v>377998376</v>
      </c>
      <c r="B1139" s="29" t="n">
        <v>46251.6241203704</v>
      </c>
      <c r="C1139" s="2" t="s">
        <v>191</v>
      </c>
      <c r="D1139" s="2" t="s">
        <v>1278</v>
      </c>
      <c r="E1139" s="2" t="s">
        <v>377</v>
      </c>
      <c r="F1139" s="2" t="s">
        <v>113</v>
      </c>
      <c r="G1139" s="30" t="n">
        <v>105.65</v>
      </c>
      <c r="H1139" s="11" t="n">
        <v>1279.99</v>
      </c>
      <c r="I1139" s="11" t="s">
        <v>350</v>
      </c>
      <c r="J1139" s="11" t="n">
        <v>213.9</v>
      </c>
      <c r="K1139" s="11" t="n">
        <v>236.82</v>
      </c>
      <c r="L1139" s="11" t="n">
        <v>1.28</v>
      </c>
      <c r="M1139" s="11" t="n">
        <v>2.56</v>
      </c>
      <c r="N1139" s="11" t="n">
        <v>1</v>
      </c>
      <c r="O1139" s="11" t="n">
        <v>9</v>
      </c>
      <c r="P1139" s="11" t="n">
        <v>6.36</v>
      </c>
      <c r="Q1139" s="11" t="n">
        <v>47.7</v>
      </c>
      <c r="R1139" s="11" t="n">
        <f aca="false">SUM(K1139:Q1139)</f>
        <v>304.72</v>
      </c>
      <c r="S1139" s="11" t="n">
        <f aca="false">R1139/(1-Resumo!$C$6)</f>
        <v>346.272727272727</v>
      </c>
      <c r="T1139" s="11" t="n">
        <f aca="false">S1139-J1139</f>
        <v>132.372727272727</v>
      </c>
      <c r="U1139" s="12" t="n">
        <f aca="false">IFERROR(S1139/J1139-1,0)</f>
        <v>0.618853329933274</v>
      </c>
      <c r="V1139" s="2" t="str">
        <f aca="false">IF(S1139&lt;J1139,"SIM","NÃO")</f>
        <v>NÃO</v>
      </c>
      <c r="W1139" s="2" t="n">
        <v>10</v>
      </c>
      <c r="X1139" s="2" t="s">
        <v>161</v>
      </c>
    </row>
    <row r="1140" customFormat="false" ht="15" hidden="false" customHeight="false" outlineLevel="0" collapsed="false">
      <c r="A1140" s="2" t="n">
        <v>378021939</v>
      </c>
      <c r="B1140" s="29" t="n">
        <v>46251.6386574074</v>
      </c>
      <c r="C1140" s="2" t="s">
        <v>153</v>
      </c>
      <c r="D1140" s="2" t="s">
        <v>1279</v>
      </c>
      <c r="E1140" s="2" t="s">
        <v>82</v>
      </c>
      <c r="F1140" s="2" t="s">
        <v>105</v>
      </c>
      <c r="G1140" s="30" t="n">
        <v>17.2</v>
      </c>
      <c r="H1140" s="11" t="n">
        <v>223.34</v>
      </c>
      <c r="I1140" s="11" t="s">
        <v>155</v>
      </c>
      <c r="J1140" s="11" t="n">
        <v>74.92</v>
      </c>
      <c r="K1140" s="11" t="n">
        <v>57.47</v>
      </c>
      <c r="L1140" s="11" t="n">
        <v>0.2233</v>
      </c>
      <c r="M1140" s="11" t="n">
        <v>0.4467</v>
      </c>
      <c r="N1140" s="11" t="n">
        <v>1</v>
      </c>
      <c r="O1140" s="11" t="n">
        <v>4.5</v>
      </c>
      <c r="P1140" s="11" t="n">
        <v>1.08</v>
      </c>
      <c r="Q1140" s="11" t="n">
        <v>8.1</v>
      </c>
      <c r="R1140" s="11" t="n">
        <f aca="false">SUM(K1140:Q1140)</f>
        <v>72.82</v>
      </c>
      <c r="S1140" s="11" t="n">
        <f aca="false">R1140/(1-Resumo!$C$6)</f>
        <v>82.75</v>
      </c>
      <c r="T1140" s="11" t="n">
        <f aca="false">S1140-J1140</f>
        <v>7.82999999999998</v>
      </c>
      <c r="U1140" s="12" t="n">
        <f aca="false">IFERROR(S1140/J1140-1,0)</f>
        <v>0.104511478910838</v>
      </c>
      <c r="V1140" s="2" t="str">
        <f aca="false">IF(S1140&lt;J1140,"SIM","NÃO")</f>
        <v>NÃO</v>
      </c>
      <c r="W1140" s="2" t="n">
        <v>7</v>
      </c>
      <c r="X1140" s="2" t="s">
        <v>156</v>
      </c>
    </row>
    <row r="1141" customFormat="false" ht="15" hidden="false" customHeight="false" outlineLevel="0" collapsed="false">
      <c r="A1141" s="2" t="n">
        <v>378022429</v>
      </c>
      <c r="B1141" s="29" t="n">
        <v>46251.6394097222</v>
      </c>
      <c r="C1141" s="2" t="s">
        <v>158</v>
      </c>
      <c r="D1141" s="2" t="s">
        <v>1280</v>
      </c>
      <c r="E1141" s="2" t="s">
        <v>79</v>
      </c>
      <c r="F1141" s="2" t="s">
        <v>109</v>
      </c>
      <c r="G1141" s="30" t="n">
        <v>52.3</v>
      </c>
      <c r="H1141" s="11" t="n">
        <v>637.43</v>
      </c>
      <c r="I1141" s="11" t="s">
        <v>350</v>
      </c>
      <c r="J1141" s="11" t="n">
        <v>127.4</v>
      </c>
      <c r="K1141" s="11" t="n">
        <v>128.14</v>
      </c>
      <c r="L1141" s="11" t="n">
        <v>0.6374</v>
      </c>
      <c r="M1141" s="11" t="n">
        <v>1.2749</v>
      </c>
      <c r="N1141" s="11" t="n">
        <v>1</v>
      </c>
      <c r="O1141" s="11" t="n">
        <v>4.5</v>
      </c>
      <c r="P1141" s="11" t="n">
        <v>3.18</v>
      </c>
      <c r="Q1141" s="11" t="n">
        <v>23.85</v>
      </c>
      <c r="R1141" s="11" t="n">
        <f aca="false">SUM(K1141:Q1141)</f>
        <v>162.5823</v>
      </c>
      <c r="S1141" s="11" t="n">
        <f aca="false">R1141/(1-Resumo!$C$6)</f>
        <v>184.752613636364</v>
      </c>
      <c r="T1141" s="11" t="n">
        <f aca="false">S1141-J1141</f>
        <v>57.3526136363636</v>
      </c>
      <c r="U1141" s="12" t="n">
        <f aca="false">IFERROR(S1141/J1141-1,0)</f>
        <v>0.450177501070358</v>
      </c>
      <c r="V1141" s="2" t="str">
        <f aca="false">IF(S1141&lt;J1141,"SIM","NÃO")</f>
        <v>NÃO</v>
      </c>
      <c r="W1141" s="2" t="n">
        <v>7</v>
      </c>
      <c r="X1141" s="2" t="s">
        <v>156</v>
      </c>
    </row>
    <row r="1142" customFormat="false" ht="15" hidden="false" customHeight="false" outlineLevel="0" collapsed="false">
      <c r="A1142" s="2" t="n">
        <v>378022877</v>
      </c>
      <c r="B1142" s="29" t="n">
        <v>46251.6402199074</v>
      </c>
      <c r="C1142" s="2" t="s">
        <v>153</v>
      </c>
      <c r="D1142" s="2" t="s">
        <v>1281</v>
      </c>
      <c r="E1142" s="2" t="s">
        <v>78</v>
      </c>
      <c r="F1142" s="2" t="s">
        <v>108</v>
      </c>
      <c r="G1142" s="30" t="n">
        <v>41</v>
      </c>
      <c r="H1142" s="11" t="n">
        <v>559.99</v>
      </c>
      <c r="I1142" s="11" t="s">
        <v>350</v>
      </c>
      <c r="J1142" s="11" t="n">
        <v>101.09</v>
      </c>
      <c r="K1142" s="11" t="n">
        <v>93.97</v>
      </c>
      <c r="L1142" s="11" t="n">
        <v>0.56</v>
      </c>
      <c r="M1142" s="11" t="n">
        <v>1.12</v>
      </c>
      <c r="N1142" s="11" t="n">
        <v>1</v>
      </c>
      <c r="O1142" s="11" t="n">
        <v>4.5</v>
      </c>
      <c r="P1142" s="11" t="n">
        <v>2.46</v>
      </c>
      <c r="Q1142" s="11" t="n">
        <v>18.45</v>
      </c>
      <c r="R1142" s="11" t="n">
        <f aca="false">SUM(K1142:Q1142)</f>
        <v>122.06</v>
      </c>
      <c r="S1142" s="11" t="n">
        <f aca="false">R1142/(1-Resumo!$C$6)</f>
        <v>138.704545454545</v>
      </c>
      <c r="T1142" s="11" t="n">
        <f aca="false">S1142-J1142</f>
        <v>37.6145454545455</v>
      </c>
      <c r="U1142" s="12" t="n">
        <f aca="false">IFERROR(S1142/J1142-1,0)</f>
        <v>0.372089677065441</v>
      </c>
      <c r="V1142" s="2" t="str">
        <f aca="false">IF(S1142&lt;J1142,"SIM","NÃO")</f>
        <v>NÃO</v>
      </c>
      <c r="W1142" s="2" t="n">
        <v>5</v>
      </c>
      <c r="X1142" s="2" t="s">
        <v>156</v>
      </c>
    </row>
    <row r="1143" customFormat="false" ht="15" hidden="false" customHeight="false" outlineLevel="0" collapsed="false">
      <c r="A1143" s="2" t="n">
        <v>378024572</v>
      </c>
      <c r="B1143" s="29" t="n">
        <v>46251.6427199074</v>
      </c>
      <c r="C1143" s="2" t="s">
        <v>158</v>
      </c>
      <c r="D1143" s="2" t="s">
        <v>1282</v>
      </c>
      <c r="E1143" s="2" t="s">
        <v>81</v>
      </c>
      <c r="F1143" s="2" t="s">
        <v>109</v>
      </c>
      <c r="G1143" s="30" t="n">
        <v>52.3</v>
      </c>
      <c r="H1143" s="11" t="n">
        <v>640.44</v>
      </c>
      <c r="I1143" s="11" t="s">
        <v>155</v>
      </c>
      <c r="J1143" s="11" t="n">
        <v>128.35</v>
      </c>
      <c r="K1143" s="11" t="n">
        <v>112.3</v>
      </c>
      <c r="L1143" s="11" t="n">
        <v>0.6404</v>
      </c>
      <c r="M1143" s="11" t="n">
        <v>1.2809</v>
      </c>
      <c r="N1143" s="11" t="n">
        <v>1</v>
      </c>
      <c r="O1143" s="11" t="n">
        <v>4.5</v>
      </c>
      <c r="P1143" s="11" t="n">
        <v>3.18</v>
      </c>
      <c r="Q1143" s="11" t="n">
        <v>23.85</v>
      </c>
      <c r="R1143" s="11" t="n">
        <f aca="false">SUM(K1143:Q1143)</f>
        <v>146.7513</v>
      </c>
      <c r="S1143" s="11" t="n">
        <f aca="false">R1143/(1-Resumo!$C$6)</f>
        <v>166.762840909091</v>
      </c>
      <c r="T1143" s="11" t="n">
        <f aca="false">S1143-J1143</f>
        <v>38.4128409090909</v>
      </c>
      <c r="U1143" s="12" t="n">
        <f aca="false">IFERROR(S1143/J1143-1,0)</f>
        <v>0.299281970464284</v>
      </c>
      <c r="V1143" s="2" t="str">
        <f aca="false">IF(S1143&lt;J1143,"SIM","NÃO")</f>
        <v>NÃO</v>
      </c>
      <c r="W1143" s="2" t="n">
        <v>5</v>
      </c>
      <c r="X1143" s="2" t="s">
        <v>156</v>
      </c>
    </row>
    <row r="1144" customFormat="false" ht="15" hidden="false" customHeight="false" outlineLevel="0" collapsed="false">
      <c r="A1144" s="2" t="n">
        <v>378024347</v>
      </c>
      <c r="B1144" s="29" t="n">
        <v>46251.6428935185</v>
      </c>
      <c r="C1144" s="2" t="s">
        <v>158</v>
      </c>
      <c r="D1144" s="2" t="s">
        <v>1283</v>
      </c>
      <c r="E1144" s="2" t="s">
        <v>78</v>
      </c>
      <c r="F1144" s="2" t="s">
        <v>109</v>
      </c>
      <c r="G1144" s="30" t="n">
        <v>57</v>
      </c>
      <c r="H1144" s="11" t="n">
        <v>692.99</v>
      </c>
      <c r="I1144" s="11" t="s">
        <v>155</v>
      </c>
      <c r="J1144" s="11" t="n">
        <v>114.48</v>
      </c>
      <c r="K1144" s="11" t="n">
        <v>112.3</v>
      </c>
      <c r="L1144" s="11" t="n">
        <v>0.693</v>
      </c>
      <c r="M1144" s="11" t="n">
        <v>1.386</v>
      </c>
      <c r="N1144" s="11" t="n">
        <v>1</v>
      </c>
      <c r="O1144" s="11" t="n">
        <v>4.5</v>
      </c>
      <c r="P1144" s="11" t="n">
        <v>3.42</v>
      </c>
      <c r="Q1144" s="11" t="n">
        <v>25.65</v>
      </c>
      <c r="R1144" s="11" t="n">
        <f aca="false">SUM(K1144:Q1144)</f>
        <v>148.949</v>
      </c>
      <c r="S1144" s="11" t="n">
        <f aca="false">R1144/(1-Resumo!$C$6)</f>
        <v>169.260227272727</v>
      </c>
      <c r="T1144" s="11" t="n">
        <f aca="false">S1144-J1144</f>
        <v>54.7802272727273</v>
      </c>
      <c r="U1144" s="12" t="n">
        <f aca="false">IFERROR(S1144/J1144-1,0)</f>
        <v>0.478513515659742</v>
      </c>
      <c r="V1144" s="2" t="str">
        <f aca="false">IF(S1144&lt;J1144,"SIM","NÃO")</f>
        <v>NÃO</v>
      </c>
      <c r="W1144" s="2" t="n">
        <v>5</v>
      </c>
      <c r="X1144" s="2" t="s">
        <v>156</v>
      </c>
    </row>
    <row r="1145" customFormat="false" ht="15" hidden="false" customHeight="false" outlineLevel="0" collapsed="false">
      <c r="A1145" s="2" t="n">
        <v>378036655</v>
      </c>
      <c r="B1145" s="29" t="n">
        <v>46251.6640856482</v>
      </c>
      <c r="C1145" s="2" t="s">
        <v>153</v>
      </c>
      <c r="D1145" s="2" t="s">
        <v>1284</v>
      </c>
      <c r="E1145" s="2" t="s">
        <v>260</v>
      </c>
      <c r="F1145" s="2" t="s">
        <v>106</v>
      </c>
      <c r="G1145" s="30" t="n">
        <v>31.9</v>
      </c>
      <c r="H1145" s="11" t="n">
        <v>518.79</v>
      </c>
      <c r="I1145" s="11" t="s">
        <v>350</v>
      </c>
      <c r="J1145" s="11" t="n">
        <v>110.01</v>
      </c>
      <c r="K1145" s="11" t="n">
        <v>120.78</v>
      </c>
      <c r="L1145" s="11" t="n">
        <v>0.5188</v>
      </c>
      <c r="M1145" s="11" t="n">
        <v>1.0376</v>
      </c>
      <c r="N1145" s="11" t="n">
        <v>1</v>
      </c>
      <c r="O1145" s="11" t="n">
        <v>4.5</v>
      </c>
      <c r="P1145" s="11" t="n">
        <v>1.92</v>
      </c>
      <c r="Q1145" s="11" t="n">
        <v>14.4</v>
      </c>
      <c r="R1145" s="11" t="n">
        <f aca="false">SUM(K1145:Q1145)</f>
        <v>144.1564</v>
      </c>
      <c r="S1145" s="11" t="n">
        <f aca="false">R1145/(1-Resumo!$C$6)</f>
        <v>163.814090909091</v>
      </c>
      <c r="T1145" s="11" t="n">
        <f aca="false">S1145-J1145</f>
        <v>53.8040909090909</v>
      </c>
      <c r="U1145" s="12" t="n">
        <f aca="false">IFERROR(S1145/J1145-1,0)</f>
        <v>0.489083637024734</v>
      </c>
      <c r="V1145" s="2" t="str">
        <f aca="false">IF(S1145&lt;J1145,"SIM","NÃO")</f>
        <v>NÃO</v>
      </c>
      <c r="W1145" s="2" t="n">
        <v>10</v>
      </c>
      <c r="X1145" s="2" t="s">
        <v>161</v>
      </c>
    </row>
    <row r="1146" customFormat="false" ht="15" hidden="false" customHeight="false" outlineLevel="0" collapsed="false">
      <c r="A1146" s="2" t="n">
        <v>378047311</v>
      </c>
      <c r="B1146" s="29" t="n">
        <v>46251.6833101852</v>
      </c>
      <c r="C1146" s="2" t="s">
        <v>153</v>
      </c>
      <c r="D1146" s="2" t="s">
        <v>524</v>
      </c>
      <c r="E1146" s="2" t="s">
        <v>525</v>
      </c>
      <c r="F1146" s="2" t="s">
        <v>106</v>
      </c>
      <c r="G1146" s="30" t="n">
        <v>28.8</v>
      </c>
      <c r="H1146" s="11" t="n">
        <v>929.99</v>
      </c>
      <c r="I1146" s="11" t="s">
        <v>350</v>
      </c>
      <c r="J1146" s="11" t="n">
        <v>110.43</v>
      </c>
      <c r="K1146" s="11" t="n">
        <v>138.29</v>
      </c>
      <c r="L1146" s="11" t="n">
        <v>0.93</v>
      </c>
      <c r="M1146" s="11" t="n">
        <v>1.86</v>
      </c>
      <c r="N1146" s="11" t="n">
        <v>1</v>
      </c>
      <c r="O1146" s="11" t="n">
        <v>4.5</v>
      </c>
      <c r="P1146" s="11" t="n">
        <v>1.74</v>
      </c>
      <c r="Q1146" s="11" t="n">
        <v>13.05</v>
      </c>
      <c r="R1146" s="11" t="n">
        <f aca="false">SUM(K1146:Q1146)</f>
        <v>161.37</v>
      </c>
      <c r="S1146" s="11" t="n">
        <f aca="false">R1146/(1-Resumo!$C$6)</f>
        <v>183.375</v>
      </c>
      <c r="T1146" s="11" t="n">
        <f aca="false">S1146-J1146</f>
        <v>72.945</v>
      </c>
      <c r="U1146" s="12" t="n">
        <f aca="false">IFERROR(S1146/J1146-1,0)</f>
        <v>0.660554197229014</v>
      </c>
      <c r="V1146" s="2" t="str">
        <f aca="false">IF(S1146&lt;J1146,"SIM","NÃO")</f>
        <v>NÃO</v>
      </c>
      <c r="W1146" s="2" t="n">
        <v>11</v>
      </c>
      <c r="X1146" s="2" t="s">
        <v>161</v>
      </c>
    </row>
    <row r="1147" customFormat="false" ht="15" hidden="false" customHeight="false" outlineLevel="0" collapsed="false">
      <c r="A1147" s="2" t="n">
        <v>378052959</v>
      </c>
      <c r="B1147" s="29" t="n">
        <v>46251.6934375</v>
      </c>
      <c r="C1147" s="2" t="s">
        <v>153</v>
      </c>
      <c r="D1147" s="2" t="s">
        <v>1285</v>
      </c>
      <c r="E1147" s="2" t="s">
        <v>92</v>
      </c>
      <c r="F1147" s="2" t="s">
        <v>106</v>
      </c>
      <c r="G1147" s="30" t="n">
        <v>27</v>
      </c>
      <c r="H1147" s="11" t="n">
        <v>349.99</v>
      </c>
      <c r="I1147" s="11" t="s">
        <v>350</v>
      </c>
      <c r="J1147" s="11" t="n">
        <v>106.64</v>
      </c>
      <c r="K1147" s="11" t="n">
        <v>114.95</v>
      </c>
      <c r="L1147" s="11" t="n">
        <v>0.35</v>
      </c>
      <c r="M1147" s="11" t="n">
        <v>0.7</v>
      </c>
      <c r="N1147" s="11" t="n">
        <v>1</v>
      </c>
      <c r="O1147" s="11" t="n">
        <v>4.5</v>
      </c>
      <c r="P1147" s="11" t="n">
        <v>1.62</v>
      </c>
      <c r="Q1147" s="11" t="n">
        <v>12.15</v>
      </c>
      <c r="R1147" s="11" t="n">
        <f aca="false">SUM(K1147:Q1147)</f>
        <v>135.27</v>
      </c>
      <c r="S1147" s="11" t="n">
        <f aca="false">R1147/(1-Resumo!$C$6)</f>
        <v>153.715909090909</v>
      </c>
      <c r="T1147" s="11" t="n">
        <f aca="false">S1147-J1147</f>
        <v>47.0759090909091</v>
      </c>
      <c r="U1147" s="12" t="n">
        <f aca="false">IFERROR(S1147/J1147-1,0)</f>
        <v>0.441447009479643</v>
      </c>
      <c r="V1147" s="2" t="str">
        <f aca="false">IF(S1147&lt;J1147,"SIM","NÃO")</f>
        <v>NÃO</v>
      </c>
      <c r="W1147" s="2" t="n">
        <v>10</v>
      </c>
      <c r="X1147" s="2" t="s">
        <v>156</v>
      </c>
    </row>
    <row r="1148" customFormat="false" ht="15" hidden="false" customHeight="false" outlineLevel="0" collapsed="false">
      <c r="A1148" s="2" t="n">
        <v>378053402</v>
      </c>
      <c r="B1148" s="29" t="n">
        <v>46251.6972222222</v>
      </c>
      <c r="C1148" s="2" t="s">
        <v>191</v>
      </c>
      <c r="D1148" s="2" t="s">
        <v>1286</v>
      </c>
      <c r="E1148" s="2" t="s">
        <v>86</v>
      </c>
      <c r="F1148" s="2" t="s">
        <v>108</v>
      </c>
      <c r="G1148" s="30" t="n">
        <v>46.8</v>
      </c>
      <c r="H1148" s="11" t="n">
        <v>587.49</v>
      </c>
      <c r="I1148" s="11" t="s">
        <v>350</v>
      </c>
      <c r="J1148" s="11" t="n">
        <v>117.69</v>
      </c>
      <c r="K1148" s="11" t="n">
        <v>93.97</v>
      </c>
      <c r="L1148" s="11" t="n">
        <v>0.5875</v>
      </c>
      <c r="M1148" s="11" t="n">
        <v>1.175</v>
      </c>
      <c r="N1148" s="11" t="n">
        <v>1</v>
      </c>
      <c r="O1148" s="11" t="n">
        <v>4.5</v>
      </c>
      <c r="P1148" s="11" t="n">
        <v>2.82</v>
      </c>
      <c r="Q1148" s="11" t="n">
        <v>21.15</v>
      </c>
      <c r="R1148" s="11" t="n">
        <f aca="false">SUM(K1148:Q1148)</f>
        <v>125.2025</v>
      </c>
      <c r="S1148" s="11" t="n">
        <f aca="false">R1148/(1-Resumo!$C$6)</f>
        <v>142.275568181818</v>
      </c>
      <c r="T1148" s="11" t="n">
        <f aca="false">S1148-J1148</f>
        <v>24.5855681818182</v>
      </c>
      <c r="U1148" s="12" t="n">
        <f aca="false">IFERROR(S1148/J1148-1,0)</f>
        <v>0.208901080651017</v>
      </c>
      <c r="V1148" s="2" t="str">
        <f aca="false">IF(S1148&lt;J1148,"SIM","NÃO")</f>
        <v>NÃO</v>
      </c>
      <c r="W1148" s="2" t="n">
        <v>5</v>
      </c>
      <c r="X1148" s="2" t="s">
        <v>156</v>
      </c>
    </row>
    <row r="1149" customFormat="false" ht="15" hidden="false" customHeight="false" outlineLevel="0" collapsed="false">
      <c r="A1149" s="2" t="n">
        <v>378066536</v>
      </c>
      <c r="B1149" s="29" t="n">
        <v>46251.7174652778</v>
      </c>
      <c r="C1149" s="2" t="s">
        <v>153</v>
      </c>
      <c r="D1149" s="2" t="s">
        <v>1287</v>
      </c>
      <c r="E1149" s="2" t="s">
        <v>78</v>
      </c>
      <c r="F1149" s="2" t="s">
        <v>107</v>
      </c>
      <c r="G1149" s="30" t="n">
        <v>35.3</v>
      </c>
      <c r="H1149" s="11" t="n">
        <v>441.87</v>
      </c>
      <c r="I1149" s="11" t="s">
        <v>155</v>
      </c>
      <c r="J1149" s="11" t="n">
        <v>91.97</v>
      </c>
      <c r="K1149" s="11" t="n">
        <v>93.97</v>
      </c>
      <c r="L1149" s="11" t="n">
        <v>0.4419</v>
      </c>
      <c r="M1149" s="11" t="n">
        <v>0.8837</v>
      </c>
      <c r="N1149" s="11" t="n">
        <v>1</v>
      </c>
      <c r="O1149" s="11" t="n">
        <v>4.5</v>
      </c>
      <c r="P1149" s="11" t="n">
        <v>2.16</v>
      </c>
      <c r="Q1149" s="11" t="n">
        <v>16.2</v>
      </c>
      <c r="R1149" s="11" t="n">
        <f aca="false">SUM(K1149:Q1149)</f>
        <v>119.1556</v>
      </c>
      <c r="S1149" s="11" t="n">
        <f aca="false">R1149/(1-Resumo!$C$6)</f>
        <v>135.404090909091</v>
      </c>
      <c r="T1149" s="11" t="n">
        <f aca="false">S1149-J1149</f>
        <v>43.4340909090909</v>
      </c>
      <c r="U1149" s="12" t="n">
        <f aca="false">IFERROR(S1149/J1149-1,0)</f>
        <v>0.472263682821473</v>
      </c>
      <c r="V1149" s="2" t="str">
        <f aca="false">IF(S1149&lt;J1149,"SIM","NÃO")</f>
        <v>NÃO</v>
      </c>
      <c r="W1149" s="2" t="n">
        <v>5</v>
      </c>
      <c r="X1149" s="2" t="s">
        <v>156</v>
      </c>
    </row>
    <row r="1150" customFormat="false" ht="15" hidden="false" customHeight="false" outlineLevel="0" collapsed="false">
      <c r="A1150" s="2" t="n">
        <v>378067473</v>
      </c>
      <c r="B1150" s="29" t="n">
        <v>46251.719212963</v>
      </c>
      <c r="C1150" s="2" t="s">
        <v>153</v>
      </c>
      <c r="D1150" s="2" t="s">
        <v>760</v>
      </c>
      <c r="E1150" s="2" t="s">
        <v>78</v>
      </c>
      <c r="F1150" s="2" t="s">
        <v>105</v>
      </c>
      <c r="G1150" s="30" t="n">
        <v>17.2</v>
      </c>
      <c r="H1150" s="11" t="n">
        <v>223.34</v>
      </c>
      <c r="I1150" s="11" t="s">
        <v>155</v>
      </c>
      <c r="J1150" s="11" t="n">
        <v>64.3</v>
      </c>
      <c r="K1150" s="11" t="n">
        <v>46.98</v>
      </c>
      <c r="L1150" s="11" t="n">
        <v>0.2233</v>
      </c>
      <c r="M1150" s="11" t="n">
        <v>0.4467</v>
      </c>
      <c r="N1150" s="11" t="n">
        <v>1</v>
      </c>
      <c r="O1150" s="11" t="n">
        <v>4.5</v>
      </c>
      <c r="P1150" s="11" t="n">
        <v>1.08</v>
      </c>
      <c r="Q1150" s="11" t="n">
        <v>8.1</v>
      </c>
      <c r="R1150" s="11" t="n">
        <f aca="false">SUM(K1150:Q1150)</f>
        <v>62.33</v>
      </c>
      <c r="S1150" s="11" t="n">
        <f aca="false">R1150/(1-Resumo!$C$6)</f>
        <v>70.8295454545455</v>
      </c>
      <c r="T1150" s="11" t="n">
        <f aca="false">S1150-J1150</f>
        <v>6.52954545454546</v>
      </c>
      <c r="U1150" s="12" t="n">
        <f aca="false">IFERROR(S1150/J1150-1,0)</f>
        <v>0.101548140817192</v>
      </c>
      <c r="V1150" s="2" t="str">
        <f aca="false">IF(S1150&lt;J1150,"SIM","NÃO")</f>
        <v>NÃO</v>
      </c>
      <c r="W1150" s="2" t="n">
        <v>5</v>
      </c>
      <c r="X1150" s="2" t="s">
        <v>156</v>
      </c>
    </row>
    <row r="1151" customFormat="false" ht="15" hidden="false" customHeight="false" outlineLevel="0" collapsed="false">
      <c r="A1151" s="2" t="n">
        <v>378079460</v>
      </c>
      <c r="B1151" s="29" t="n">
        <v>46251.7431018519</v>
      </c>
      <c r="C1151" s="2" t="s">
        <v>158</v>
      </c>
      <c r="D1151" s="2" t="s">
        <v>1288</v>
      </c>
      <c r="E1151" s="2" t="s">
        <v>186</v>
      </c>
      <c r="F1151" s="2" t="s">
        <v>111</v>
      </c>
      <c r="G1151" s="30" t="n">
        <v>79.26</v>
      </c>
      <c r="H1151" s="11" t="n">
        <v>746</v>
      </c>
      <c r="I1151" s="11" t="s">
        <v>350</v>
      </c>
      <c r="J1151" s="11" t="n">
        <v>171.03</v>
      </c>
      <c r="K1151" s="11" t="n">
        <v>134.39</v>
      </c>
      <c r="L1151" s="11" t="n">
        <v>0.746</v>
      </c>
      <c r="M1151" s="11" t="n">
        <v>1.492</v>
      </c>
      <c r="N1151" s="11" t="n">
        <v>1</v>
      </c>
      <c r="O1151" s="11" t="n">
        <v>4.5</v>
      </c>
      <c r="P1151" s="11" t="n">
        <v>4.8</v>
      </c>
      <c r="Q1151" s="11" t="n">
        <v>36</v>
      </c>
      <c r="R1151" s="11" t="n">
        <f aca="false">SUM(K1151:Q1151)</f>
        <v>182.928</v>
      </c>
      <c r="S1151" s="11" t="n">
        <f aca="false">R1151/(1-Resumo!$C$6)</f>
        <v>207.872727272727</v>
      </c>
      <c r="T1151" s="11" t="n">
        <f aca="false">S1151-J1151</f>
        <v>36.8427272727273</v>
      </c>
      <c r="U1151" s="12" t="n">
        <f aca="false">IFERROR(S1151/J1151-1,0)</f>
        <v>0.215416753041731</v>
      </c>
      <c r="V1151" s="2" t="str">
        <f aca="false">IF(S1151&lt;J1151,"SIM","NÃO")</f>
        <v>NÃO</v>
      </c>
      <c r="W1151" s="2" t="n">
        <v>5</v>
      </c>
      <c r="X1151" s="2" t="s">
        <v>161</v>
      </c>
    </row>
    <row r="1152" customFormat="false" ht="15" hidden="false" customHeight="false" outlineLevel="0" collapsed="false">
      <c r="A1152" s="2" t="n">
        <v>378087939</v>
      </c>
      <c r="B1152" s="29" t="n">
        <v>46251.759849537</v>
      </c>
      <c r="C1152" s="2" t="s">
        <v>158</v>
      </c>
      <c r="D1152" s="2" t="s">
        <v>1289</v>
      </c>
      <c r="E1152" s="2" t="s">
        <v>78</v>
      </c>
      <c r="F1152" s="2" t="s">
        <v>106</v>
      </c>
      <c r="G1152" s="30" t="n">
        <v>22.6</v>
      </c>
      <c r="H1152" s="11" t="n">
        <v>474</v>
      </c>
      <c r="I1152" s="11" t="s">
        <v>350</v>
      </c>
      <c r="J1152" s="11" t="n">
        <v>78.48</v>
      </c>
      <c r="K1152" s="11" t="n">
        <v>82.21</v>
      </c>
      <c r="L1152" s="11" t="n">
        <v>0.474</v>
      </c>
      <c r="M1152" s="11" t="n">
        <v>0.948</v>
      </c>
      <c r="N1152" s="11" t="n">
        <v>1</v>
      </c>
      <c r="O1152" s="11" t="n">
        <v>4.5</v>
      </c>
      <c r="P1152" s="11" t="n">
        <v>1.38</v>
      </c>
      <c r="Q1152" s="11" t="n">
        <v>10.35</v>
      </c>
      <c r="R1152" s="11" t="n">
        <f aca="false">SUM(K1152:Q1152)</f>
        <v>100.862</v>
      </c>
      <c r="S1152" s="11" t="n">
        <f aca="false">R1152/(1-Resumo!$C$6)</f>
        <v>114.615909090909</v>
      </c>
      <c r="T1152" s="11" t="n">
        <f aca="false">S1152-J1152</f>
        <v>36.1359090909091</v>
      </c>
      <c r="U1152" s="12" t="n">
        <f aca="false">IFERROR(S1152/J1152-1,0)</f>
        <v>0.460447363543694</v>
      </c>
      <c r="V1152" s="2" t="str">
        <f aca="false">IF(S1152&lt;J1152,"SIM","NÃO")</f>
        <v>NÃO</v>
      </c>
      <c r="W1152" s="2" t="n">
        <v>5</v>
      </c>
      <c r="X1152" s="2" t="s">
        <v>156</v>
      </c>
    </row>
    <row r="1153" customFormat="false" ht="15" hidden="false" customHeight="false" outlineLevel="0" collapsed="false">
      <c r="A1153" s="2" t="n">
        <v>378087984</v>
      </c>
      <c r="B1153" s="29" t="n">
        <v>46251.7599537037</v>
      </c>
      <c r="C1153" s="2" t="s">
        <v>158</v>
      </c>
      <c r="D1153" s="2" t="s">
        <v>1290</v>
      </c>
      <c r="E1153" s="2" t="s">
        <v>80</v>
      </c>
      <c r="F1153" s="2" t="s">
        <v>109</v>
      </c>
      <c r="G1153" s="30" t="n">
        <v>51.3</v>
      </c>
      <c r="H1153" s="11" t="n">
        <v>993.71</v>
      </c>
      <c r="I1153" s="11" t="s">
        <v>155</v>
      </c>
      <c r="J1153" s="11" t="n">
        <v>130.06</v>
      </c>
      <c r="K1153" s="11" t="n">
        <v>112.3</v>
      </c>
      <c r="L1153" s="11" t="n">
        <v>0.9937</v>
      </c>
      <c r="M1153" s="11" t="n">
        <v>1.9874</v>
      </c>
      <c r="N1153" s="11" t="n">
        <v>1</v>
      </c>
      <c r="O1153" s="11" t="n">
        <v>4.5</v>
      </c>
      <c r="P1153" s="11" t="n">
        <v>3.12</v>
      </c>
      <c r="Q1153" s="11" t="n">
        <v>23.4</v>
      </c>
      <c r="R1153" s="11" t="n">
        <f aca="false">SUM(K1153:Q1153)</f>
        <v>147.3011</v>
      </c>
      <c r="S1153" s="11" t="n">
        <f aca="false">R1153/(1-Resumo!$C$6)</f>
        <v>167.387613636364</v>
      </c>
      <c r="T1153" s="11" t="n">
        <f aca="false">S1153-J1153</f>
        <v>37.3276136363636</v>
      </c>
      <c r="U1153" s="12" t="n">
        <f aca="false">IFERROR(S1153/J1153-1,0)</f>
        <v>0.287003026575147</v>
      </c>
      <c r="V1153" s="2" t="str">
        <f aca="false">IF(S1153&lt;J1153,"SIM","NÃO")</f>
        <v>NÃO</v>
      </c>
      <c r="W1153" s="2" t="n">
        <v>5</v>
      </c>
      <c r="X1153" s="2" t="s">
        <v>156</v>
      </c>
    </row>
    <row r="1154" customFormat="false" ht="15" hidden="false" customHeight="false" outlineLevel="0" collapsed="false">
      <c r="A1154" s="2" t="n">
        <v>378090390</v>
      </c>
      <c r="B1154" s="29" t="n">
        <v>46251.7650231482</v>
      </c>
      <c r="C1154" s="2" t="s">
        <v>153</v>
      </c>
      <c r="D1154" s="2" t="s">
        <v>1291</v>
      </c>
      <c r="E1154" s="2" t="s">
        <v>97</v>
      </c>
      <c r="F1154" s="2" t="s">
        <v>108</v>
      </c>
      <c r="G1154" s="30" t="n">
        <v>41</v>
      </c>
      <c r="H1154" s="11" t="n">
        <v>559.99</v>
      </c>
      <c r="I1154" s="11" t="s">
        <v>350</v>
      </c>
      <c r="J1154" s="11" t="n">
        <v>128.53</v>
      </c>
      <c r="K1154" s="11" t="n">
        <v>129.29</v>
      </c>
      <c r="L1154" s="11" t="n">
        <v>0.56</v>
      </c>
      <c r="M1154" s="11" t="n">
        <v>1.12</v>
      </c>
      <c r="N1154" s="11" t="n">
        <v>1</v>
      </c>
      <c r="O1154" s="11" t="n">
        <v>4.5</v>
      </c>
      <c r="P1154" s="11" t="n">
        <v>2.46</v>
      </c>
      <c r="Q1154" s="11" t="n">
        <v>18.45</v>
      </c>
      <c r="R1154" s="11" t="n">
        <f aca="false">SUM(K1154:Q1154)</f>
        <v>157.38</v>
      </c>
      <c r="S1154" s="11" t="n">
        <f aca="false">R1154/(1-Resumo!$C$6)</f>
        <v>178.840909090909</v>
      </c>
      <c r="T1154" s="11" t="n">
        <f aca="false">S1154-J1154</f>
        <v>50.3109090909091</v>
      </c>
      <c r="U1154" s="12" t="n">
        <f aca="false">IFERROR(S1154/J1154-1,0)</f>
        <v>0.391433199182363</v>
      </c>
      <c r="V1154" s="2" t="str">
        <f aca="false">IF(S1154&lt;J1154,"SIM","NÃO")</f>
        <v>NÃO</v>
      </c>
      <c r="W1154" s="2" t="n">
        <v>10</v>
      </c>
      <c r="X1154" s="2" t="s">
        <v>156</v>
      </c>
    </row>
    <row r="1155" customFormat="false" ht="15" hidden="false" customHeight="false" outlineLevel="0" collapsed="false">
      <c r="A1155" s="2" t="n">
        <v>378095002</v>
      </c>
      <c r="B1155" s="29" t="n">
        <v>46251.7744328704</v>
      </c>
      <c r="C1155" s="2" t="s">
        <v>153</v>
      </c>
      <c r="D1155" s="2" t="s">
        <v>1292</v>
      </c>
      <c r="E1155" s="2" t="s">
        <v>160</v>
      </c>
      <c r="F1155" s="2" t="s">
        <v>114</v>
      </c>
      <c r="G1155" s="30" t="n">
        <v>124.2</v>
      </c>
      <c r="H1155" s="11" t="n">
        <v>1567.98</v>
      </c>
      <c r="I1155" s="11" t="s">
        <v>350</v>
      </c>
      <c r="J1155" s="11" t="n">
        <v>236.48</v>
      </c>
      <c r="K1155" s="11" t="n">
        <v>239.25</v>
      </c>
      <c r="L1155" s="11" t="n">
        <v>1.568</v>
      </c>
      <c r="M1155" s="11" t="n">
        <v>3.136</v>
      </c>
      <c r="N1155" s="11" t="n">
        <v>1</v>
      </c>
      <c r="O1155" s="11" t="n">
        <v>9</v>
      </c>
      <c r="P1155" s="11" t="n">
        <v>7.5</v>
      </c>
      <c r="Q1155" s="11" t="n">
        <v>56.25</v>
      </c>
      <c r="R1155" s="11" t="n">
        <f aca="false">SUM(K1155:Q1155)</f>
        <v>317.704</v>
      </c>
      <c r="S1155" s="11" t="n">
        <f aca="false">R1155/(1-Resumo!$C$6)</f>
        <v>361.027272727273</v>
      </c>
      <c r="T1155" s="11" t="n">
        <f aca="false">S1155-J1155</f>
        <v>124.547272727273</v>
      </c>
      <c r="U1155" s="12" t="n">
        <f aca="false">IFERROR(S1155/J1155-1,0)</f>
        <v>0.52667148480748</v>
      </c>
      <c r="V1155" s="2" t="str">
        <f aca="false">IF(S1155&lt;J1155,"SIM","NÃO")</f>
        <v>NÃO</v>
      </c>
      <c r="W1155" s="2" t="n">
        <v>5</v>
      </c>
      <c r="X1155" s="2" t="s">
        <v>161</v>
      </c>
    </row>
    <row r="1156" customFormat="false" ht="15" hidden="false" customHeight="false" outlineLevel="0" collapsed="false">
      <c r="A1156" s="2" t="n">
        <v>378099978</v>
      </c>
      <c r="B1156" s="29" t="n">
        <v>46251.7840277778</v>
      </c>
      <c r="C1156" s="2" t="s">
        <v>153</v>
      </c>
      <c r="D1156" s="2" t="s">
        <v>1293</v>
      </c>
      <c r="E1156" s="2" t="s">
        <v>89</v>
      </c>
      <c r="F1156" s="2" t="s">
        <v>107</v>
      </c>
      <c r="G1156" s="30" t="n">
        <v>37.6</v>
      </c>
      <c r="H1156" s="11" t="n">
        <v>459.99</v>
      </c>
      <c r="I1156" s="11" t="s">
        <v>350</v>
      </c>
      <c r="J1156" s="11" t="n">
        <v>123.42</v>
      </c>
      <c r="K1156" s="11" t="n">
        <v>124.38</v>
      </c>
      <c r="L1156" s="11" t="n">
        <v>0.46</v>
      </c>
      <c r="M1156" s="11" t="n">
        <v>0.92</v>
      </c>
      <c r="N1156" s="11" t="n">
        <v>1</v>
      </c>
      <c r="O1156" s="11" t="n">
        <v>4.5</v>
      </c>
      <c r="P1156" s="11" t="n">
        <v>2.28</v>
      </c>
      <c r="Q1156" s="11" t="n">
        <v>17.1</v>
      </c>
      <c r="R1156" s="11" t="n">
        <f aca="false">SUM(K1156:Q1156)</f>
        <v>150.64</v>
      </c>
      <c r="S1156" s="11" t="n">
        <f aca="false">R1156/(1-Resumo!$C$6)</f>
        <v>171.181818181818</v>
      </c>
      <c r="T1156" s="11" t="n">
        <f aca="false">S1156-J1156</f>
        <v>47.7618181818182</v>
      </c>
      <c r="U1156" s="12" t="n">
        <f aca="false">IFERROR(S1156/J1156-1,0)</f>
        <v>0.386986049115363</v>
      </c>
      <c r="V1156" s="2" t="str">
        <f aca="false">IF(S1156&lt;J1156,"SIM","NÃO")</f>
        <v>NÃO</v>
      </c>
      <c r="W1156" s="2" t="n">
        <v>8</v>
      </c>
      <c r="X1156" s="2" t="s">
        <v>156</v>
      </c>
    </row>
    <row r="1157" customFormat="false" ht="15" hidden="false" customHeight="false" outlineLevel="0" collapsed="false">
      <c r="A1157" s="2" t="n">
        <v>378104113</v>
      </c>
      <c r="B1157" s="29" t="n">
        <v>46251.7923148148</v>
      </c>
      <c r="C1157" s="2" t="s">
        <v>153</v>
      </c>
      <c r="D1157" s="2" t="s">
        <v>1294</v>
      </c>
      <c r="E1157" s="2" t="s">
        <v>78</v>
      </c>
      <c r="F1157" s="2" t="s">
        <v>114</v>
      </c>
      <c r="G1157" s="30" t="n">
        <v>124.2</v>
      </c>
      <c r="H1157" s="11" t="n">
        <v>1567.98</v>
      </c>
      <c r="I1157" s="11" t="s">
        <v>155</v>
      </c>
      <c r="J1157" s="11" t="n">
        <v>233.82</v>
      </c>
      <c r="K1157" s="11" t="n">
        <v>239.25</v>
      </c>
      <c r="L1157" s="11" t="n">
        <v>1.568</v>
      </c>
      <c r="M1157" s="11" t="n">
        <v>3.136</v>
      </c>
      <c r="N1157" s="11" t="n">
        <v>1</v>
      </c>
      <c r="O1157" s="11" t="n">
        <v>9</v>
      </c>
      <c r="P1157" s="11" t="n">
        <v>7.5</v>
      </c>
      <c r="Q1157" s="11" t="n">
        <v>56.25</v>
      </c>
      <c r="R1157" s="11" t="n">
        <f aca="false">SUM(K1157:Q1157)</f>
        <v>317.704</v>
      </c>
      <c r="S1157" s="11" t="n">
        <f aca="false">R1157/(1-Resumo!$C$6)</f>
        <v>361.027272727273</v>
      </c>
      <c r="T1157" s="11" t="n">
        <f aca="false">S1157-J1157</f>
        <v>127.207272727273</v>
      </c>
      <c r="U1157" s="12" t="n">
        <f aca="false">IFERROR(S1157/J1157-1,0)</f>
        <v>0.544039315401902</v>
      </c>
      <c r="V1157" s="2" t="str">
        <f aca="false">IF(S1157&lt;J1157,"SIM","NÃO")</f>
        <v>NÃO</v>
      </c>
      <c r="W1157" s="2" t="n">
        <v>5</v>
      </c>
      <c r="X1157" s="2" t="s">
        <v>156</v>
      </c>
    </row>
    <row r="1158" customFormat="false" ht="15" hidden="false" customHeight="false" outlineLevel="0" collapsed="false">
      <c r="A1158" s="2" t="n">
        <v>378105251</v>
      </c>
      <c r="B1158" s="29" t="n">
        <v>46251.794537037</v>
      </c>
      <c r="C1158" s="2" t="s">
        <v>153</v>
      </c>
      <c r="D1158" s="2" t="s">
        <v>1295</v>
      </c>
      <c r="E1158" s="2" t="s">
        <v>342</v>
      </c>
      <c r="F1158" s="2" t="s">
        <v>109</v>
      </c>
      <c r="G1158" s="30" t="n">
        <v>52.3</v>
      </c>
      <c r="H1158" s="11" t="n">
        <v>577.12</v>
      </c>
      <c r="I1158" s="11" t="s">
        <v>350</v>
      </c>
      <c r="J1158" s="11" t="n">
        <v>141.42</v>
      </c>
      <c r="K1158" s="11" t="n">
        <v>142.32</v>
      </c>
      <c r="L1158" s="11" t="n">
        <v>0.5771</v>
      </c>
      <c r="M1158" s="11" t="n">
        <v>1.1542</v>
      </c>
      <c r="N1158" s="11" t="n">
        <v>1</v>
      </c>
      <c r="O1158" s="11" t="n">
        <v>4.5</v>
      </c>
      <c r="P1158" s="11" t="n">
        <v>3.18</v>
      </c>
      <c r="Q1158" s="11" t="n">
        <v>23.85</v>
      </c>
      <c r="R1158" s="11" t="n">
        <f aca="false">SUM(K1158:Q1158)</f>
        <v>176.5813</v>
      </c>
      <c r="S1158" s="11" t="n">
        <f aca="false">R1158/(1-Resumo!$C$6)</f>
        <v>200.660568181818</v>
      </c>
      <c r="T1158" s="11" t="n">
        <f aca="false">S1158-J1158</f>
        <v>59.2405681818182</v>
      </c>
      <c r="U1158" s="12" t="n">
        <f aca="false">IFERROR(S1158/J1158-1,0)</f>
        <v>0.418898092079043</v>
      </c>
      <c r="V1158" s="2" t="str">
        <f aca="false">IF(S1158&lt;J1158,"SIM","NÃO")</f>
        <v>NÃO</v>
      </c>
      <c r="W1158" s="2" t="n">
        <v>10</v>
      </c>
      <c r="X1158" s="2" t="s">
        <v>161</v>
      </c>
    </row>
    <row r="1159" customFormat="false" ht="15" hidden="false" customHeight="false" outlineLevel="0" collapsed="false">
      <c r="A1159" s="2" t="n">
        <v>378110430</v>
      </c>
      <c r="B1159" s="29" t="n">
        <v>46251.8034606482</v>
      </c>
      <c r="C1159" s="2" t="s">
        <v>153</v>
      </c>
      <c r="D1159" s="2" t="s">
        <v>1296</v>
      </c>
      <c r="E1159" s="2"/>
      <c r="F1159" s="2" t="s">
        <v>108</v>
      </c>
      <c r="G1159" s="30" t="n">
        <v>44.6</v>
      </c>
      <c r="H1159" s="11" t="n">
        <v>579.99</v>
      </c>
      <c r="I1159" s="11" t="s">
        <v>350</v>
      </c>
      <c r="J1159" s="11" t="n">
        <v>130.67</v>
      </c>
      <c r="K1159" s="11" t="n">
        <v>152.54</v>
      </c>
      <c r="L1159" s="11" t="n">
        <v>0.58</v>
      </c>
      <c r="M1159" s="11" t="n">
        <v>1.16</v>
      </c>
      <c r="N1159" s="11" t="n">
        <v>1</v>
      </c>
      <c r="O1159" s="11" t="n">
        <v>4.5</v>
      </c>
      <c r="P1159" s="11" t="n">
        <v>2.7</v>
      </c>
      <c r="Q1159" s="11" t="n">
        <v>20.25</v>
      </c>
      <c r="R1159" s="11" t="n">
        <f aca="false">SUM(K1159:Q1159)</f>
        <v>182.73</v>
      </c>
      <c r="S1159" s="11" t="n">
        <f aca="false">R1159/(1-Resumo!$C$6)</f>
        <v>207.647727272727</v>
      </c>
      <c r="T1159" s="11" t="n">
        <f aca="false">S1159-J1159</f>
        <v>76.9777272727273</v>
      </c>
      <c r="U1159" s="12" t="n">
        <f aca="false">IFERROR(S1159/J1159-1,0)</f>
        <v>0.589100231673125</v>
      </c>
      <c r="V1159" s="2" t="str">
        <f aca="false">IF(S1159&lt;J1159,"SIM","NÃO")</f>
        <v>NÃO</v>
      </c>
      <c r="W1159" s="2" t="n">
        <v>11</v>
      </c>
      <c r="X1159" s="2" t="s">
        <v>161</v>
      </c>
    </row>
    <row r="1160" customFormat="false" ht="15" hidden="false" customHeight="false" outlineLevel="0" collapsed="false">
      <c r="A1160" s="2" t="n">
        <v>378114617</v>
      </c>
      <c r="B1160" s="29" t="n">
        <v>46251.8103587963</v>
      </c>
      <c r="C1160" s="2" t="s">
        <v>158</v>
      </c>
      <c r="D1160" s="2" t="s">
        <v>1297</v>
      </c>
      <c r="E1160" s="2" t="s">
        <v>78</v>
      </c>
      <c r="F1160" s="2" t="s">
        <v>107</v>
      </c>
      <c r="G1160" s="30" t="n">
        <v>37.6</v>
      </c>
      <c r="H1160" s="11" t="n">
        <v>399.59</v>
      </c>
      <c r="I1160" s="11" t="s">
        <v>350</v>
      </c>
      <c r="J1160" s="11" t="n">
        <v>92.87</v>
      </c>
      <c r="K1160" s="11" t="n">
        <v>93.97</v>
      </c>
      <c r="L1160" s="11" t="n">
        <v>0.3996</v>
      </c>
      <c r="M1160" s="11" t="n">
        <v>0.7992</v>
      </c>
      <c r="N1160" s="11" t="n">
        <v>1</v>
      </c>
      <c r="O1160" s="11" t="n">
        <v>4.5</v>
      </c>
      <c r="P1160" s="11" t="n">
        <v>2.28</v>
      </c>
      <c r="Q1160" s="11" t="n">
        <v>17.1</v>
      </c>
      <c r="R1160" s="11" t="n">
        <f aca="false">SUM(K1160:Q1160)</f>
        <v>120.0488</v>
      </c>
      <c r="S1160" s="11" t="n">
        <f aca="false">R1160/(1-Resumo!$C$6)</f>
        <v>136.419090909091</v>
      </c>
      <c r="T1160" s="11" t="n">
        <f aca="false">S1160-J1160</f>
        <v>43.5490909090909</v>
      </c>
      <c r="U1160" s="12" t="n">
        <f aca="false">IFERROR(S1160/J1160-1,0)</f>
        <v>0.468925281674286</v>
      </c>
      <c r="V1160" s="2" t="str">
        <f aca="false">IF(S1160&lt;J1160,"SIM","NÃO")</f>
        <v>NÃO</v>
      </c>
      <c r="W1160" s="2" t="n">
        <v>5</v>
      </c>
      <c r="X1160" s="2" t="s">
        <v>156</v>
      </c>
    </row>
    <row r="1161" customFormat="false" ht="15" hidden="false" customHeight="false" outlineLevel="0" collapsed="false">
      <c r="A1161" s="2" t="n">
        <v>378123047</v>
      </c>
      <c r="B1161" s="29" t="n">
        <v>46251.8245717593</v>
      </c>
      <c r="C1161" s="2" t="s">
        <v>153</v>
      </c>
      <c r="D1161" s="2" t="s">
        <v>1298</v>
      </c>
      <c r="E1161" s="2" t="s">
        <v>96</v>
      </c>
      <c r="F1161" s="2" t="s">
        <v>114</v>
      </c>
      <c r="G1161" s="30" t="n">
        <v>141.5</v>
      </c>
      <c r="H1161" s="11" t="n">
        <v>1599.99</v>
      </c>
      <c r="I1161" s="11" t="s">
        <v>350</v>
      </c>
      <c r="J1161" s="11" t="n">
        <v>261.94</v>
      </c>
      <c r="K1161" s="11" t="n">
        <v>264.84</v>
      </c>
      <c r="L1161" s="11" t="n">
        <v>1.6</v>
      </c>
      <c r="M1161" s="11" t="n">
        <v>3.2</v>
      </c>
      <c r="N1161" s="11" t="n">
        <v>1</v>
      </c>
      <c r="O1161" s="11" t="n">
        <v>9</v>
      </c>
      <c r="P1161" s="11" t="n">
        <v>8.52</v>
      </c>
      <c r="Q1161" s="11" t="n">
        <v>63.9</v>
      </c>
      <c r="R1161" s="11" t="n">
        <f aca="false">SUM(K1161:Q1161)</f>
        <v>352.06</v>
      </c>
      <c r="S1161" s="11" t="n">
        <f aca="false">R1161/(1-Resumo!$C$6)</f>
        <v>400.068181818182</v>
      </c>
      <c r="T1161" s="11" t="n">
        <f aca="false">S1161-J1161</f>
        <v>138.128181818182</v>
      </c>
      <c r="U1161" s="12" t="n">
        <f aca="false">IFERROR(S1161/J1161-1,0)</f>
        <v>0.527327562870053</v>
      </c>
      <c r="V1161" s="2" t="str">
        <f aca="false">IF(S1161&lt;J1161,"SIM","NÃO")</f>
        <v>NÃO</v>
      </c>
      <c r="W1161" s="2" t="n">
        <v>10</v>
      </c>
      <c r="X1161" s="2" t="s">
        <v>156</v>
      </c>
    </row>
    <row r="1162" customFormat="false" ht="15" hidden="false" customHeight="false" outlineLevel="0" collapsed="false">
      <c r="A1162" s="2" t="n">
        <v>378135699</v>
      </c>
      <c r="B1162" s="29" t="n">
        <v>46251.8458101852</v>
      </c>
      <c r="C1162" s="2" t="s">
        <v>158</v>
      </c>
      <c r="D1162" s="2" t="s">
        <v>1299</v>
      </c>
      <c r="E1162" s="2" t="s">
        <v>79</v>
      </c>
      <c r="F1162" s="2" t="s">
        <v>109</v>
      </c>
      <c r="G1162" s="30" t="n">
        <v>52.3</v>
      </c>
      <c r="H1162" s="11" t="n">
        <v>637.3</v>
      </c>
      <c r="I1162" s="11" t="s">
        <v>350</v>
      </c>
      <c r="J1162" s="11" t="n">
        <v>127.4</v>
      </c>
      <c r="K1162" s="11" t="n">
        <v>128.14</v>
      </c>
      <c r="L1162" s="11" t="n">
        <v>0.6373</v>
      </c>
      <c r="M1162" s="11" t="n">
        <v>1.2746</v>
      </c>
      <c r="N1162" s="11" t="n">
        <v>1</v>
      </c>
      <c r="O1162" s="11" t="n">
        <v>4.5</v>
      </c>
      <c r="P1162" s="11" t="n">
        <v>3.18</v>
      </c>
      <c r="Q1162" s="11" t="n">
        <v>23.85</v>
      </c>
      <c r="R1162" s="11" t="n">
        <f aca="false">SUM(K1162:Q1162)</f>
        <v>162.5819</v>
      </c>
      <c r="S1162" s="11" t="n">
        <f aca="false">R1162/(1-Resumo!$C$6)</f>
        <v>184.752159090909</v>
      </c>
      <c r="T1162" s="11" t="n">
        <f aca="false">S1162-J1162</f>
        <v>57.3521590909091</v>
      </c>
      <c r="U1162" s="12" t="n">
        <f aca="false">IFERROR(S1162/J1162-1,0)</f>
        <v>0.450173933209648</v>
      </c>
      <c r="V1162" s="2" t="str">
        <f aca="false">IF(S1162&lt;J1162,"SIM","NÃO")</f>
        <v>NÃO</v>
      </c>
      <c r="W1162" s="2" t="n">
        <v>7</v>
      </c>
      <c r="X1162" s="2" t="s">
        <v>156</v>
      </c>
    </row>
    <row r="1163" customFormat="false" ht="15" hidden="false" customHeight="false" outlineLevel="0" collapsed="false">
      <c r="A1163" s="2" t="n">
        <v>378145147</v>
      </c>
      <c r="B1163" s="29" t="n">
        <v>46251.8638541667</v>
      </c>
      <c r="C1163" s="2" t="s">
        <v>153</v>
      </c>
      <c r="D1163" s="2" t="s">
        <v>1300</v>
      </c>
      <c r="E1163" s="2" t="s">
        <v>87</v>
      </c>
      <c r="F1163" s="2" t="s">
        <v>109</v>
      </c>
      <c r="G1163" s="30" t="n">
        <v>51.3</v>
      </c>
      <c r="H1163" s="11" t="n">
        <v>649.99</v>
      </c>
      <c r="I1163" s="11" t="s">
        <v>350</v>
      </c>
      <c r="J1163" s="11" t="n">
        <v>141.25</v>
      </c>
      <c r="K1163" s="11" t="n">
        <v>142.32</v>
      </c>
      <c r="L1163" s="11" t="n">
        <v>0.65</v>
      </c>
      <c r="M1163" s="11" t="n">
        <v>1.3</v>
      </c>
      <c r="N1163" s="11" t="n">
        <v>1</v>
      </c>
      <c r="O1163" s="11" t="n">
        <v>4.5</v>
      </c>
      <c r="P1163" s="11" t="n">
        <v>3.12</v>
      </c>
      <c r="Q1163" s="11" t="n">
        <v>23.4</v>
      </c>
      <c r="R1163" s="11" t="n">
        <f aca="false">SUM(K1163:Q1163)</f>
        <v>176.29</v>
      </c>
      <c r="S1163" s="11" t="n">
        <f aca="false">R1163/(1-Resumo!$C$6)</f>
        <v>200.329545454545</v>
      </c>
      <c r="T1163" s="11" t="n">
        <f aca="false">S1163-J1163</f>
        <v>59.0795454545454</v>
      </c>
      <c r="U1163" s="12" t="n">
        <f aca="false">IFERROR(S1163/J1163-1,0)</f>
        <v>0.418262268704746</v>
      </c>
      <c r="V1163" s="2" t="str">
        <f aca="false">IF(S1163&lt;J1163,"SIM","NÃO")</f>
        <v>NÃO</v>
      </c>
      <c r="W1163" s="2" t="n">
        <v>10</v>
      </c>
      <c r="X1163" s="2" t="s">
        <v>156</v>
      </c>
    </row>
    <row r="1164" customFormat="false" ht="15" hidden="false" customHeight="false" outlineLevel="0" collapsed="false">
      <c r="A1164" s="2" t="n">
        <v>378146674</v>
      </c>
      <c r="B1164" s="29" t="n">
        <v>46251.8667939815</v>
      </c>
      <c r="C1164" s="2" t="s">
        <v>153</v>
      </c>
      <c r="D1164" s="2" t="s">
        <v>1301</v>
      </c>
      <c r="E1164" s="2" t="s">
        <v>90</v>
      </c>
      <c r="F1164" s="2" t="s">
        <v>109</v>
      </c>
      <c r="G1164" s="30" t="n">
        <v>52.3</v>
      </c>
      <c r="H1164" s="11" t="n">
        <v>699.99</v>
      </c>
      <c r="I1164" s="11" t="s">
        <v>350</v>
      </c>
      <c r="J1164" s="11" t="n">
        <v>142.01</v>
      </c>
      <c r="K1164" s="11" t="n">
        <v>128.14</v>
      </c>
      <c r="L1164" s="11" t="n">
        <v>0.7</v>
      </c>
      <c r="M1164" s="11" t="n">
        <v>1.4</v>
      </c>
      <c r="N1164" s="11" t="n">
        <v>1</v>
      </c>
      <c r="O1164" s="11" t="n">
        <v>4.5</v>
      </c>
      <c r="P1164" s="11" t="n">
        <v>3.18</v>
      </c>
      <c r="Q1164" s="11" t="n">
        <v>23.85</v>
      </c>
      <c r="R1164" s="11" t="n">
        <f aca="false">SUM(K1164:Q1164)</f>
        <v>162.77</v>
      </c>
      <c r="S1164" s="11" t="n">
        <f aca="false">R1164/(1-Resumo!$C$6)</f>
        <v>184.965909090909</v>
      </c>
      <c r="T1164" s="11" t="n">
        <f aca="false">S1164-J1164</f>
        <v>42.9559090909091</v>
      </c>
      <c r="U1164" s="12" t="n">
        <f aca="false">IFERROR(S1164/J1164-1,0)</f>
        <v>0.30248510028103</v>
      </c>
      <c r="V1164" s="2" t="str">
        <f aca="false">IF(S1164&lt;J1164,"SIM","NÃO")</f>
        <v>NÃO</v>
      </c>
      <c r="W1164" s="2" t="n">
        <v>7</v>
      </c>
      <c r="X1164" s="2" t="s">
        <v>156</v>
      </c>
    </row>
    <row r="1165" customFormat="false" ht="15" hidden="false" customHeight="false" outlineLevel="0" collapsed="false">
      <c r="A1165" s="2" t="n">
        <v>378153112</v>
      </c>
      <c r="B1165" s="29" t="n">
        <v>46251.8783564815</v>
      </c>
      <c r="C1165" s="2" t="s">
        <v>153</v>
      </c>
      <c r="D1165" s="2" t="s">
        <v>1302</v>
      </c>
      <c r="E1165" s="2" t="s">
        <v>78</v>
      </c>
      <c r="F1165" s="2" t="s">
        <v>108</v>
      </c>
      <c r="G1165" s="30" t="n">
        <v>46.8</v>
      </c>
      <c r="H1165" s="11" t="n">
        <v>506.56</v>
      </c>
      <c r="I1165" s="11" t="s">
        <v>155</v>
      </c>
      <c r="J1165" s="11" t="n">
        <v>103.01</v>
      </c>
      <c r="K1165" s="11" t="n">
        <v>93.97</v>
      </c>
      <c r="L1165" s="11" t="n">
        <v>0.5066</v>
      </c>
      <c r="M1165" s="11" t="n">
        <v>1.0131</v>
      </c>
      <c r="N1165" s="11" t="n">
        <v>1</v>
      </c>
      <c r="O1165" s="11" t="n">
        <v>4.5</v>
      </c>
      <c r="P1165" s="11" t="n">
        <v>2.82</v>
      </c>
      <c r="Q1165" s="11" t="n">
        <v>21.15</v>
      </c>
      <c r="R1165" s="11" t="n">
        <f aca="false">SUM(K1165:Q1165)</f>
        <v>124.9597</v>
      </c>
      <c r="S1165" s="11" t="n">
        <f aca="false">R1165/(1-Resumo!$C$6)</f>
        <v>141.999659090909</v>
      </c>
      <c r="T1165" s="11" t="n">
        <f aca="false">S1165-J1165</f>
        <v>38.9896590909091</v>
      </c>
      <c r="U1165" s="12" t="n">
        <f aca="false">IFERROR(S1165/J1165-1,0)</f>
        <v>0.378503631597991</v>
      </c>
      <c r="V1165" s="2" t="str">
        <f aca="false">IF(S1165&lt;J1165,"SIM","NÃO")</f>
        <v>NÃO</v>
      </c>
      <c r="W1165" s="2" t="n">
        <v>5</v>
      </c>
      <c r="X1165" s="2" t="s">
        <v>156</v>
      </c>
    </row>
    <row r="1166" customFormat="false" ht="15" hidden="false" customHeight="false" outlineLevel="0" collapsed="false">
      <c r="A1166" s="2" t="n">
        <v>378155516</v>
      </c>
      <c r="B1166" s="29" t="n">
        <v>46251.8824652778</v>
      </c>
      <c r="C1166" s="2" t="s">
        <v>153</v>
      </c>
      <c r="D1166" s="2" t="s">
        <v>1303</v>
      </c>
      <c r="E1166" s="2" t="s">
        <v>80</v>
      </c>
      <c r="F1166" s="2" t="s">
        <v>110</v>
      </c>
      <c r="G1166" s="30" t="n">
        <v>66.8</v>
      </c>
      <c r="H1166" s="11" t="n">
        <v>719.99</v>
      </c>
      <c r="I1166" s="11" t="s">
        <v>155</v>
      </c>
      <c r="J1166" s="11" t="n">
        <v>139.89</v>
      </c>
      <c r="K1166" s="11" t="n">
        <v>131.02</v>
      </c>
      <c r="L1166" s="11" t="n">
        <v>0.72</v>
      </c>
      <c r="M1166" s="11" t="n">
        <v>1.44</v>
      </c>
      <c r="N1166" s="11" t="n">
        <v>1</v>
      </c>
      <c r="O1166" s="11" t="n">
        <v>4.5</v>
      </c>
      <c r="P1166" s="11" t="n">
        <v>4.02</v>
      </c>
      <c r="Q1166" s="11" t="n">
        <v>30.15</v>
      </c>
      <c r="R1166" s="11" t="n">
        <f aca="false">SUM(K1166:Q1166)</f>
        <v>172.85</v>
      </c>
      <c r="S1166" s="11" t="n">
        <f aca="false">R1166/(1-Resumo!$C$6)</f>
        <v>196.420454545455</v>
      </c>
      <c r="T1166" s="11" t="n">
        <f aca="false">S1166-J1166</f>
        <v>56.5304545454546</v>
      </c>
      <c r="U1166" s="12" t="n">
        <f aca="false">IFERROR(S1166/J1166-1,0)</f>
        <v>0.404106473267958</v>
      </c>
      <c r="V1166" s="2" t="str">
        <f aca="false">IF(S1166&lt;J1166,"SIM","NÃO")</f>
        <v>NÃO</v>
      </c>
      <c r="W1166" s="2" t="n">
        <v>5</v>
      </c>
      <c r="X1166" s="2" t="s">
        <v>156</v>
      </c>
    </row>
    <row r="1167" customFormat="false" ht="15" hidden="false" customHeight="false" outlineLevel="0" collapsed="false">
      <c r="A1167" s="2" t="n">
        <v>378156146</v>
      </c>
      <c r="B1167" s="29" t="n">
        <v>46251.8836111111</v>
      </c>
      <c r="C1167" s="2" t="s">
        <v>153</v>
      </c>
      <c r="D1167" s="2" t="s">
        <v>1304</v>
      </c>
      <c r="E1167" s="2" t="s">
        <v>80</v>
      </c>
      <c r="F1167" s="2" t="s">
        <v>109</v>
      </c>
      <c r="G1167" s="30" t="n">
        <v>56.7</v>
      </c>
      <c r="H1167" s="11" t="n">
        <v>673.1</v>
      </c>
      <c r="I1167" s="11" t="s">
        <v>155</v>
      </c>
      <c r="J1167" s="11" t="n">
        <v>128.52</v>
      </c>
      <c r="K1167" s="11" t="n">
        <v>112.3</v>
      </c>
      <c r="L1167" s="11" t="n">
        <v>0.6731</v>
      </c>
      <c r="M1167" s="11" t="n">
        <v>1.3462</v>
      </c>
      <c r="N1167" s="11" t="n">
        <v>1</v>
      </c>
      <c r="O1167" s="11" t="n">
        <v>4.5</v>
      </c>
      <c r="P1167" s="11" t="n">
        <v>3.42</v>
      </c>
      <c r="Q1167" s="11" t="n">
        <v>25.65</v>
      </c>
      <c r="R1167" s="11" t="n">
        <f aca="false">SUM(K1167:Q1167)</f>
        <v>148.8893</v>
      </c>
      <c r="S1167" s="11" t="n">
        <f aca="false">R1167/(1-Resumo!$C$6)</f>
        <v>169.192386363636</v>
      </c>
      <c r="T1167" s="11" t="n">
        <f aca="false">S1167-J1167</f>
        <v>40.6723863636364</v>
      </c>
      <c r="U1167" s="12" t="n">
        <f aca="false">IFERROR(S1167/J1167-1,0)</f>
        <v>0.316467369776193</v>
      </c>
      <c r="V1167" s="2" t="str">
        <f aca="false">IF(S1167&lt;J1167,"SIM","NÃO")</f>
        <v>NÃO</v>
      </c>
      <c r="W1167" s="2" t="n">
        <v>5</v>
      </c>
      <c r="X1167" s="2" t="s">
        <v>156</v>
      </c>
    </row>
    <row r="1168" customFormat="false" ht="15" hidden="false" customHeight="false" outlineLevel="0" collapsed="false">
      <c r="A1168" s="2" t="n">
        <v>378178860</v>
      </c>
      <c r="B1168" s="29" t="n">
        <v>46251.9265277778</v>
      </c>
      <c r="C1168" s="2" t="s">
        <v>158</v>
      </c>
      <c r="D1168" s="2" t="s">
        <v>1305</v>
      </c>
      <c r="E1168" s="2" t="s">
        <v>78</v>
      </c>
      <c r="F1168" s="2" t="s">
        <v>110</v>
      </c>
      <c r="G1168" s="30" t="n">
        <v>66.8</v>
      </c>
      <c r="H1168" s="11" t="n">
        <v>592</v>
      </c>
      <c r="I1168" s="11" t="s">
        <v>350</v>
      </c>
      <c r="J1168" s="11" t="n">
        <v>125.5</v>
      </c>
      <c r="K1168" s="11" t="n">
        <v>131.02</v>
      </c>
      <c r="L1168" s="11" t="n">
        <v>0.592</v>
      </c>
      <c r="M1168" s="11" t="n">
        <v>1.184</v>
      </c>
      <c r="N1168" s="11" t="n">
        <v>1</v>
      </c>
      <c r="O1168" s="11" t="n">
        <v>4.5</v>
      </c>
      <c r="P1168" s="11" t="n">
        <v>4.02</v>
      </c>
      <c r="Q1168" s="11" t="n">
        <v>30.15</v>
      </c>
      <c r="R1168" s="11" t="n">
        <f aca="false">SUM(K1168:Q1168)</f>
        <v>172.466</v>
      </c>
      <c r="S1168" s="11" t="n">
        <f aca="false">R1168/(1-Resumo!$C$6)</f>
        <v>195.984090909091</v>
      </c>
      <c r="T1168" s="11" t="n">
        <f aca="false">S1168-J1168</f>
        <v>70.4840909090909</v>
      </c>
      <c r="U1168" s="12" t="n">
        <f aca="false">IFERROR(S1168/J1168-1,0)</f>
        <v>0.561626222383195</v>
      </c>
      <c r="V1168" s="2" t="str">
        <f aca="false">IF(S1168&lt;J1168,"SIM","NÃO")</f>
        <v>NÃO</v>
      </c>
      <c r="W1168" s="2" t="n">
        <v>5</v>
      </c>
      <c r="X1168" s="2" t="s">
        <v>156</v>
      </c>
    </row>
    <row r="1169" customFormat="false" ht="15" hidden="false" customHeight="false" outlineLevel="0" collapsed="false">
      <c r="A1169" s="2" t="n">
        <v>378188496</v>
      </c>
      <c r="B1169" s="29" t="n">
        <v>46251.9455208333</v>
      </c>
      <c r="C1169" s="2" t="s">
        <v>158</v>
      </c>
      <c r="D1169" s="2" t="s">
        <v>1306</v>
      </c>
      <c r="E1169" s="2" t="s">
        <v>78</v>
      </c>
      <c r="F1169" s="2" t="s">
        <v>114</v>
      </c>
      <c r="G1169" s="30" t="n">
        <v>134.4</v>
      </c>
      <c r="H1169" s="11" t="n">
        <v>1632.55</v>
      </c>
      <c r="I1169" s="11" t="s">
        <v>155</v>
      </c>
      <c r="J1169" s="11" t="n">
        <v>234.13</v>
      </c>
      <c r="K1169" s="11" t="n">
        <v>239.25</v>
      </c>
      <c r="L1169" s="11" t="n">
        <v>1.6326</v>
      </c>
      <c r="M1169" s="11" t="n">
        <v>3.2651</v>
      </c>
      <c r="N1169" s="11" t="n">
        <v>1</v>
      </c>
      <c r="O1169" s="11" t="n">
        <v>9</v>
      </c>
      <c r="P1169" s="11" t="n">
        <v>8.1</v>
      </c>
      <c r="Q1169" s="11" t="n">
        <v>60.75</v>
      </c>
      <c r="R1169" s="11" t="n">
        <f aca="false">SUM(K1169:Q1169)</f>
        <v>322.9977</v>
      </c>
      <c r="S1169" s="11" t="n">
        <f aca="false">R1169/(1-Resumo!$C$6)</f>
        <v>367.042840909091</v>
      </c>
      <c r="T1169" s="11" t="n">
        <f aca="false">S1169-J1169</f>
        <v>132.912840909091</v>
      </c>
      <c r="U1169" s="12" t="n">
        <f aca="false">IFERROR(S1169/J1169-1,0)</f>
        <v>0.567688211288989</v>
      </c>
      <c r="V1169" s="2" t="str">
        <f aca="false">IF(S1169&lt;J1169,"SIM","NÃO")</f>
        <v>NÃO</v>
      </c>
      <c r="W1169" s="2" t="n">
        <v>5</v>
      </c>
      <c r="X1169" s="2" t="s">
        <v>156</v>
      </c>
    </row>
    <row r="1170" customFormat="false" ht="15" hidden="false" customHeight="false" outlineLevel="0" collapsed="false">
      <c r="A1170" s="2" t="n">
        <v>378193239</v>
      </c>
      <c r="B1170" s="29" t="n">
        <v>46251.9557523148</v>
      </c>
      <c r="C1170" s="2" t="s">
        <v>153</v>
      </c>
      <c r="D1170" s="2" t="s">
        <v>1307</v>
      </c>
      <c r="E1170" s="2" t="s">
        <v>88</v>
      </c>
      <c r="F1170" s="2" t="s">
        <v>108</v>
      </c>
      <c r="G1170" s="30" t="n">
        <v>44.6</v>
      </c>
      <c r="H1170" s="11" t="n">
        <v>579.99</v>
      </c>
      <c r="I1170" s="11" t="s">
        <v>350</v>
      </c>
      <c r="J1170" s="11" t="n">
        <v>130.67</v>
      </c>
      <c r="K1170" s="11" t="n">
        <v>124.38</v>
      </c>
      <c r="L1170" s="11" t="n">
        <v>0.58</v>
      </c>
      <c r="M1170" s="11" t="n">
        <v>1.16</v>
      </c>
      <c r="N1170" s="11" t="n">
        <v>1</v>
      </c>
      <c r="O1170" s="11" t="n">
        <v>4.5</v>
      </c>
      <c r="P1170" s="11" t="n">
        <v>2.7</v>
      </c>
      <c r="Q1170" s="11" t="n">
        <v>20.25</v>
      </c>
      <c r="R1170" s="11" t="n">
        <f aca="false">SUM(K1170:Q1170)</f>
        <v>154.57</v>
      </c>
      <c r="S1170" s="11" t="n">
        <f aca="false">R1170/(1-Resumo!$C$6)</f>
        <v>175.647727272727</v>
      </c>
      <c r="T1170" s="11" t="n">
        <f aca="false">S1170-J1170</f>
        <v>44.9777272727273</v>
      </c>
      <c r="U1170" s="12" t="n">
        <f aca="false">IFERROR(S1170/J1170-1,0)</f>
        <v>0.344208519727001</v>
      </c>
      <c r="V1170" s="2" t="str">
        <f aca="false">IF(S1170&lt;J1170,"SIM","NÃO")</f>
        <v>NÃO</v>
      </c>
      <c r="W1170" s="2" t="n">
        <v>10</v>
      </c>
      <c r="X1170" s="2" t="s">
        <v>156</v>
      </c>
    </row>
    <row r="1171" customFormat="false" ht="15" hidden="false" customHeight="false" outlineLevel="0" collapsed="false">
      <c r="A1171" s="2" t="n">
        <v>378208287</v>
      </c>
      <c r="B1171" s="29" t="n">
        <v>46251.9904166667</v>
      </c>
      <c r="C1171" s="2" t="s">
        <v>158</v>
      </c>
      <c r="D1171" s="2" t="s">
        <v>1308</v>
      </c>
      <c r="E1171" s="2" t="s">
        <v>84</v>
      </c>
      <c r="F1171" s="2" t="s">
        <v>113</v>
      </c>
      <c r="G1171" s="30" t="n">
        <v>109.7</v>
      </c>
      <c r="H1171" s="11" t="n">
        <v>1091</v>
      </c>
      <c r="I1171" s="11" t="s">
        <v>350</v>
      </c>
      <c r="J1171" s="11" t="n">
        <v>194.31</v>
      </c>
      <c r="K1171" s="11" t="n">
        <v>201.59</v>
      </c>
      <c r="L1171" s="11" t="n">
        <v>1.091</v>
      </c>
      <c r="M1171" s="11" t="n">
        <v>2.182</v>
      </c>
      <c r="N1171" s="11" t="n">
        <v>1</v>
      </c>
      <c r="O1171" s="11" t="n">
        <v>9</v>
      </c>
      <c r="P1171" s="11" t="n">
        <v>6.6</v>
      </c>
      <c r="Q1171" s="11" t="n">
        <v>49.5</v>
      </c>
      <c r="R1171" s="11" t="n">
        <f aca="false">SUM(K1171:Q1171)</f>
        <v>270.963</v>
      </c>
      <c r="S1171" s="11" t="n">
        <f aca="false">R1171/(1-Resumo!$C$6)</f>
        <v>307.9125</v>
      </c>
      <c r="T1171" s="11" t="n">
        <f aca="false">S1171-J1171</f>
        <v>113.6025</v>
      </c>
      <c r="U1171" s="12" t="n">
        <f aca="false">IFERROR(S1171/J1171-1,0)</f>
        <v>0.584645669291338</v>
      </c>
      <c r="V1171" s="2" t="str">
        <f aca="false">IF(S1171&lt;J1171,"SIM","NÃO")</f>
        <v>NÃO</v>
      </c>
      <c r="W1171" s="2" t="n">
        <v>5</v>
      </c>
      <c r="X1171" s="2" t="s">
        <v>156</v>
      </c>
    </row>
    <row r="1172" customFormat="false" ht="15" hidden="false" customHeight="false" outlineLevel="0" collapsed="false">
      <c r="A1172" s="2" t="n">
        <v>378234963</v>
      </c>
      <c r="B1172" s="29" t="n">
        <v>46252.0706597222</v>
      </c>
      <c r="C1172" s="2" t="s">
        <v>153</v>
      </c>
      <c r="D1172" s="2" t="s">
        <v>1309</v>
      </c>
      <c r="E1172" s="2" t="s">
        <v>78</v>
      </c>
      <c r="F1172" s="2" t="s">
        <v>109</v>
      </c>
      <c r="G1172" s="30" t="n">
        <v>52.3</v>
      </c>
      <c r="H1172" s="11" t="n">
        <v>616.39</v>
      </c>
      <c r="I1172" s="11" t="s">
        <v>350</v>
      </c>
      <c r="J1172" s="11" t="n">
        <v>113.22</v>
      </c>
      <c r="K1172" s="11" t="n">
        <v>112.3</v>
      </c>
      <c r="L1172" s="11" t="n">
        <v>0.6164</v>
      </c>
      <c r="M1172" s="11" t="n">
        <v>1.2328</v>
      </c>
      <c r="N1172" s="11" t="n">
        <v>1</v>
      </c>
      <c r="O1172" s="11" t="n">
        <v>4.5</v>
      </c>
      <c r="P1172" s="11" t="n">
        <v>3.18</v>
      </c>
      <c r="Q1172" s="11" t="n">
        <v>23.85</v>
      </c>
      <c r="R1172" s="11" t="n">
        <f aca="false">SUM(K1172:Q1172)</f>
        <v>146.6792</v>
      </c>
      <c r="S1172" s="11" t="n">
        <f aca="false">R1172/(1-Resumo!$C$6)</f>
        <v>166.680909090909</v>
      </c>
      <c r="T1172" s="11" t="n">
        <f aca="false">S1172-J1172</f>
        <v>53.4609090909091</v>
      </c>
      <c r="U1172" s="12" t="n">
        <f aca="false">IFERROR(S1172/J1172-1,0)</f>
        <v>0.472186089833149</v>
      </c>
      <c r="V1172" s="2" t="str">
        <f aca="false">IF(S1172&lt;J1172,"SIM","NÃO")</f>
        <v>NÃO</v>
      </c>
      <c r="W1172" s="2" t="n">
        <v>5</v>
      </c>
      <c r="X1172" s="2" t="s">
        <v>156</v>
      </c>
    </row>
    <row r="1173" customFormat="false" ht="15" hidden="false" customHeight="false" outlineLevel="0" collapsed="false">
      <c r="A1173" s="2" t="n">
        <v>378245299</v>
      </c>
      <c r="B1173" s="29" t="n">
        <v>46252.109849537</v>
      </c>
      <c r="C1173" s="2" t="s">
        <v>153</v>
      </c>
      <c r="D1173" s="2" t="s">
        <v>1310</v>
      </c>
      <c r="E1173" s="2" t="s">
        <v>78</v>
      </c>
      <c r="F1173" s="2" t="s">
        <v>107</v>
      </c>
      <c r="G1173" s="30" t="n">
        <v>37.5</v>
      </c>
      <c r="H1173" s="11" t="n">
        <v>399.99</v>
      </c>
      <c r="I1173" s="11" t="s">
        <v>350</v>
      </c>
      <c r="J1173" s="11" t="n">
        <v>92.87</v>
      </c>
      <c r="K1173" s="11" t="n">
        <v>93.97</v>
      </c>
      <c r="L1173" s="11" t="n">
        <v>0.4</v>
      </c>
      <c r="M1173" s="11" t="n">
        <v>0.8</v>
      </c>
      <c r="N1173" s="11" t="n">
        <v>1</v>
      </c>
      <c r="O1173" s="11" t="n">
        <v>4.5</v>
      </c>
      <c r="P1173" s="11" t="n">
        <v>2.28</v>
      </c>
      <c r="Q1173" s="11" t="n">
        <v>17.1</v>
      </c>
      <c r="R1173" s="11" t="n">
        <f aca="false">SUM(K1173:Q1173)</f>
        <v>120.05</v>
      </c>
      <c r="S1173" s="11" t="n">
        <f aca="false">R1173/(1-Resumo!$C$6)</f>
        <v>136.420454545455</v>
      </c>
      <c r="T1173" s="11" t="n">
        <f aca="false">S1173-J1173</f>
        <v>43.5504545454546</v>
      </c>
      <c r="U1173" s="12" t="n">
        <f aca="false">IFERROR(S1173/J1173-1,0)</f>
        <v>0.468939964955901</v>
      </c>
      <c r="V1173" s="2" t="str">
        <f aca="false">IF(S1173&lt;J1173,"SIM","NÃO")</f>
        <v>NÃO</v>
      </c>
      <c r="W1173" s="2" t="n">
        <v>5</v>
      </c>
      <c r="X1173" s="2" t="s">
        <v>156</v>
      </c>
    </row>
    <row r="1174" customFormat="false" ht="15" hidden="false" customHeight="false" outlineLevel="0" collapsed="false">
      <c r="A1174" s="2" t="n">
        <v>378281268</v>
      </c>
      <c r="B1174" s="29" t="n">
        <v>46252.2446180556</v>
      </c>
      <c r="C1174" s="2" t="s">
        <v>158</v>
      </c>
      <c r="D1174" s="2" t="s">
        <v>1311</v>
      </c>
      <c r="E1174" s="2" t="s">
        <v>78</v>
      </c>
      <c r="F1174" s="2" t="s">
        <v>108</v>
      </c>
      <c r="G1174" s="30" t="n">
        <v>48</v>
      </c>
      <c r="H1174" s="11" t="n">
        <v>806.69</v>
      </c>
      <c r="I1174" s="11" t="s">
        <v>155</v>
      </c>
      <c r="J1174" s="11" t="n">
        <v>104.44</v>
      </c>
      <c r="K1174" s="11" t="n">
        <v>93.97</v>
      </c>
      <c r="L1174" s="11" t="n">
        <v>0.8067</v>
      </c>
      <c r="M1174" s="11" t="n">
        <v>1.6134</v>
      </c>
      <c r="N1174" s="11" t="n">
        <v>1</v>
      </c>
      <c r="O1174" s="11" t="n">
        <v>4.5</v>
      </c>
      <c r="P1174" s="11" t="n">
        <v>2.88</v>
      </c>
      <c r="Q1174" s="11" t="n">
        <v>21.6</v>
      </c>
      <c r="R1174" s="11" t="n">
        <f aca="false">SUM(K1174:Q1174)</f>
        <v>126.3701</v>
      </c>
      <c r="S1174" s="11" t="n">
        <f aca="false">R1174/(1-Resumo!$C$6)</f>
        <v>143.602386363636</v>
      </c>
      <c r="T1174" s="11" t="n">
        <f aca="false">S1174-J1174</f>
        <v>39.1623863636364</v>
      </c>
      <c r="U1174" s="12" t="n">
        <f aca="false">IFERROR(S1174/J1174-1,0)</f>
        <v>0.374974974757147</v>
      </c>
      <c r="V1174" s="2" t="str">
        <f aca="false">IF(S1174&lt;J1174,"SIM","NÃO")</f>
        <v>NÃO</v>
      </c>
      <c r="W1174" s="2" t="n">
        <v>5</v>
      </c>
      <c r="X1174" s="2" t="s">
        <v>156</v>
      </c>
    </row>
    <row r="1175" customFormat="false" ht="15" hidden="false" customHeight="false" outlineLevel="0" collapsed="false">
      <c r="A1175" s="2" t="n">
        <v>378294697</v>
      </c>
      <c r="B1175" s="29" t="n">
        <v>46252.2835185185</v>
      </c>
      <c r="C1175" s="2" t="s">
        <v>153</v>
      </c>
      <c r="D1175" s="2" t="s">
        <v>1312</v>
      </c>
      <c r="E1175" s="2" t="s">
        <v>81</v>
      </c>
      <c r="F1175" s="2" t="s">
        <v>110</v>
      </c>
      <c r="G1175" s="30" t="n">
        <v>63.9</v>
      </c>
      <c r="H1175" s="11" t="n">
        <v>730.98</v>
      </c>
      <c r="I1175" s="11" t="s">
        <v>155</v>
      </c>
      <c r="J1175" s="11" t="n">
        <v>139.93</v>
      </c>
      <c r="K1175" s="11" t="n">
        <v>131.02</v>
      </c>
      <c r="L1175" s="11" t="n">
        <v>0.731</v>
      </c>
      <c r="M1175" s="11" t="n">
        <v>1.462</v>
      </c>
      <c r="N1175" s="11" t="n">
        <v>1</v>
      </c>
      <c r="O1175" s="11" t="n">
        <v>4.5</v>
      </c>
      <c r="P1175" s="11" t="n">
        <v>3.84</v>
      </c>
      <c r="Q1175" s="11" t="n">
        <v>28.8</v>
      </c>
      <c r="R1175" s="11" t="n">
        <f aca="false">SUM(K1175:Q1175)</f>
        <v>171.353</v>
      </c>
      <c r="S1175" s="11" t="n">
        <f aca="false">R1175/(1-Resumo!$C$6)</f>
        <v>194.719318181818</v>
      </c>
      <c r="T1175" s="11" t="n">
        <f aca="false">S1175-J1175</f>
        <v>54.7893181818182</v>
      </c>
      <c r="U1175" s="12" t="n">
        <f aca="false">IFERROR(S1175/J1175-1,0)</f>
        <v>0.391548046750648</v>
      </c>
      <c r="V1175" s="2" t="str">
        <f aca="false">IF(S1175&lt;J1175,"SIM","NÃO")</f>
        <v>NÃO</v>
      </c>
      <c r="W1175" s="2" t="n">
        <v>5</v>
      </c>
      <c r="X1175" s="2" t="s">
        <v>156</v>
      </c>
    </row>
    <row r="1176" customFormat="false" ht="15" hidden="false" customHeight="false" outlineLevel="0" collapsed="false">
      <c r="A1176" s="2" t="n">
        <v>378295556</v>
      </c>
      <c r="B1176" s="29" t="n">
        <v>46252.2859027778</v>
      </c>
      <c r="C1176" s="2" t="s">
        <v>153</v>
      </c>
      <c r="D1176" s="2" t="s">
        <v>677</v>
      </c>
      <c r="E1176" s="2" t="s">
        <v>78</v>
      </c>
      <c r="F1176" s="2" t="s">
        <v>106</v>
      </c>
      <c r="G1176" s="30" t="n">
        <v>33</v>
      </c>
      <c r="H1176" s="11" t="n">
        <v>589.99</v>
      </c>
      <c r="I1176" s="11" t="s">
        <v>155</v>
      </c>
      <c r="J1176" s="11" t="n">
        <v>83.15</v>
      </c>
      <c r="K1176" s="11" t="n">
        <v>82.21</v>
      </c>
      <c r="L1176" s="11" t="n">
        <v>0.59</v>
      </c>
      <c r="M1176" s="11" t="n">
        <v>1.18</v>
      </c>
      <c r="N1176" s="11" t="n">
        <v>1</v>
      </c>
      <c r="O1176" s="11" t="n">
        <v>4.5</v>
      </c>
      <c r="P1176" s="11" t="n">
        <v>1.98</v>
      </c>
      <c r="Q1176" s="11" t="n">
        <v>14.85</v>
      </c>
      <c r="R1176" s="11" t="n">
        <f aca="false">SUM(K1176:Q1176)</f>
        <v>106.31</v>
      </c>
      <c r="S1176" s="11" t="n">
        <f aca="false">R1176/(1-Resumo!$C$6)</f>
        <v>120.806818181818</v>
      </c>
      <c r="T1176" s="11" t="n">
        <f aca="false">S1176-J1176</f>
        <v>37.6568181818182</v>
      </c>
      <c r="U1176" s="12" t="n">
        <f aca="false">IFERROR(S1176/J1176-1,0)</f>
        <v>0.452878150112064</v>
      </c>
      <c r="V1176" s="2" t="str">
        <f aca="false">IF(S1176&lt;J1176,"SIM","NÃO")</f>
        <v>NÃO</v>
      </c>
      <c r="W1176" s="2" t="n">
        <v>5</v>
      </c>
      <c r="X1176" s="2" t="s">
        <v>156</v>
      </c>
    </row>
    <row r="1177" customFormat="false" ht="15" hidden="false" customHeight="false" outlineLevel="0" collapsed="false">
      <c r="A1177" s="2" t="n">
        <v>378321587</v>
      </c>
      <c r="B1177" s="29" t="n">
        <v>46252.3464351852</v>
      </c>
      <c r="C1177" s="2" t="s">
        <v>153</v>
      </c>
      <c r="D1177" s="2" t="s">
        <v>1313</v>
      </c>
      <c r="E1177" s="2" t="s">
        <v>1314</v>
      </c>
      <c r="F1177" s="2" t="s">
        <v>109</v>
      </c>
      <c r="G1177" s="30" t="n">
        <v>58.6</v>
      </c>
      <c r="H1177" s="11" t="n">
        <v>769.99</v>
      </c>
      <c r="I1177" s="11" t="s">
        <v>350</v>
      </c>
      <c r="J1177" s="11" t="n">
        <v>145.42</v>
      </c>
      <c r="K1177" s="11" t="n">
        <v>162.04</v>
      </c>
      <c r="L1177" s="11" t="n">
        <v>0.77</v>
      </c>
      <c r="M1177" s="11" t="n">
        <v>1.54</v>
      </c>
      <c r="N1177" s="11" t="n">
        <v>1</v>
      </c>
      <c r="O1177" s="11" t="n">
        <v>4.5</v>
      </c>
      <c r="P1177" s="11" t="n">
        <v>3.54</v>
      </c>
      <c r="Q1177" s="11" t="n">
        <v>26.55</v>
      </c>
      <c r="R1177" s="11" t="n">
        <f aca="false">SUM(K1177:Q1177)</f>
        <v>199.94</v>
      </c>
      <c r="S1177" s="11" t="n">
        <f aca="false">R1177/(1-Resumo!$C$6)</f>
        <v>227.204545454545</v>
      </c>
      <c r="T1177" s="11" t="n">
        <f aca="false">S1177-J1177</f>
        <v>81.7845454545455</v>
      </c>
      <c r="U1177" s="12" t="n">
        <f aca="false">IFERROR(S1177/J1177-1,0)</f>
        <v>0.562402320551131</v>
      </c>
      <c r="V1177" s="2" t="str">
        <f aca="false">IF(S1177&lt;J1177,"SIM","NÃO")</f>
        <v>NÃO</v>
      </c>
      <c r="W1177" s="2" t="n">
        <v>11</v>
      </c>
      <c r="X1177" s="2" t="s">
        <v>161</v>
      </c>
    </row>
    <row r="1178" customFormat="false" ht="15" hidden="false" customHeight="false" outlineLevel="0" collapsed="false">
      <c r="A1178" s="2" t="n">
        <v>378095442</v>
      </c>
      <c r="B1178" s="29" t="n">
        <v>46252.3469444444</v>
      </c>
      <c r="C1178" s="2" t="s">
        <v>178</v>
      </c>
      <c r="D1178" s="2" t="s">
        <v>254</v>
      </c>
      <c r="E1178" s="2" t="s">
        <v>255</v>
      </c>
      <c r="F1178" s="2" t="s">
        <v>107</v>
      </c>
      <c r="G1178" s="30" t="n">
        <v>37.2</v>
      </c>
      <c r="H1178" s="11" t="n">
        <v>433.49</v>
      </c>
      <c r="I1178" s="11" t="s">
        <v>350</v>
      </c>
      <c r="J1178" s="11" t="n">
        <v>123.28</v>
      </c>
      <c r="K1178" s="11" t="n">
        <v>124.38</v>
      </c>
      <c r="L1178" s="11" t="n">
        <v>0.4335</v>
      </c>
      <c r="M1178" s="11" t="n">
        <v>0.867</v>
      </c>
      <c r="N1178" s="11" t="n">
        <v>1</v>
      </c>
      <c r="O1178" s="11" t="n">
        <v>4.5</v>
      </c>
      <c r="P1178" s="11" t="n">
        <v>2.28</v>
      </c>
      <c r="Q1178" s="11" t="n">
        <v>17.1</v>
      </c>
      <c r="R1178" s="11" t="n">
        <f aca="false">SUM(K1178:Q1178)</f>
        <v>150.5605</v>
      </c>
      <c r="S1178" s="11" t="n">
        <f aca="false">R1178/(1-Resumo!$C$6)</f>
        <v>171.091477272727</v>
      </c>
      <c r="T1178" s="11" t="n">
        <f aca="false">S1178-J1178</f>
        <v>47.8114772727273</v>
      </c>
      <c r="U1178" s="12" t="n">
        <f aca="false">IFERROR(S1178/J1178-1,0)</f>
        <v>0.387828336086367</v>
      </c>
      <c r="V1178" s="2" t="str">
        <f aca="false">IF(S1178&lt;J1178,"SIM","NÃO")</f>
        <v>NÃO</v>
      </c>
      <c r="W1178" s="2" t="n">
        <v>10</v>
      </c>
      <c r="X1178" s="2" t="s">
        <v>161</v>
      </c>
    </row>
    <row r="1179" customFormat="false" ht="15" hidden="false" customHeight="false" outlineLevel="0" collapsed="false">
      <c r="A1179" s="2" t="n">
        <v>378324984</v>
      </c>
      <c r="B1179" s="29" t="n">
        <v>46252.3548148148</v>
      </c>
      <c r="C1179" s="2" t="s">
        <v>153</v>
      </c>
      <c r="D1179" s="2" t="s">
        <v>1315</v>
      </c>
      <c r="E1179" s="2" t="s">
        <v>96</v>
      </c>
      <c r="F1179" s="2" t="s">
        <v>109</v>
      </c>
      <c r="G1179" s="30" t="n">
        <v>52.3</v>
      </c>
      <c r="H1179" s="11" t="n">
        <v>699.99</v>
      </c>
      <c r="I1179" s="11" t="s">
        <v>350</v>
      </c>
      <c r="J1179" s="11" t="n">
        <v>142.01</v>
      </c>
      <c r="K1179" s="11" t="n">
        <v>144.53</v>
      </c>
      <c r="L1179" s="11" t="n">
        <v>0.7</v>
      </c>
      <c r="M1179" s="11" t="n">
        <v>1.4</v>
      </c>
      <c r="N1179" s="11" t="n">
        <v>1</v>
      </c>
      <c r="O1179" s="11" t="n">
        <v>4.5</v>
      </c>
      <c r="P1179" s="11" t="n">
        <v>3.18</v>
      </c>
      <c r="Q1179" s="11" t="n">
        <v>23.85</v>
      </c>
      <c r="R1179" s="11" t="n">
        <f aca="false">SUM(K1179:Q1179)</f>
        <v>179.16</v>
      </c>
      <c r="S1179" s="11" t="n">
        <f aca="false">R1179/(1-Resumo!$C$6)</f>
        <v>203.590909090909</v>
      </c>
      <c r="T1179" s="11" t="n">
        <f aca="false">S1179-J1179</f>
        <v>61.5809090909091</v>
      </c>
      <c r="U1179" s="12" t="n">
        <f aca="false">IFERROR(S1179/J1179-1,0)</f>
        <v>0.433637836003867</v>
      </c>
      <c r="V1179" s="2" t="str">
        <f aca="false">IF(S1179&lt;J1179,"SIM","NÃO")</f>
        <v>NÃO</v>
      </c>
      <c r="W1179" s="2" t="n">
        <v>10</v>
      </c>
      <c r="X1179" s="2" t="s">
        <v>156</v>
      </c>
    </row>
    <row r="1180" customFormat="false" ht="15" hidden="false" customHeight="false" outlineLevel="0" collapsed="false">
      <c r="A1180" s="2" t="n">
        <v>378334227</v>
      </c>
      <c r="B1180" s="29" t="n">
        <v>46252.3785069444</v>
      </c>
      <c r="C1180" s="2" t="s">
        <v>191</v>
      </c>
      <c r="D1180" s="2" t="s">
        <v>1316</v>
      </c>
      <c r="E1180" s="2" t="s">
        <v>90</v>
      </c>
      <c r="F1180" s="2" t="s">
        <v>107</v>
      </c>
      <c r="G1180" s="30" t="n">
        <v>36.8</v>
      </c>
      <c r="H1180" s="11" t="n">
        <v>479.99</v>
      </c>
      <c r="I1180" s="11" t="s">
        <v>350</v>
      </c>
      <c r="J1180" s="11" t="n">
        <v>123</v>
      </c>
      <c r="K1180" s="11" t="n">
        <v>114.95</v>
      </c>
      <c r="L1180" s="11" t="n">
        <v>0.48</v>
      </c>
      <c r="M1180" s="11" t="n">
        <v>0.96</v>
      </c>
      <c r="N1180" s="11" t="n">
        <v>1</v>
      </c>
      <c r="O1180" s="11" t="n">
        <v>4.5</v>
      </c>
      <c r="P1180" s="11" t="n">
        <v>2.22</v>
      </c>
      <c r="Q1180" s="11" t="n">
        <v>16.65</v>
      </c>
      <c r="R1180" s="11" t="n">
        <f aca="false">SUM(K1180:Q1180)</f>
        <v>140.76</v>
      </c>
      <c r="S1180" s="11" t="n">
        <f aca="false">R1180/(1-Resumo!$C$6)</f>
        <v>159.954545454545</v>
      </c>
      <c r="T1180" s="11" t="n">
        <f aca="false">S1180-J1180</f>
        <v>36.9545454545454</v>
      </c>
      <c r="U1180" s="12" t="n">
        <f aca="false">IFERROR(S1180/J1180-1,0)</f>
        <v>0.300443458980044</v>
      </c>
      <c r="V1180" s="2" t="str">
        <f aca="false">IF(S1180&lt;J1180,"SIM","NÃO")</f>
        <v>NÃO</v>
      </c>
      <c r="W1180" s="2" t="n">
        <v>7</v>
      </c>
      <c r="X1180" s="2" t="s">
        <v>156</v>
      </c>
    </row>
    <row r="1181" customFormat="false" ht="15" hidden="false" customHeight="false" outlineLevel="0" collapsed="false">
      <c r="A1181" s="2" t="n">
        <v>378373643</v>
      </c>
      <c r="B1181" s="29" t="n">
        <v>46252.4573611111</v>
      </c>
      <c r="C1181" s="2" t="s">
        <v>158</v>
      </c>
      <c r="D1181" s="2" t="s">
        <v>1317</v>
      </c>
      <c r="E1181" s="2" t="s">
        <v>78</v>
      </c>
      <c r="F1181" s="2" t="s">
        <v>106</v>
      </c>
      <c r="G1181" s="30" t="n">
        <v>31.9</v>
      </c>
      <c r="H1181" s="11" t="n">
        <v>466.39</v>
      </c>
      <c r="I1181" s="11" t="s">
        <v>155</v>
      </c>
      <c r="J1181" s="11" t="n">
        <v>82.56</v>
      </c>
      <c r="K1181" s="11" t="n">
        <v>82.21</v>
      </c>
      <c r="L1181" s="11" t="n">
        <v>0.4664</v>
      </c>
      <c r="M1181" s="11" t="n">
        <v>0.9328</v>
      </c>
      <c r="N1181" s="11" t="n">
        <v>1</v>
      </c>
      <c r="O1181" s="11" t="n">
        <v>4.5</v>
      </c>
      <c r="P1181" s="11" t="n">
        <v>1.92</v>
      </c>
      <c r="Q1181" s="11" t="n">
        <v>14.4</v>
      </c>
      <c r="R1181" s="11" t="n">
        <f aca="false">SUM(K1181:Q1181)</f>
        <v>105.4292</v>
      </c>
      <c r="S1181" s="11" t="n">
        <f aca="false">R1181/(1-Resumo!$C$6)</f>
        <v>119.805909090909</v>
      </c>
      <c r="T1181" s="11" t="n">
        <f aca="false">S1181-J1181</f>
        <v>37.2459090909091</v>
      </c>
      <c r="U1181" s="12" t="n">
        <f aca="false">IFERROR(S1181/J1181-1,0)</f>
        <v>0.451137464763918</v>
      </c>
      <c r="V1181" s="2" t="str">
        <f aca="false">IF(S1181&lt;J1181,"SIM","NÃO")</f>
        <v>NÃO</v>
      </c>
      <c r="W1181" s="2" t="n">
        <v>5</v>
      </c>
      <c r="X1181" s="2" t="s">
        <v>156</v>
      </c>
    </row>
    <row r="1182" customFormat="false" ht="15" hidden="false" customHeight="false" outlineLevel="0" collapsed="false">
      <c r="A1182" s="2" t="n">
        <v>378375605</v>
      </c>
      <c r="B1182" s="29" t="n">
        <v>46252.4615625</v>
      </c>
      <c r="C1182" s="2" t="s">
        <v>153</v>
      </c>
      <c r="D1182" s="2" t="s">
        <v>1318</v>
      </c>
      <c r="E1182" s="2" t="s">
        <v>78</v>
      </c>
      <c r="F1182" s="2" t="s">
        <v>107</v>
      </c>
      <c r="G1182" s="30" t="n">
        <v>36.8</v>
      </c>
      <c r="H1182" s="11" t="n">
        <v>479.99</v>
      </c>
      <c r="I1182" s="11" t="s">
        <v>155</v>
      </c>
      <c r="J1182" s="11" t="n">
        <v>92.16</v>
      </c>
      <c r="K1182" s="11" t="n">
        <v>93.97</v>
      </c>
      <c r="L1182" s="11" t="n">
        <v>0.48</v>
      </c>
      <c r="M1182" s="11" t="n">
        <v>0.96</v>
      </c>
      <c r="N1182" s="11" t="n">
        <v>1</v>
      </c>
      <c r="O1182" s="11" t="n">
        <v>4.5</v>
      </c>
      <c r="P1182" s="11" t="n">
        <v>2.22</v>
      </c>
      <c r="Q1182" s="11" t="n">
        <v>16.65</v>
      </c>
      <c r="R1182" s="11" t="n">
        <f aca="false">SUM(K1182:Q1182)</f>
        <v>119.78</v>
      </c>
      <c r="S1182" s="11" t="n">
        <f aca="false">R1182/(1-Resumo!$C$6)</f>
        <v>136.113636363636</v>
      </c>
      <c r="T1182" s="11" t="n">
        <f aca="false">S1182-J1182</f>
        <v>43.9536363636364</v>
      </c>
      <c r="U1182" s="12" t="n">
        <f aca="false">IFERROR(S1182/J1182-1,0)</f>
        <v>0.476927477904041</v>
      </c>
      <c r="V1182" s="2" t="str">
        <f aca="false">IF(S1182&lt;J1182,"SIM","NÃO")</f>
        <v>NÃO</v>
      </c>
      <c r="W1182" s="2" t="n">
        <v>5</v>
      </c>
      <c r="X1182" s="2" t="s">
        <v>156</v>
      </c>
    </row>
    <row r="1183" customFormat="false" ht="15" hidden="false" customHeight="false" outlineLevel="0" collapsed="false">
      <c r="A1183" s="2" t="n">
        <v>378396742</v>
      </c>
      <c r="B1183" s="29" t="n">
        <v>46252.5057638889</v>
      </c>
      <c r="C1183" s="2" t="s">
        <v>153</v>
      </c>
      <c r="D1183" s="2" t="s">
        <v>1319</v>
      </c>
      <c r="E1183" s="2" t="s">
        <v>81</v>
      </c>
      <c r="F1183" s="2" t="s">
        <v>110</v>
      </c>
      <c r="G1183" s="30" t="n">
        <v>69.15</v>
      </c>
      <c r="H1183" s="11" t="n">
        <v>829.99</v>
      </c>
      <c r="I1183" s="11" t="s">
        <v>155</v>
      </c>
      <c r="J1183" s="11" t="n">
        <v>140.41</v>
      </c>
      <c r="K1183" s="11" t="n">
        <v>131.02</v>
      </c>
      <c r="L1183" s="11" t="n">
        <v>0.83</v>
      </c>
      <c r="M1183" s="11" t="n">
        <v>1.66</v>
      </c>
      <c r="N1183" s="11" t="n">
        <v>1</v>
      </c>
      <c r="O1183" s="11" t="n">
        <v>4.5</v>
      </c>
      <c r="P1183" s="11" t="n">
        <v>4.2</v>
      </c>
      <c r="Q1183" s="11" t="n">
        <v>31.5</v>
      </c>
      <c r="R1183" s="11" t="n">
        <f aca="false">SUM(K1183:Q1183)</f>
        <v>174.71</v>
      </c>
      <c r="S1183" s="11" t="n">
        <f aca="false">R1183/(1-Resumo!$C$6)</f>
        <v>198.534090909091</v>
      </c>
      <c r="T1183" s="11" t="n">
        <f aca="false">S1183-J1183</f>
        <v>58.1240909090909</v>
      </c>
      <c r="U1183" s="12" t="n">
        <f aca="false">IFERROR(S1183/J1183-1,0)</f>
        <v>0.41395976717535</v>
      </c>
      <c r="V1183" s="2" t="str">
        <f aca="false">IF(S1183&lt;J1183,"SIM","NÃO")</f>
        <v>NÃO</v>
      </c>
      <c r="W1183" s="2" t="n">
        <v>5</v>
      </c>
      <c r="X1183" s="2" t="s">
        <v>156</v>
      </c>
    </row>
    <row r="1184" customFormat="false" ht="15" hidden="false" customHeight="false" outlineLevel="0" collapsed="false">
      <c r="A1184" s="2" t="n">
        <v>378401570</v>
      </c>
      <c r="B1184" s="29" t="n">
        <v>46252.5139583333</v>
      </c>
      <c r="C1184" s="2" t="s">
        <v>158</v>
      </c>
      <c r="D1184" s="2" t="s">
        <v>1320</v>
      </c>
      <c r="E1184" s="2" t="s">
        <v>80</v>
      </c>
      <c r="F1184" s="2" t="s">
        <v>106</v>
      </c>
      <c r="G1184" s="30" t="n">
        <v>26</v>
      </c>
      <c r="H1184" s="11" t="n">
        <v>483.83</v>
      </c>
      <c r="I1184" s="11" t="s">
        <v>155</v>
      </c>
      <c r="J1184" s="11" t="n">
        <v>101.72</v>
      </c>
      <c r="K1184" s="11" t="n">
        <v>82.21</v>
      </c>
      <c r="L1184" s="11" t="n">
        <v>0.4838</v>
      </c>
      <c r="M1184" s="11" t="n">
        <v>0.9677</v>
      </c>
      <c r="N1184" s="11" t="n">
        <v>1</v>
      </c>
      <c r="O1184" s="11" t="n">
        <v>4.5</v>
      </c>
      <c r="P1184" s="11" t="n">
        <v>1.56</v>
      </c>
      <c r="Q1184" s="11" t="n">
        <v>11.7</v>
      </c>
      <c r="R1184" s="11" t="n">
        <f aca="false">SUM(K1184:Q1184)</f>
        <v>102.4215</v>
      </c>
      <c r="S1184" s="11" t="n">
        <f aca="false">R1184/(1-Resumo!$C$6)</f>
        <v>116.388068181818</v>
      </c>
      <c r="T1184" s="11" t="n">
        <f aca="false">S1184-J1184</f>
        <v>14.6680681818182</v>
      </c>
      <c r="U1184" s="12" t="n">
        <f aca="false">IFERROR(S1184/J1184-1,0)</f>
        <v>0.144200434347406</v>
      </c>
      <c r="V1184" s="2" t="str">
        <f aca="false">IF(S1184&lt;J1184,"SIM","NÃO")</f>
        <v>NÃO</v>
      </c>
      <c r="W1184" s="2" t="n">
        <v>5</v>
      </c>
      <c r="X1184" s="2" t="s">
        <v>156</v>
      </c>
    </row>
    <row r="1185" customFormat="false" ht="15" hidden="false" customHeight="false" outlineLevel="0" collapsed="false">
      <c r="A1185" s="2" t="n">
        <v>378401556</v>
      </c>
      <c r="B1185" s="29" t="n">
        <v>46252.5142592593</v>
      </c>
      <c r="C1185" s="2" t="s">
        <v>153</v>
      </c>
      <c r="D1185" s="2" t="s">
        <v>325</v>
      </c>
      <c r="E1185" s="2" t="s">
        <v>78</v>
      </c>
      <c r="F1185" s="2" t="s">
        <v>106</v>
      </c>
      <c r="G1185" s="30" t="n">
        <v>27.5</v>
      </c>
      <c r="H1185" s="11" t="n">
        <v>379.99</v>
      </c>
      <c r="I1185" s="11" t="s">
        <v>155</v>
      </c>
      <c r="J1185" s="11" t="n">
        <v>82.15</v>
      </c>
      <c r="K1185" s="11" t="n">
        <v>82.21</v>
      </c>
      <c r="L1185" s="11" t="n">
        <v>0.38</v>
      </c>
      <c r="M1185" s="11" t="n">
        <v>0.76</v>
      </c>
      <c r="N1185" s="11" t="n">
        <v>1</v>
      </c>
      <c r="O1185" s="11" t="n">
        <v>4.5</v>
      </c>
      <c r="P1185" s="11" t="n">
        <v>1.68</v>
      </c>
      <c r="Q1185" s="11" t="n">
        <v>12.6</v>
      </c>
      <c r="R1185" s="11" t="n">
        <f aca="false">SUM(K1185:Q1185)</f>
        <v>103.13</v>
      </c>
      <c r="S1185" s="11" t="n">
        <f aca="false">R1185/(1-Resumo!$C$6)</f>
        <v>117.193181818182</v>
      </c>
      <c r="T1185" s="11" t="n">
        <f aca="false">S1185-J1185</f>
        <v>35.0431818181818</v>
      </c>
      <c r="U1185" s="12" t="n">
        <f aca="false">IFERROR(S1185/J1185-1,0)</f>
        <v>0.426575554694848</v>
      </c>
      <c r="V1185" s="2" t="str">
        <f aca="false">IF(S1185&lt;J1185,"SIM","NÃO")</f>
        <v>NÃO</v>
      </c>
      <c r="W1185" s="2" t="n">
        <v>5</v>
      </c>
      <c r="X1185" s="2" t="s">
        <v>156</v>
      </c>
    </row>
    <row r="1186" customFormat="false" ht="15" hidden="false" customHeight="false" outlineLevel="0" collapsed="false">
      <c r="A1186" s="2" t="n">
        <v>378406542</v>
      </c>
      <c r="B1186" s="29" t="n">
        <v>46252.5229976852</v>
      </c>
      <c r="C1186" s="2" t="s">
        <v>198</v>
      </c>
      <c r="D1186" s="2" t="s">
        <v>600</v>
      </c>
      <c r="E1186" s="2" t="s">
        <v>601</v>
      </c>
      <c r="F1186" s="2" t="s">
        <v>113</v>
      </c>
      <c r="G1186" s="30" t="n">
        <v>107</v>
      </c>
      <c r="H1186" s="11" t="n">
        <v>3059.98</v>
      </c>
      <c r="I1186" s="11" t="s">
        <v>155</v>
      </c>
      <c r="J1186" s="11" t="n">
        <v>225.33</v>
      </c>
      <c r="K1186" s="11" t="n">
        <v>236.82</v>
      </c>
      <c r="L1186" s="11" t="n">
        <v>3.06</v>
      </c>
      <c r="M1186" s="11" t="n">
        <v>6.12</v>
      </c>
      <c r="N1186" s="11" t="n">
        <v>1</v>
      </c>
      <c r="O1186" s="11" t="n">
        <v>9</v>
      </c>
      <c r="P1186" s="11" t="n">
        <v>6.42</v>
      </c>
      <c r="Q1186" s="11" t="n">
        <v>48.15</v>
      </c>
      <c r="R1186" s="11" t="n">
        <f aca="false">SUM(K1186:Q1186)</f>
        <v>310.57</v>
      </c>
      <c r="S1186" s="11" t="n">
        <f aca="false">R1186/(1-Resumo!$C$6)</f>
        <v>352.920454545455</v>
      </c>
      <c r="T1186" s="11" t="n">
        <f aca="false">S1186-J1186</f>
        <v>127.590454545455</v>
      </c>
      <c r="U1186" s="12" t="n">
        <f aca="false">IFERROR(S1186/J1186-1,0)</f>
        <v>0.566238204169239</v>
      </c>
      <c r="V1186" s="2" t="str">
        <f aca="false">IF(S1186&lt;J1186,"SIM","NÃO")</f>
        <v>NÃO</v>
      </c>
      <c r="W1186" s="2" t="n">
        <v>10</v>
      </c>
      <c r="X1186" s="2" t="s">
        <v>161</v>
      </c>
    </row>
    <row r="1187" customFormat="false" ht="15" hidden="false" customHeight="false" outlineLevel="0" collapsed="false">
      <c r="A1187" s="2" t="n">
        <v>378433768</v>
      </c>
      <c r="B1187" s="29" t="n">
        <v>46252.5720601852</v>
      </c>
      <c r="C1187" s="2" t="s">
        <v>153</v>
      </c>
      <c r="D1187" s="2" t="s">
        <v>1321</v>
      </c>
      <c r="E1187" s="2" t="s">
        <v>86</v>
      </c>
      <c r="F1187" s="2" t="s">
        <v>108</v>
      </c>
      <c r="G1187" s="30" t="n">
        <v>46.8</v>
      </c>
      <c r="H1187" s="11" t="n">
        <v>506.56</v>
      </c>
      <c r="I1187" s="11" t="s">
        <v>155</v>
      </c>
      <c r="J1187" s="11" t="n">
        <v>116.49</v>
      </c>
      <c r="K1187" s="11" t="n">
        <v>93.97</v>
      </c>
      <c r="L1187" s="11" t="n">
        <v>0.5066</v>
      </c>
      <c r="M1187" s="11" t="n">
        <v>1.0131</v>
      </c>
      <c r="N1187" s="11" t="n">
        <v>1</v>
      </c>
      <c r="O1187" s="11" t="n">
        <v>4.5</v>
      </c>
      <c r="P1187" s="11" t="n">
        <v>2.82</v>
      </c>
      <c r="Q1187" s="11" t="n">
        <v>21.15</v>
      </c>
      <c r="R1187" s="11" t="n">
        <f aca="false">SUM(K1187:Q1187)</f>
        <v>124.9597</v>
      </c>
      <c r="S1187" s="11" t="n">
        <f aca="false">R1187/(1-Resumo!$C$6)</f>
        <v>141.999659090909</v>
      </c>
      <c r="T1187" s="11" t="n">
        <f aca="false">S1187-J1187</f>
        <v>25.5096590909091</v>
      </c>
      <c r="U1187" s="12" t="n">
        <f aca="false">IFERROR(S1187/J1187-1,0)</f>
        <v>0.218985827890026</v>
      </c>
      <c r="V1187" s="2" t="str">
        <f aca="false">IF(S1187&lt;J1187,"SIM","NÃO")</f>
        <v>NÃO</v>
      </c>
      <c r="W1187" s="2" t="n">
        <v>5</v>
      </c>
      <c r="X1187" s="2" t="s">
        <v>156</v>
      </c>
    </row>
    <row r="1188" customFormat="false" ht="15" hidden="false" customHeight="false" outlineLevel="0" collapsed="false">
      <c r="A1188" s="2" t="n">
        <v>378436882</v>
      </c>
      <c r="B1188" s="29" t="n">
        <v>46252.5786921296</v>
      </c>
      <c r="C1188" s="2" t="s">
        <v>153</v>
      </c>
      <c r="D1188" s="2" t="s">
        <v>1322</v>
      </c>
      <c r="E1188" s="2" t="s">
        <v>81</v>
      </c>
      <c r="F1188" s="2" t="s">
        <v>110</v>
      </c>
      <c r="G1188" s="30" t="n">
        <v>63.9</v>
      </c>
      <c r="H1188" s="11" t="n">
        <v>730.98</v>
      </c>
      <c r="I1188" s="11" t="s">
        <v>155</v>
      </c>
      <c r="J1188" s="11" t="n">
        <v>139.93</v>
      </c>
      <c r="K1188" s="11" t="n">
        <v>131.02</v>
      </c>
      <c r="L1188" s="11" t="n">
        <v>0.731</v>
      </c>
      <c r="M1188" s="11" t="n">
        <v>1.462</v>
      </c>
      <c r="N1188" s="11" t="n">
        <v>1</v>
      </c>
      <c r="O1188" s="11" t="n">
        <v>4.5</v>
      </c>
      <c r="P1188" s="11" t="n">
        <v>3.84</v>
      </c>
      <c r="Q1188" s="11" t="n">
        <v>28.8</v>
      </c>
      <c r="R1188" s="11" t="n">
        <f aca="false">SUM(K1188:Q1188)</f>
        <v>171.353</v>
      </c>
      <c r="S1188" s="11" t="n">
        <f aca="false">R1188/(1-Resumo!$C$6)</f>
        <v>194.719318181818</v>
      </c>
      <c r="T1188" s="11" t="n">
        <f aca="false">S1188-J1188</f>
        <v>54.7893181818182</v>
      </c>
      <c r="U1188" s="12" t="n">
        <f aca="false">IFERROR(S1188/J1188-1,0)</f>
        <v>0.391548046750648</v>
      </c>
      <c r="V1188" s="2" t="str">
        <f aca="false">IF(S1188&lt;J1188,"SIM","NÃO")</f>
        <v>NÃO</v>
      </c>
      <c r="W1188" s="2" t="n">
        <v>5</v>
      </c>
      <c r="X1188" s="2" t="s">
        <v>156</v>
      </c>
    </row>
    <row r="1189" customFormat="false" ht="15" hidden="false" customHeight="false" outlineLevel="0" collapsed="false">
      <c r="A1189" s="2" t="n">
        <v>378452214</v>
      </c>
      <c r="B1189" s="29" t="n">
        <v>46252.6090277778</v>
      </c>
      <c r="C1189" s="2" t="s">
        <v>153</v>
      </c>
      <c r="D1189" s="2" t="s">
        <v>1323</v>
      </c>
      <c r="E1189" s="2" t="s">
        <v>78</v>
      </c>
      <c r="F1189" s="2" t="s">
        <v>109</v>
      </c>
      <c r="G1189" s="30" t="n">
        <v>52.3</v>
      </c>
      <c r="H1189" s="11" t="n">
        <v>699.99</v>
      </c>
      <c r="I1189" s="11" t="s">
        <v>155</v>
      </c>
      <c r="J1189" s="11" t="n">
        <v>114.5</v>
      </c>
      <c r="K1189" s="11" t="n">
        <v>112.3</v>
      </c>
      <c r="L1189" s="11" t="n">
        <v>0.7</v>
      </c>
      <c r="M1189" s="11" t="n">
        <v>1.4</v>
      </c>
      <c r="N1189" s="11" t="n">
        <v>1</v>
      </c>
      <c r="O1189" s="11" t="n">
        <v>4.5</v>
      </c>
      <c r="P1189" s="11" t="n">
        <v>3.18</v>
      </c>
      <c r="Q1189" s="11" t="n">
        <v>23.85</v>
      </c>
      <c r="R1189" s="11" t="n">
        <f aca="false">SUM(K1189:Q1189)</f>
        <v>146.93</v>
      </c>
      <c r="S1189" s="11" t="n">
        <f aca="false">R1189/(1-Resumo!$C$6)</f>
        <v>166.965909090909</v>
      </c>
      <c r="T1189" s="11" t="n">
        <f aca="false">S1189-J1189</f>
        <v>52.4659090909091</v>
      </c>
      <c r="U1189" s="12" t="n">
        <f aca="false">IFERROR(S1189/J1189-1,0)</f>
        <v>0.458217546645494</v>
      </c>
      <c r="V1189" s="2" t="str">
        <f aca="false">IF(S1189&lt;J1189,"SIM","NÃO")</f>
        <v>NÃO</v>
      </c>
      <c r="W1189" s="2" t="n">
        <v>5</v>
      </c>
      <c r="X1189" s="2" t="s">
        <v>156</v>
      </c>
    </row>
    <row r="1190" customFormat="false" ht="15" hidden="false" customHeight="false" outlineLevel="0" collapsed="false">
      <c r="A1190" s="2" t="n">
        <v>378457966</v>
      </c>
      <c r="B1190" s="29" t="n">
        <v>46252.620162037</v>
      </c>
      <c r="C1190" s="2" t="s">
        <v>158</v>
      </c>
      <c r="D1190" s="2" t="s">
        <v>1324</v>
      </c>
      <c r="E1190" s="2" t="s">
        <v>219</v>
      </c>
      <c r="F1190" s="2" t="s">
        <v>110</v>
      </c>
      <c r="G1190" s="30" t="n">
        <v>66.8</v>
      </c>
      <c r="H1190" s="11" t="n">
        <v>631.66</v>
      </c>
      <c r="I1190" s="11" t="s">
        <v>155</v>
      </c>
      <c r="J1190" s="11" t="n">
        <v>155.03</v>
      </c>
      <c r="K1190" s="11" t="n">
        <v>166.05</v>
      </c>
      <c r="L1190" s="11" t="n">
        <v>0.6317</v>
      </c>
      <c r="M1190" s="11" t="n">
        <v>1.2633</v>
      </c>
      <c r="N1190" s="11" t="n">
        <v>1</v>
      </c>
      <c r="O1190" s="11" t="n">
        <v>4.5</v>
      </c>
      <c r="P1190" s="11" t="n">
        <v>4.02</v>
      </c>
      <c r="Q1190" s="11" t="n">
        <v>30.15</v>
      </c>
      <c r="R1190" s="11" t="n">
        <f aca="false">SUM(K1190:Q1190)</f>
        <v>207.615</v>
      </c>
      <c r="S1190" s="11" t="n">
        <f aca="false">R1190/(1-Resumo!$C$6)</f>
        <v>235.926136363636</v>
      </c>
      <c r="T1190" s="11" t="n">
        <f aca="false">S1190-J1190</f>
        <v>80.8961363636364</v>
      </c>
      <c r="U1190" s="12" t="n">
        <f aca="false">IFERROR(S1190/J1190-1,0)</f>
        <v>0.521809561785696</v>
      </c>
      <c r="V1190" s="2" t="str">
        <f aca="false">IF(S1190&lt;J1190,"SIM","NÃO")</f>
        <v>NÃO</v>
      </c>
      <c r="W1190" s="2" t="n">
        <v>10</v>
      </c>
      <c r="X1190" s="2" t="s">
        <v>161</v>
      </c>
    </row>
    <row r="1191" customFormat="false" ht="15" hidden="false" customHeight="false" outlineLevel="0" collapsed="false">
      <c r="A1191" s="2" t="n">
        <v>378461671</v>
      </c>
      <c r="B1191" s="29" t="n">
        <v>46252.6272106482</v>
      </c>
      <c r="C1191" s="2" t="s">
        <v>153</v>
      </c>
      <c r="D1191" s="2" t="s">
        <v>1325</v>
      </c>
      <c r="E1191" s="2" t="s">
        <v>78</v>
      </c>
      <c r="F1191" s="2" t="s">
        <v>108</v>
      </c>
      <c r="G1191" s="30" t="n">
        <v>41.4</v>
      </c>
      <c r="H1191" s="11" t="n">
        <v>449.99</v>
      </c>
      <c r="I1191" s="11" t="s">
        <v>155</v>
      </c>
      <c r="J1191" s="11" t="n">
        <v>102.74</v>
      </c>
      <c r="K1191" s="11" t="n">
        <v>93.97</v>
      </c>
      <c r="L1191" s="11" t="n">
        <v>0.45</v>
      </c>
      <c r="M1191" s="11" t="n">
        <v>0.9</v>
      </c>
      <c r="N1191" s="11" t="n">
        <v>1</v>
      </c>
      <c r="O1191" s="11" t="n">
        <v>4.5</v>
      </c>
      <c r="P1191" s="11" t="n">
        <v>2.52</v>
      </c>
      <c r="Q1191" s="11" t="n">
        <v>18.9</v>
      </c>
      <c r="R1191" s="11" t="n">
        <f aca="false">SUM(K1191:Q1191)</f>
        <v>122.24</v>
      </c>
      <c r="S1191" s="11" t="n">
        <f aca="false">R1191/(1-Resumo!$C$6)</f>
        <v>138.909090909091</v>
      </c>
      <c r="T1191" s="11" t="n">
        <f aca="false">S1191-J1191</f>
        <v>36.1690909090909</v>
      </c>
      <c r="U1191" s="12" t="n">
        <f aca="false">IFERROR(S1191/J1191-1,0)</f>
        <v>0.352044879395473</v>
      </c>
      <c r="V1191" s="2" t="str">
        <f aca="false">IF(S1191&lt;J1191,"SIM","NÃO")</f>
        <v>NÃO</v>
      </c>
      <c r="W1191" s="2" t="n">
        <v>5</v>
      </c>
      <c r="X1191" s="2" t="s">
        <v>156</v>
      </c>
    </row>
    <row r="1192" customFormat="false" ht="15" hidden="false" customHeight="false" outlineLevel="0" collapsed="false">
      <c r="A1192" s="2" t="n">
        <v>378468371</v>
      </c>
      <c r="B1192" s="29" t="n">
        <v>46252.6396412037</v>
      </c>
      <c r="C1192" s="2" t="s">
        <v>153</v>
      </c>
      <c r="D1192" s="2" t="s">
        <v>1326</v>
      </c>
      <c r="E1192" s="2" t="s">
        <v>92</v>
      </c>
      <c r="F1192" s="2" t="s">
        <v>107</v>
      </c>
      <c r="G1192" s="30" t="n">
        <v>39.8</v>
      </c>
      <c r="H1192" s="11" t="n">
        <v>559.98</v>
      </c>
      <c r="I1192" s="11" t="s">
        <v>155</v>
      </c>
      <c r="J1192" s="11" t="n">
        <v>122.93</v>
      </c>
      <c r="K1192" s="11" t="n">
        <v>124.38</v>
      </c>
      <c r="L1192" s="11" t="n">
        <v>0.56</v>
      </c>
      <c r="M1192" s="11" t="n">
        <v>1.12</v>
      </c>
      <c r="N1192" s="11" t="n">
        <v>1</v>
      </c>
      <c r="O1192" s="11" t="n">
        <v>4.5</v>
      </c>
      <c r="P1192" s="11" t="n">
        <v>2.4</v>
      </c>
      <c r="Q1192" s="11" t="n">
        <v>18</v>
      </c>
      <c r="R1192" s="11" t="n">
        <f aca="false">SUM(K1192:Q1192)</f>
        <v>151.96</v>
      </c>
      <c r="S1192" s="11" t="n">
        <f aca="false">R1192/(1-Resumo!$C$6)</f>
        <v>172.681818181818</v>
      </c>
      <c r="T1192" s="11" t="n">
        <f aca="false">S1192-J1192</f>
        <v>49.7518181818182</v>
      </c>
      <c r="U1192" s="12" t="n">
        <f aca="false">IFERROR(S1192/J1192-1,0)</f>
        <v>0.404716653232069</v>
      </c>
      <c r="V1192" s="2" t="str">
        <f aca="false">IF(S1192&lt;J1192,"SIM","NÃO")</f>
        <v>NÃO</v>
      </c>
      <c r="W1192" s="2" t="n">
        <v>10</v>
      </c>
      <c r="X1192" s="2" t="s">
        <v>156</v>
      </c>
    </row>
    <row r="1193" customFormat="false" ht="15" hidden="false" customHeight="false" outlineLevel="0" collapsed="false">
      <c r="A1193" s="2" t="n">
        <v>378474918</v>
      </c>
      <c r="B1193" s="29" t="n">
        <v>46252.6521064815</v>
      </c>
      <c r="C1193" s="2" t="s">
        <v>158</v>
      </c>
      <c r="D1193" s="2" t="s">
        <v>1327</v>
      </c>
      <c r="E1193" s="2" t="s">
        <v>78</v>
      </c>
      <c r="F1193" s="2" t="s">
        <v>111</v>
      </c>
      <c r="G1193" s="30" t="n">
        <v>74.4</v>
      </c>
      <c r="H1193" s="11" t="n">
        <v>879.99</v>
      </c>
      <c r="I1193" s="11" t="s">
        <v>155</v>
      </c>
      <c r="J1193" s="11" t="n">
        <v>136.69</v>
      </c>
      <c r="K1193" s="11" t="n">
        <v>134.39</v>
      </c>
      <c r="L1193" s="11" t="n">
        <v>0.88</v>
      </c>
      <c r="M1193" s="11" t="n">
        <v>1.76</v>
      </c>
      <c r="N1193" s="11" t="n">
        <v>1</v>
      </c>
      <c r="O1193" s="11" t="n">
        <v>4.5</v>
      </c>
      <c r="P1193" s="11" t="n">
        <v>4.5</v>
      </c>
      <c r="Q1193" s="11" t="n">
        <v>33.75</v>
      </c>
      <c r="R1193" s="11" t="n">
        <f aca="false">SUM(K1193:Q1193)</f>
        <v>180.78</v>
      </c>
      <c r="S1193" s="11" t="n">
        <f aca="false">R1193/(1-Resumo!$C$6)</f>
        <v>205.431818181818</v>
      </c>
      <c r="T1193" s="11" t="n">
        <f aca="false">S1193-J1193</f>
        <v>68.7418181818182</v>
      </c>
      <c r="U1193" s="12" t="n">
        <f aca="false">IFERROR(S1193/J1193-1,0)</f>
        <v>0.502903052028811</v>
      </c>
      <c r="V1193" s="2" t="str">
        <f aca="false">IF(S1193&lt;J1193,"SIM","NÃO")</f>
        <v>NÃO</v>
      </c>
      <c r="W1193" s="2" t="n">
        <v>5</v>
      </c>
      <c r="X1193" s="2" t="s">
        <v>156</v>
      </c>
    </row>
    <row r="1194" customFormat="false" ht="15" hidden="false" customHeight="false" outlineLevel="0" collapsed="false">
      <c r="A1194" s="2" t="n">
        <v>378518026</v>
      </c>
      <c r="B1194" s="29" t="n">
        <v>46252.7386921296</v>
      </c>
      <c r="C1194" s="2" t="s">
        <v>153</v>
      </c>
      <c r="D1194" s="2" t="s">
        <v>1328</v>
      </c>
      <c r="E1194" s="2" t="s">
        <v>90</v>
      </c>
      <c r="F1194" s="2" t="s">
        <v>110</v>
      </c>
      <c r="G1194" s="30" t="n">
        <v>61.4</v>
      </c>
      <c r="H1194" s="11" t="n">
        <v>999.99</v>
      </c>
      <c r="I1194" s="11" t="s">
        <v>155</v>
      </c>
      <c r="J1194" s="11" t="n">
        <v>156.81</v>
      </c>
      <c r="K1194" s="11" t="n">
        <v>149.5</v>
      </c>
      <c r="L1194" s="11" t="n">
        <v>1</v>
      </c>
      <c r="M1194" s="11" t="n">
        <v>2</v>
      </c>
      <c r="N1194" s="11" t="n">
        <v>1</v>
      </c>
      <c r="O1194" s="11" t="n">
        <v>4.5</v>
      </c>
      <c r="P1194" s="11" t="n">
        <v>3.72</v>
      </c>
      <c r="Q1194" s="11" t="n">
        <v>27.9</v>
      </c>
      <c r="R1194" s="11" t="n">
        <f aca="false">SUM(K1194:Q1194)</f>
        <v>189.62</v>
      </c>
      <c r="S1194" s="11" t="n">
        <f aca="false">R1194/(1-Resumo!$C$6)</f>
        <v>215.477272727273</v>
      </c>
      <c r="T1194" s="11" t="n">
        <f aca="false">S1194-J1194</f>
        <v>58.6672727272727</v>
      </c>
      <c r="U1194" s="12" t="n">
        <f aca="false">IFERROR(S1194/J1194-1,0)</f>
        <v>0.374129664736131</v>
      </c>
      <c r="V1194" s="2" t="str">
        <f aca="false">IF(S1194&lt;J1194,"SIM","NÃO")</f>
        <v>NÃO</v>
      </c>
      <c r="W1194" s="2" t="n">
        <v>7</v>
      </c>
      <c r="X1194" s="2" t="s">
        <v>156</v>
      </c>
    </row>
    <row r="1195" customFormat="false" ht="15" hidden="false" customHeight="false" outlineLevel="0" collapsed="false">
      <c r="A1195" s="2" t="n">
        <v>378520801</v>
      </c>
      <c r="B1195" s="29" t="n">
        <v>46252.7437268519</v>
      </c>
      <c r="C1195" s="2" t="s">
        <v>153</v>
      </c>
      <c r="D1195" s="2" t="s">
        <v>570</v>
      </c>
      <c r="E1195" s="2" t="s">
        <v>82</v>
      </c>
      <c r="F1195" s="2" t="s">
        <v>108</v>
      </c>
      <c r="G1195" s="30" t="n">
        <v>48</v>
      </c>
      <c r="H1195" s="11" t="n">
        <v>806.69</v>
      </c>
      <c r="I1195" s="11" t="s">
        <v>155</v>
      </c>
      <c r="J1195" s="11" t="n">
        <v>117.93</v>
      </c>
      <c r="K1195" s="11" t="n">
        <v>114.95</v>
      </c>
      <c r="L1195" s="11" t="n">
        <v>0.8067</v>
      </c>
      <c r="M1195" s="11" t="n">
        <v>1.6134</v>
      </c>
      <c r="N1195" s="11" t="n">
        <v>1</v>
      </c>
      <c r="O1195" s="11" t="n">
        <v>4.5</v>
      </c>
      <c r="P1195" s="11" t="n">
        <v>2.88</v>
      </c>
      <c r="Q1195" s="11" t="n">
        <v>21.6</v>
      </c>
      <c r="R1195" s="11" t="n">
        <f aca="false">SUM(K1195:Q1195)</f>
        <v>147.3501</v>
      </c>
      <c r="S1195" s="11" t="n">
        <f aca="false">R1195/(1-Resumo!$C$6)</f>
        <v>167.443295454545</v>
      </c>
      <c r="T1195" s="11" t="n">
        <f aca="false">S1195-J1195</f>
        <v>49.5132954545454</v>
      </c>
      <c r="U1195" s="12" t="n">
        <f aca="false">IFERROR(S1195/J1195-1,0)</f>
        <v>0.419853264263083</v>
      </c>
      <c r="V1195" s="2" t="str">
        <f aca="false">IF(S1195&lt;J1195,"SIM","NÃO")</f>
        <v>NÃO</v>
      </c>
      <c r="W1195" s="2" t="n">
        <v>7</v>
      </c>
      <c r="X1195" s="2" t="s">
        <v>156</v>
      </c>
    </row>
    <row r="1196" customFormat="false" ht="15" hidden="false" customHeight="false" outlineLevel="0" collapsed="false">
      <c r="A1196" s="2" t="n">
        <v>378528500</v>
      </c>
      <c r="B1196" s="29" t="n">
        <v>46252.7577083333</v>
      </c>
      <c r="C1196" s="2" t="s">
        <v>153</v>
      </c>
      <c r="D1196" s="2" t="s">
        <v>1329</v>
      </c>
      <c r="E1196" s="2" t="s">
        <v>78</v>
      </c>
      <c r="F1196" s="2" t="s">
        <v>109</v>
      </c>
      <c r="G1196" s="30" t="n">
        <v>59.9</v>
      </c>
      <c r="H1196" s="11" t="n">
        <v>959.31</v>
      </c>
      <c r="I1196" s="11" t="s">
        <v>155</v>
      </c>
      <c r="J1196" s="11" t="n">
        <v>115.75</v>
      </c>
      <c r="K1196" s="11" t="n">
        <v>112.3</v>
      </c>
      <c r="L1196" s="11" t="n">
        <v>0.9593</v>
      </c>
      <c r="M1196" s="11" t="n">
        <v>1.9186</v>
      </c>
      <c r="N1196" s="11" t="n">
        <v>1</v>
      </c>
      <c r="O1196" s="11" t="n">
        <v>4.5</v>
      </c>
      <c r="P1196" s="11" t="n">
        <v>3.6</v>
      </c>
      <c r="Q1196" s="11" t="n">
        <v>27</v>
      </c>
      <c r="R1196" s="11" t="n">
        <f aca="false">SUM(K1196:Q1196)</f>
        <v>151.2779</v>
      </c>
      <c r="S1196" s="11" t="n">
        <f aca="false">R1196/(1-Resumo!$C$6)</f>
        <v>171.906704545455</v>
      </c>
      <c r="T1196" s="11" t="n">
        <f aca="false">S1196-J1196</f>
        <v>56.1567045454545</v>
      </c>
      <c r="U1196" s="12" t="n">
        <f aca="false">IFERROR(S1196/J1196-1,0)</f>
        <v>0.485155114863538</v>
      </c>
      <c r="V1196" s="2" t="str">
        <f aca="false">IF(S1196&lt;J1196,"SIM","NÃO")</f>
        <v>NÃO</v>
      </c>
      <c r="W1196" s="2" t="n">
        <v>5</v>
      </c>
      <c r="X1196" s="2" t="s">
        <v>156</v>
      </c>
    </row>
    <row r="1197" customFormat="false" ht="15" hidden="false" customHeight="false" outlineLevel="0" collapsed="false">
      <c r="A1197" s="2" t="n">
        <v>378539232</v>
      </c>
      <c r="B1197" s="29" t="n">
        <v>46252.7765277778</v>
      </c>
      <c r="C1197" s="2" t="s">
        <v>153</v>
      </c>
      <c r="D1197" s="2" t="s">
        <v>1330</v>
      </c>
      <c r="E1197" s="2" t="s">
        <v>448</v>
      </c>
      <c r="F1197" s="2" t="s">
        <v>106</v>
      </c>
      <c r="G1197" s="30" t="n">
        <v>30.5</v>
      </c>
      <c r="H1197" s="11" t="n">
        <v>439.99</v>
      </c>
      <c r="I1197" s="11" t="s">
        <v>155</v>
      </c>
      <c r="J1197" s="11" t="n">
        <v>109.28</v>
      </c>
      <c r="K1197" s="11" t="n">
        <v>108.83</v>
      </c>
      <c r="L1197" s="11" t="n">
        <v>0.44</v>
      </c>
      <c r="M1197" s="11" t="n">
        <v>0.88</v>
      </c>
      <c r="N1197" s="11" t="n">
        <v>1</v>
      </c>
      <c r="O1197" s="11" t="n">
        <v>4.5</v>
      </c>
      <c r="P1197" s="11" t="n">
        <v>1.86</v>
      </c>
      <c r="Q1197" s="11" t="n">
        <v>13.95</v>
      </c>
      <c r="R1197" s="11" t="n">
        <f aca="false">SUM(K1197:Q1197)</f>
        <v>131.46</v>
      </c>
      <c r="S1197" s="11" t="n">
        <f aca="false">R1197/(1-Resumo!$C$6)</f>
        <v>149.386363636364</v>
      </c>
      <c r="T1197" s="11" t="n">
        <f aca="false">S1197-J1197</f>
        <v>40.1063636363637</v>
      </c>
      <c r="U1197" s="12" t="n">
        <f aca="false">IFERROR(S1197/J1197-1,0)</f>
        <v>0.367005523758818</v>
      </c>
      <c r="V1197" s="2" t="str">
        <f aca="false">IF(S1197&lt;J1197,"SIM","NÃO")</f>
        <v>NÃO</v>
      </c>
      <c r="W1197" s="2" t="n">
        <v>10</v>
      </c>
      <c r="X1197" s="2" t="s">
        <v>161</v>
      </c>
    </row>
    <row r="1198" customFormat="false" ht="15" hidden="false" customHeight="false" outlineLevel="0" collapsed="false">
      <c r="A1198" s="2" t="n">
        <v>378546732</v>
      </c>
      <c r="B1198" s="29" t="n">
        <v>46252.7908564815</v>
      </c>
      <c r="C1198" s="2" t="s">
        <v>153</v>
      </c>
      <c r="D1198" s="2" t="s">
        <v>1331</v>
      </c>
      <c r="E1198" s="2" t="s">
        <v>85</v>
      </c>
      <c r="F1198" s="2" t="s">
        <v>109</v>
      </c>
      <c r="G1198" s="30" t="n">
        <v>52.3</v>
      </c>
      <c r="H1198" s="11" t="n">
        <v>616.39</v>
      </c>
      <c r="I1198" s="11" t="s">
        <v>155</v>
      </c>
      <c r="J1198" s="11" t="n">
        <v>142.61</v>
      </c>
      <c r="K1198" s="11" t="n">
        <v>162.04</v>
      </c>
      <c r="L1198" s="11" t="n">
        <v>0.6164</v>
      </c>
      <c r="M1198" s="11" t="n">
        <v>1.2328</v>
      </c>
      <c r="N1198" s="11" t="n">
        <v>1</v>
      </c>
      <c r="O1198" s="11" t="n">
        <v>4.5</v>
      </c>
      <c r="P1198" s="11" t="n">
        <v>3.18</v>
      </c>
      <c r="Q1198" s="11" t="n">
        <v>23.85</v>
      </c>
      <c r="R1198" s="11" t="n">
        <f aca="false">SUM(K1198:Q1198)</f>
        <v>196.4192</v>
      </c>
      <c r="S1198" s="11" t="n">
        <f aca="false">R1198/(1-Resumo!$C$6)</f>
        <v>223.203636363636</v>
      </c>
      <c r="T1198" s="11" t="n">
        <f aca="false">S1198-J1198</f>
        <v>80.5936363636363</v>
      </c>
      <c r="U1198" s="12" t="n">
        <f aca="false">IFERROR(S1198/J1198-1,0)</f>
        <v>0.565133134868777</v>
      </c>
      <c r="V1198" s="2" t="str">
        <f aca="false">IF(S1198&lt;J1198,"SIM","NÃO")</f>
        <v>NÃO</v>
      </c>
      <c r="W1198" s="2" t="n">
        <v>11</v>
      </c>
      <c r="X1198" s="2" t="s">
        <v>156</v>
      </c>
    </row>
    <row r="1199" customFormat="false" ht="15" hidden="false" customHeight="false" outlineLevel="0" collapsed="false">
      <c r="A1199" s="2" t="n">
        <v>378551274</v>
      </c>
      <c r="B1199" s="29" t="n">
        <v>46252.8006481482</v>
      </c>
      <c r="C1199" s="2" t="s">
        <v>153</v>
      </c>
      <c r="D1199" s="2" t="s">
        <v>746</v>
      </c>
      <c r="E1199" s="2" t="s">
        <v>81</v>
      </c>
      <c r="F1199" s="2" t="s">
        <v>108</v>
      </c>
      <c r="G1199" s="30" t="n">
        <v>48</v>
      </c>
      <c r="H1199" s="11" t="n">
        <v>929.99</v>
      </c>
      <c r="I1199" s="11" t="s">
        <v>155</v>
      </c>
      <c r="J1199" s="11" t="n">
        <v>118.53</v>
      </c>
      <c r="K1199" s="11" t="n">
        <v>93.97</v>
      </c>
      <c r="L1199" s="11" t="n">
        <v>0.93</v>
      </c>
      <c r="M1199" s="11" t="n">
        <v>1.86</v>
      </c>
      <c r="N1199" s="11" t="n">
        <v>1</v>
      </c>
      <c r="O1199" s="11" t="n">
        <v>4.5</v>
      </c>
      <c r="P1199" s="11" t="n">
        <v>2.88</v>
      </c>
      <c r="Q1199" s="11" t="n">
        <v>21.6</v>
      </c>
      <c r="R1199" s="11" t="n">
        <f aca="false">SUM(K1199:Q1199)</f>
        <v>126.74</v>
      </c>
      <c r="S1199" s="11" t="n">
        <f aca="false">R1199/(1-Resumo!$C$6)</f>
        <v>144.022727272727</v>
      </c>
      <c r="T1199" s="11" t="n">
        <f aca="false">S1199-J1199</f>
        <v>25.4927272727273</v>
      </c>
      <c r="U1199" s="12" t="n">
        <f aca="false">IFERROR(S1199/J1199-1,0)</f>
        <v>0.21507405106494</v>
      </c>
      <c r="V1199" s="2" t="str">
        <f aca="false">IF(S1199&lt;J1199,"SIM","NÃO")</f>
        <v>NÃO</v>
      </c>
      <c r="W1199" s="2" t="n">
        <v>5</v>
      </c>
      <c r="X1199" s="2" t="s">
        <v>156</v>
      </c>
    </row>
    <row r="1200" customFormat="false" ht="15" hidden="false" customHeight="false" outlineLevel="0" collapsed="false">
      <c r="A1200" s="2" t="n">
        <v>378577128</v>
      </c>
      <c r="B1200" s="29" t="n">
        <v>46252.8498032407</v>
      </c>
      <c r="C1200" s="2" t="s">
        <v>153</v>
      </c>
      <c r="D1200" s="2" t="s">
        <v>1332</v>
      </c>
      <c r="E1200" s="2" t="s">
        <v>79</v>
      </c>
      <c r="F1200" s="2" t="s">
        <v>115</v>
      </c>
      <c r="G1200" s="30" t="n">
        <v>165.2</v>
      </c>
      <c r="H1200" s="11" t="n">
        <v>2059.99</v>
      </c>
      <c r="I1200" s="11" t="s">
        <v>155</v>
      </c>
      <c r="J1200" s="11" t="n">
        <v>267.69</v>
      </c>
      <c r="K1200" s="11" t="n">
        <v>282.23</v>
      </c>
      <c r="L1200" s="11" t="n">
        <v>2.06</v>
      </c>
      <c r="M1200" s="11" t="n">
        <v>4.12</v>
      </c>
      <c r="N1200" s="11" t="n">
        <v>1</v>
      </c>
      <c r="O1200" s="11" t="n">
        <v>9</v>
      </c>
      <c r="P1200" s="11" t="n">
        <v>9.96</v>
      </c>
      <c r="Q1200" s="11" t="n">
        <v>74.7</v>
      </c>
      <c r="R1200" s="11" t="n">
        <f aca="false">SUM(K1200:Q1200)</f>
        <v>383.07</v>
      </c>
      <c r="S1200" s="11" t="n">
        <f aca="false">R1200/(1-Resumo!$C$6)</f>
        <v>435.306818181818</v>
      </c>
      <c r="T1200" s="11" t="n">
        <f aca="false">S1200-J1200</f>
        <v>167.616818181818</v>
      </c>
      <c r="U1200" s="12" t="n">
        <f aca="false">IFERROR(S1200/J1200-1,0)</f>
        <v>0.626160178496837</v>
      </c>
      <c r="V1200" s="2" t="str">
        <f aca="false">IF(S1200&lt;J1200,"SIM","NÃO")</f>
        <v>NÃO</v>
      </c>
      <c r="W1200" s="2" t="n">
        <v>7</v>
      </c>
      <c r="X1200" s="2" t="s">
        <v>156</v>
      </c>
    </row>
    <row r="1201" customFormat="false" ht="15" hidden="false" customHeight="false" outlineLevel="0" collapsed="false">
      <c r="A1201" s="2" t="n">
        <v>378583272</v>
      </c>
      <c r="B1201" s="29" t="n">
        <v>46252.8602662037</v>
      </c>
      <c r="C1201" s="2" t="s">
        <v>153</v>
      </c>
      <c r="D1201" s="2" t="s">
        <v>1333</v>
      </c>
      <c r="E1201" s="2" t="s">
        <v>93</v>
      </c>
      <c r="F1201" s="2" t="s">
        <v>106</v>
      </c>
      <c r="G1201" s="30" t="n">
        <v>27.6</v>
      </c>
      <c r="H1201" s="11" t="n">
        <v>629.99</v>
      </c>
      <c r="I1201" s="11" t="s">
        <v>155</v>
      </c>
      <c r="J1201" s="11" t="n">
        <v>110.2</v>
      </c>
      <c r="K1201" s="11" t="n">
        <v>100.58</v>
      </c>
      <c r="L1201" s="11" t="n">
        <v>0.63</v>
      </c>
      <c r="M1201" s="11" t="n">
        <v>1.26</v>
      </c>
      <c r="N1201" s="11" t="n">
        <v>1</v>
      </c>
      <c r="O1201" s="11" t="n">
        <v>4.5</v>
      </c>
      <c r="P1201" s="11" t="n">
        <v>1.68</v>
      </c>
      <c r="Q1201" s="11" t="n">
        <v>12.6</v>
      </c>
      <c r="R1201" s="11" t="n">
        <f aca="false">SUM(K1201:Q1201)</f>
        <v>122.25</v>
      </c>
      <c r="S1201" s="11" t="n">
        <f aca="false">R1201/(1-Resumo!$C$6)</f>
        <v>138.920454545455</v>
      </c>
      <c r="T1201" s="11" t="n">
        <f aca="false">S1201-J1201</f>
        <v>28.7204545454545</v>
      </c>
      <c r="U1201" s="12" t="n">
        <f aca="false">IFERROR(S1201/J1201-1,0)</f>
        <v>0.260621184622999</v>
      </c>
      <c r="V1201" s="2" t="str">
        <f aca="false">IF(S1201&lt;J1201,"SIM","NÃO")</f>
        <v>NÃO</v>
      </c>
      <c r="W1201" s="2" t="n">
        <v>7</v>
      </c>
      <c r="X1201" s="2" t="s">
        <v>156</v>
      </c>
    </row>
    <row r="1202" customFormat="false" ht="15" hidden="false" customHeight="false" outlineLevel="0" collapsed="false">
      <c r="A1202" s="2" t="n">
        <v>378593684</v>
      </c>
      <c r="B1202" s="29" t="n">
        <v>46252.8788310185</v>
      </c>
      <c r="C1202" s="2" t="s">
        <v>158</v>
      </c>
      <c r="D1202" s="2" t="s">
        <v>1334</v>
      </c>
      <c r="E1202" s="2" t="s">
        <v>78</v>
      </c>
      <c r="F1202" s="2" t="s">
        <v>108</v>
      </c>
      <c r="G1202" s="30" t="n">
        <v>41.4</v>
      </c>
      <c r="H1202" s="11" t="n">
        <v>387</v>
      </c>
      <c r="I1202" s="11" t="s">
        <v>155</v>
      </c>
      <c r="J1202" s="11" t="n">
        <v>102.43</v>
      </c>
      <c r="K1202" s="11" t="n">
        <v>93.97</v>
      </c>
      <c r="L1202" s="11" t="n">
        <v>0.387</v>
      </c>
      <c r="M1202" s="11" t="n">
        <v>0.774</v>
      </c>
      <c r="N1202" s="11" t="n">
        <v>1</v>
      </c>
      <c r="O1202" s="11" t="n">
        <v>4.5</v>
      </c>
      <c r="P1202" s="11" t="n">
        <v>2.52</v>
      </c>
      <c r="Q1202" s="11" t="n">
        <v>18.9</v>
      </c>
      <c r="R1202" s="11" t="n">
        <f aca="false">SUM(K1202:Q1202)</f>
        <v>122.051</v>
      </c>
      <c r="S1202" s="11" t="n">
        <f aca="false">R1202/(1-Resumo!$C$6)</f>
        <v>138.694318181818</v>
      </c>
      <c r="T1202" s="11" t="n">
        <f aca="false">S1202-J1202</f>
        <v>36.2643181818182</v>
      </c>
      <c r="U1202" s="12" t="n">
        <f aca="false">IFERROR(S1202/J1202-1,0)</f>
        <v>0.35404000958526</v>
      </c>
      <c r="V1202" s="2" t="str">
        <f aca="false">IF(S1202&lt;J1202,"SIM","NÃO")</f>
        <v>NÃO</v>
      </c>
      <c r="W1202" s="2" t="n">
        <v>5</v>
      </c>
      <c r="X1202" s="2" t="s">
        <v>156</v>
      </c>
    </row>
    <row r="1203" customFormat="false" ht="15" hidden="false" customHeight="false" outlineLevel="0" collapsed="false">
      <c r="A1203" s="2" t="n">
        <v>378603847</v>
      </c>
      <c r="B1203" s="29" t="n">
        <v>46252.8999768519</v>
      </c>
      <c r="C1203" s="2" t="s">
        <v>153</v>
      </c>
      <c r="D1203" s="2" t="s">
        <v>1335</v>
      </c>
      <c r="E1203" s="2" t="s">
        <v>84</v>
      </c>
      <c r="F1203" s="2" t="s">
        <v>109</v>
      </c>
      <c r="G1203" s="30" t="n">
        <v>52.3</v>
      </c>
      <c r="H1203" s="11" t="n">
        <v>669.99</v>
      </c>
      <c r="I1203" s="11" t="s">
        <v>155</v>
      </c>
      <c r="J1203" s="11" t="n">
        <v>128.49</v>
      </c>
      <c r="K1203" s="11" t="n">
        <v>112.3</v>
      </c>
      <c r="L1203" s="11" t="n">
        <v>0.67</v>
      </c>
      <c r="M1203" s="11" t="n">
        <v>1.34</v>
      </c>
      <c r="N1203" s="11" t="n">
        <v>1</v>
      </c>
      <c r="O1203" s="11" t="n">
        <v>4.5</v>
      </c>
      <c r="P1203" s="11" t="n">
        <v>3.18</v>
      </c>
      <c r="Q1203" s="11" t="n">
        <v>23.85</v>
      </c>
      <c r="R1203" s="11" t="n">
        <f aca="false">SUM(K1203:Q1203)</f>
        <v>146.84</v>
      </c>
      <c r="S1203" s="11" t="n">
        <f aca="false">R1203/(1-Resumo!$C$6)</f>
        <v>166.863636363636</v>
      </c>
      <c r="T1203" s="11" t="n">
        <f aca="false">S1203-J1203</f>
        <v>38.3736363636364</v>
      </c>
      <c r="U1203" s="12" t="n">
        <f aca="false">IFERROR(S1203/J1203-1,0)</f>
        <v>0.298650761643991</v>
      </c>
      <c r="V1203" s="2" t="str">
        <f aca="false">IF(S1203&lt;J1203,"SIM","NÃO")</f>
        <v>NÃO</v>
      </c>
      <c r="W1203" s="2" t="n">
        <v>5</v>
      </c>
      <c r="X1203" s="2" t="s">
        <v>156</v>
      </c>
    </row>
    <row r="1204" customFormat="false" ht="15" hidden="false" customHeight="false" outlineLevel="0" collapsed="false">
      <c r="A1204" s="2" t="n">
        <v>378611177</v>
      </c>
      <c r="B1204" s="29" t="n">
        <v>46252.9142824074</v>
      </c>
      <c r="C1204" s="2" t="s">
        <v>158</v>
      </c>
      <c r="D1204" s="2" t="s">
        <v>1336</v>
      </c>
      <c r="E1204" s="2" t="s">
        <v>79</v>
      </c>
      <c r="F1204" s="2" t="s">
        <v>110</v>
      </c>
      <c r="G1204" s="30" t="n">
        <v>66.8</v>
      </c>
      <c r="H1204" s="11" t="n">
        <v>649.99</v>
      </c>
      <c r="I1204" s="11" t="s">
        <v>155</v>
      </c>
      <c r="J1204" s="11" t="n">
        <v>139.55</v>
      </c>
      <c r="K1204" s="11" t="n">
        <v>149.5</v>
      </c>
      <c r="L1204" s="11" t="n">
        <v>0.65</v>
      </c>
      <c r="M1204" s="11" t="n">
        <v>1.3</v>
      </c>
      <c r="N1204" s="11" t="n">
        <v>1</v>
      </c>
      <c r="O1204" s="11" t="n">
        <v>4.5</v>
      </c>
      <c r="P1204" s="11" t="n">
        <v>4.02</v>
      </c>
      <c r="Q1204" s="11" t="n">
        <v>30.15</v>
      </c>
      <c r="R1204" s="11" t="n">
        <f aca="false">SUM(K1204:Q1204)</f>
        <v>191.12</v>
      </c>
      <c r="S1204" s="11" t="n">
        <f aca="false">R1204/(1-Resumo!$C$6)</f>
        <v>217.181818181818</v>
      </c>
      <c r="T1204" s="11" t="n">
        <f aca="false">S1204-J1204</f>
        <v>77.6318181818182</v>
      </c>
      <c r="U1204" s="12" t="n">
        <f aca="false">IFERROR(S1204/J1204-1,0)</f>
        <v>0.556301097684115</v>
      </c>
      <c r="V1204" s="2" t="str">
        <f aca="false">IF(S1204&lt;J1204,"SIM","NÃO")</f>
        <v>NÃO</v>
      </c>
      <c r="W1204" s="2" t="n">
        <v>7</v>
      </c>
      <c r="X1204" s="2" t="s">
        <v>156</v>
      </c>
    </row>
    <row r="1205" customFormat="false" ht="15" hidden="false" customHeight="false" outlineLevel="0" collapsed="false">
      <c r="A1205" s="2" t="n">
        <v>378630555</v>
      </c>
      <c r="B1205" s="29" t="n">
        <v>46252.9506134259</v>
      </c>
      <c r="C1205" s="2" t="s">
        <v>158</v>
      </c>
      <c r="D1205" s="2" t="s">
        <v>1337</v>
      </c>
      <c r="E1205" s="2" t="s">
        <v>78</v>
      </c>
      <c r="F1205" s="2" t="s">
        <v>106</v>
      </c>
      <c r="G1205" s="30" t="n">
        <v>31.9</v>
      </c>
      <c r="H1205" s="11" t="n">
        <v>510.17</v>
      </c>
      <c r="I1205" s="11" t="s">
        <v>155</v>
      </c>
      <c r="J1205" s="11" t="n">
        <v>82.77</v>
      </c>
      <c r="K1205" s="11" t="n">
        <v>82.21</v>
      </c>
      <c r="L1205" s="11" t="n">
        <v>0.5102</v>
      </c>
      <c r="M1205" s="11" t="n">
        <v>1.0203</v>
      </c>
      <c r="N1205" s="11" t="n">
        <v>1</v>
      </c>
      <c r="O1205" s="11" t="n">
        <v>4.5</v>
      </c>
      <c r="P1205" s="11" t="n">
        <v>1.92</v>
      </c>
      <c r="Q1205" s="11" t="n">
        <v>14.4</v>
      </c>
      <c r="R1205" s="11" t="n">
        <f aca="false">SUM(K1205:Q1205)</f>
        <v>105.5605</v>
      </c>
      <c r="S1205" s="11" t="n">
        <f aca="false">R1205/(1-Resumo!$C$6)</f>
        <v>119.955113636364</v>
      </c>
      <c r="T1205" s="11" t="n">
        <f aca="false">S1205-J1205</f>
        <v>37.1851136363636</v>
      </c>
      <c r="U1205" s="12" t="n">
        <f aca="false">IFERROR(S1205/J1205-1,0)</f>
        <v>0.449258350082924</v>
      </c>
      <c r="V1205" s="2" t="str">
        <f aca="false">IF(S1205&lt;J1205,"SIM","NÃO")</f>
        <v>NÃO</v>
      </c>
      <c r="W1205" s="2" t="n">
        <v>5</v>
      </c>
      <c r="X1205" s="2" t="s">
        <v>156</v>
      </c>
    </row>
    <row r="1206" customFormat="false" ht="15" hidden="false" customHeight="false" outlineLevel="0" collapsed="false">
      <c r="A1206" s="2" t="n">
        <v>378635365</v>
      </c>
      <c r="B1206" s="29" t="n">
        <v>46252.9605555556</v>
      </c>
      <c r="C1206" s="2" t="s">
        <v>153</v>
      </c>
      <c r="D1206" s="2" t="s">
        <v>1338</v>
      </c>
      <c r="E1206" s="2" t="s">
        <v>78</v>
      </c>
      <c r="F1206" s="2" t="s">
        <v>107</v>
      </c>
      <c r="G1206" s="30" t="n">
        <v>37.2</v>
      </c>
      <c r="H1206" s="11" t="n">
        <v>399.99</v>
      </c>
      <c r="I1206" s="11" t="s">
        <v>155</v>
      </c>
      <c r="J1206" s="11" t="n">
        <v>91.77</v>
      </c>
      <c r="K1206" s="11" t="n">
        <v>93.97</v>
      </c>
      <c r="L1206" s="11" t="n">
        <v>0.4</v>
      </c>
      <c r="M1206" s="11" t="n">
        <v>0.8</v>
      </c>
      <c r="N1206" s="11" t="n">
        <v>1</v>
      </c>
      <c r="O1206" s="11" t="n">
        <v>4.5</v>
      </c>
      <c r="P1206" s="11" t="n">
        <v>2.28</v>
      </c>
      <c r="Q1206" s="11" t="n">
        <v>17.1</v>
      </c>
      <c r="R1206" s="11" t="n">
        <f aca="false">SUM(K1206:Q1206)</f>
        <v>120.05</v>
      </c>
      <c r="S1206" s="11" t="n">
        <f aca="false">R1206/(1-Resumo!$C$6)</f>
        <v>136.420454545455</v>
      </c>
      <c r="T1206" s="11" t="n">
        <f aca="false">S1206-J1206</f>
        <v>44.6504545454546</v>
      </c>
      <c r="U1206" s="12" t="n">
        <f aca="false">IFERROR(S1206/J1206-1,0)</f>
        <v>0.48654739615838</v>
      </c>
      <c r="V1206" s="2" t="str">
        <f aca="false">IF(S1206&lt;J1206,"SIM","NÃO")</f>
        <v>NÃO</v>
      </c>
      <c r="W1206" s="2" t="n">
        <v>5</v>
      </c>
      <c r="X1206" s="2" t="s">
        <v>156</v>
      </c>
    </row>
    <row r="1207" customFormat="false" ht="15" hidden="false" customHeight="false" outlineLevel="0" collapsed="false">
      <c r="A1207" s="2" t="n">
        <v>378661232</v>
      </c>
      <c r="B1207" s="29" t="n">
        <v>46253.004837963</v>
      </c>
      <c r="C1207" s="2" t="s">
        <v>153</v>
      </c>
      <c r="D1207" s="2" t="s">
        <v>1339</v>
      </c>
      <c r="E1207" s="2" t="s">
        <v>93</v>
      </c>
      <c r="F1207" s="2" t="s">
        <v>106</v>
      </c>
      <c r="G1207" s="30" t="n">
        <v>31.9</v>
      </c>
      <c r="H1207" s="11" t="n">
        <v>599.99</v>
      </c>
      <c r="I1207" s="11" t="s">
        <v>155</v>
      </c>
      <c r="J1207" s="11" t="n">
        <v>110.06</v>
      </c>
      <c r="K1207" s="11" t="n">
        <v>100.58</v>
      </c>
      <c r="L1207" s="11" t="n">
        <v>0.6</v>
      </c>
      <c r="M1207" s="11" t="n">
        <v>1.2</v>
      </c>
      <c r="N1207" s="11" t="n">
        <v>1</v>
      </c>
      <c r="O1207" s="11" t="n">
        <v>4.5</v>
      </c>
      <c r="P1207" s="11" t="n">
        <v>1.92</v>
      </c>
      <c r="Q1207" s="11" t="n">
        <v>14.4</v>
      </c>
      <c r="R1207" s="11" t="n">
        <f aca="false">SUM(K1207:Q1207)</f>
        <v>124.2</v>
      </c>
      <c r="S1207" s="11" t="n">
        <f aca="false">R1207/(1-Resumo!$C$6)</f>
        <v>141.136363636364</v>
      </c>
      <c r="T1207" s="11" t="n">
        <f aca="false">S1207-J1207</f>
        <v>31.0763636363636</v>
      </c>
      <c r="U1207" s="12" t="n">
        <f aca="false">IFERROR(S1207/J1207-1,0)</f>
        <v>0.282358383030743</v>
      </c>
      <c r="V1207" s="2" t="str">
        <f aca="false">IF(S1207&lt;J1207,"SIM","NÃO")</f>
        <v>NÃO</v>
      </c>
      <c r="W1207" s="2" t="n">
        <v>7</v>
      </c>
      <c r="X1207" s="2" t="s">
        <v>156</v>
      </c>
    </row>
    <row r="1208" customFormat="false" ht="15" hidden="false" customHeight="false" outlineLevel="0" collapsed="false">
      <c r="A1208" s="2" t="n">
        <v>378670035</v>
      </c>
      <c r="B1208" s="29" t="n">
        <v>46253.0251157407</v>
      </c>
      <c r="C1208" s="2" t="s">
        <v>153</v>
      </c>
      <c r="D1208" s="2" t="s">
        <v>576</v>
      </c>
      <c r="E1208" s="2" t="s">
        <v>78</v>
      </c>
      <c r="F1208" s="2" t="s">
        <v>107</v>
      </c>
      <c r="G1208" s="30" t="n">
        <v>37.6</v>
      </c>
      <c r="H1208" s="11" t="n">
        <v>383.12</v>
      </c>
      <c r="I1208" s="11" t="s">
        <v>155</v>
      </c>
      <c r="J1208" s="11" t="n">
        <v>91.7</v>
      </c>
      <c r="K1208" s="11" t="n">
        <v>93.97</v>
      </c>
      <c r="L1208" s="11" t="n">
        <v>0.3831</v>
      </c>
      <c r="M1208" s="11" t="n">
        <v>0.7662</v>
      </c>
      <c r="N1208" s="11" t="n">
        <v>1</v>
      </c>
      <c r="O1208" s="11" t="n">
        <v>4.5</v>
      </c>
      <c r="P1208" s="11" t="n">
        <v>2.28</v>
      </c>
      <c r="Q1208" s="11" t="n">
        <v>17.1</v>
      </c>
      <c r="R1208" s="11" t="n">
        <f aca="false">SUM(K1208:Q1208)</f>
        <v>119.9993</v>
      </c>
      <c r="S1208" s="11" t="n">
        <f aca="false">R1208/(1-Resumo!$C$6)</f>
        <v>136.362840909091</v>
      </c>
      <c r="T1208" s="11" t="n">
        <f aca="false">S1208-J1208</f>
        <v>44.6628409090909</v>
      </c>
      <c r="U1208" s="12" t="n">
        <f aca="false">IFERROR(S1208/J1208-1,0)</f>
        <v>0.487053881233271</v>
      </c>
      <c r="V1208" s="2" t="str">
        <f aca="false">IF(S1208&lt;J1208,"SIM","NÃO")</f>
        <v>NÃO</v>
      </c>
      <c r="W1208" s="2" t="n">
        <v>5</v>
      </c>
      <c r="X1208" s="2" t="s">
        <v>156</v>
      </c>
    </row>
    <row r="1209" customFormat="false" ht="15" hidden="false" customHeight="false" outlineLevel="0" collapsed="false">
      <c r="A1209" s="2" t="n">
        <v>378689059</v>
      </c>
      <c r="B1209" s="29" t="n">
        <v>46253.0837847222</v>
      </c>
      <c r="C1209" s="2" t="s">
        <v>158</v>
      </c>
      <c r="D1209" s="2" t="s">
        <v>1340</v>
      </c>
      <c r="E1209" s="2" t="s">
        <v>78</v>
      </c>
      <c r="F1209" s="2" t="s">
        <v>109</v>
      </c>
      <c r="G1209" s="30" t="n">
        <v>52.3</v>
      </c>
      <c r="H1209" s="11" t="n">
        <v>616.99</v>
      </c>
      <c r="I1209" s="11" t="s">
        <v>155</v>
      </c>
      <c r="J1209" s="11" t="n">
        <v>114.09</v>
      </c>
      <c r="K1209" s="11" t="n">
        <v>112.3</v>
      </c>
      <c r="L1209" s="11" t="n">
        <v>0.617</v>
      </c>
      <c r="M1209" s="11" t="n">
        <v>1.234</v>
      </c>
      <c r="N1209" s="11" t="n">
        <v>1</v>
      </c>
      <c r="O1209" s="11" t="n">
        <v>4.5</v>
      </c>
      <c r="P1209" s="11" t="n">
        <v>3.18</v>
      </c>
      <c r="Q1209" s="11" t="n">
        <v>23.85</v>
      </c>
      <c r="R1209" s="11" t="n">
        <f aca="false">SUM(K1209:Q1209)</f>
        <v>146.681</v>
      </c>
      <c r="S1209" s="11" t="n">
        <f aca="false">R1209/(1-Resumo!$C$6)</f>
        <v>166.682954545455</v>
      </c>
      <c r="T1209" s="11" t="n">
        <f aca="false">S1209-J1209</f>
        <v>52.5929545454545</v>
      </c>
      <c r="U1209" s="12" t="n">
        <f aca="false">IFERROR(S1209/J1209-1,0)</f>
        <v>0.460977776715352</v>
      </c>
      <c r="V1209" s="2" t="str">
        <f aca="false">IF(S1209&lt;J1209,"SIM","NÃO")</f>
        <v>NÃO</v>
      </c>
      <c r="W1209" s="2" t="n">
        <v>5</v>
      </c>
      <c r="X1209" s="2" t="s">
        <v>156</v>
      </c>
    </row>
    <row r="1210" customFormat="false" ht="15" hidden="false" customHeight="false" outlineLevel="0" collapsed="false">
      <c r="A1210" s="2" t="n">
        <v>378698722</v>
      </c>
      <c r="B1210" s="29" t="n">
        <v>46253.2136111111</v>
      </c>
      <c r="C1210" s="2" t="s">
        <v>178</v>
      </c>
      <c r="D1210" s="2" t="s">
        <v>1341</v>
      </c>
      <c r="E1210" s="2" t="s">
        <v>80</v>
      </c>
      <c r="F1210" s="2" t="s">
        <v>106</v>
      </c>
      <c r="G1210" s="30" t="n">
        <v>22.4</v>
      </c>
      <c r="H1210" s="11" t="n">
        <v>475.99</v>
      </c>
      <c r="I1210" s="11" t="s">
        <v>155</v>
      </c>
      <c r="J1210" s="11" t="n">
        <v>101.66</v>
      </c>
      <c r="K1210" s="11" t="n">
        <v>82.21</v>
      </c>
      <c r="L1210" s="11" t="n">
        <v>0.476</v>
      </c>
      <c r="M1210" s="11" t="n">
        <v>0.952</v>
      </c>
      <c r="N1210" s="11" t="n">
        <v>1</v>
      </c>
      <c r="O1210" s="11" t="n">
        <v>4.5</v>
      </c>
      <c r="P1210" s="11" t="n">
        <v>1.38</v>
      </c>
      <c r="Q1210" s="11" t="n">
        <v>10.35</v>
      </c>
      <c r="R1210" s="11" t="n">
        <f aca="false">SUM(K1210:Q1210)</f>
        <v>100.868</v>
      </c>
      <c r="S1210" s="11" t="n">
        <f aca="false">R1210/(1-Resumo!$C$6)</f>
        <v>114.622727272727</v>
      </c>
      <c r="T1210" s="11" t="n">
        <f aca="false">S1210-J1210</f>
        <v>12.9627272727273</v>
      </c>
      <c r="U1210" s="12" t="n">
        <f aca="false">IFERROR(S1210/J1210-1,0)</f>
        <v>0.12751059682006</v>
      </c>
      <c r="V1210" s="2" t="str">
        <f aca="false">IF(S1210&lt;J1210,"SIM","NÃO")</f>
        <v>NÃO</v>
      </c>
      <c r="W1210" s="2" t="n">
        <v>5</v>
      </c>
      <c r="X1210" s="2" t="s">
        <v>156</v>
      </c>
    </row>
    <row r="1211" customFormat="false" ht="15" hidden="false" customHeight="false" outlineLevel="0" collapsed="false">
      <c r="A1211" s="2" t="n">
        <v>378738400</v>
      </c>
      <c r="B1211" s="29" t="n">
        <v>46253.2766435185</v>
      </c>
      <c r="C1211" s="2" t="s">
        <v>153</v>
      </c>
      <c r="D1211" s="2" t="s">
        <v>1342</v>
      </c>
      <c r="E1211" s="2" t="s">
        <v>342</v>
      </c>
      <c r="F1211" s="2" t="s">
        <v>107</v>
      </c>
      <c r="G1211" s="30" t="n">
        <v>37.5</v>
      </c>
      <c r="H1211" s="11" t="n">
        <v>439.99</v>
      </c>
      <c r="I1211" s="11" t="s">
        <v>155</v>
      </c>
      <c r="J1211" s="11" t="n">
        <v>122.35</v>
      </c>
      <c r="K1211" s="11" t="n">
        <v>124.38</v>
      </c>
      <c r="L1211" s="11" t="n">
        <v>0.44</v>
      </c>
      <c r="M1211" s="11" t="n">
        <v>0.88</v>
      </c>
      <c r="N1211" s="11" t="n">
        <v>1</v>
      </c>
      <c r="O1211" s="11" t="n">
        <v>4.5</v>
      </c>
      <c r="P1211" s="11" t="n">
        <v>2.28</v>
      </c>
      <c r="Q1211" s="11" t="n">
        <v>17.1</v>
      </c>
      <c r="R1211" s="11" t="n">
        <f aca="false">SUM(K1211:Q1211)</f>
        <v>150.58</v>
      </c>
      <c r="S1211" s="11" t="n">
        <f aca="false">R1211/(1-Resumo!$C$6)</f>
        <v>171.113636363636</v>
      </c>
      <c r="T1211" s="11" t="n">
        <f aca="false">S1211-J1211</f>
        <v>48.7636363636364</v>
      </c>
      <c r="U1211" s="12" t="n">
        <f aca="false">IFERROR(S1211/J1211-1,0)</f>
        <v>0.398558531782888</v>
      </c>
      <c r="V1211" s="2" t="str">
        <f aca="false">IF(S1211&lt;J1211,"SIM","NÃO")</f>
        <v>NÃO</v>
      </c>
      <c r="W1211" s="2" t="n">
        <v>10</v>
      </c>
      <c r="X1211" s="2" t="s">
        <v>161</v>
      </c>
    </row>
    <row r="1212" customFormat="false" ht="15" hidden="false" customHeight="false" outlineLevel="0" collapsed="false">
      <c r="A1212" s="2" t="n">
        <v>378773626</v>
      </c>
      <c r="B1212" s="29" t="n">
        <v>46253.375150463</v>
      </c>
      <c r="C1212" s="2" t="s">
        <v>153</v>
      </c>
      <c r="D1212" s="2" t="s">
        <v>1343</v>
      </c>
      <c r="E1212" s="2" t="s">
        <v>80</v>
      </c>
      <c r="F1212" s="2" t="s">
        <v>106</v>
      </c>
      <c r="G1212" s="30" t="n">
        <v>27.6</v>
      </c>
      <c r="H1212" s="11" t="n">
        <v>551.99</v>
      </c>
      <c r="I1212" s="11" t="s">
        <v>155</v>
      </c>
      <c r="J1212" s="11" t="n">
        <v>102.02</v>
      </c>
      <c r="K1212" s="11" t="n">
        <v>82.21</v>
      </c>
      <c r="L1212" s="11" t="n">
        <v>0.552</v>
      </c>
      <c r="M1212" s="11" t="n">
        <v>1.104</v>
      </c>
      <c r="N1212" s="11" t="n">
        <v>1</v>
      </c>
      <c r="O1212" s="11" t="n">
        <v>4.5</v>
      </c>
      <c r="P1212" s="11" t="n">
        <v>1.68</v>
      </c>
      <c r="Q1212" s="11" t="n">
        <v>12.6</v>
      </c>
      <c r="R1212" s="11" t="n">
        <f aca="false">SUM(K1212:Q1212)</f>
        <v>103.646</v>
      </c>
      <c r="S1212" s="11" t="n">
        <f aca="false">R1212/(1-Resumo!$C$6)</f>
        <v>117.779545454545</v>
      </c>
      <c r="T1212" s="11" t="n">
        <f aca="false">S1212-J1212</f>
        <v>15.7595454545454</v>
      </c>
      <c r="U1212" s="12" t="n">
        <f aca="false">IFERROR(S1212/J1212-1,0)</f>
        <v>0.154475058366452</v>
      </c>
      <c r="V1212" s="2" t="str">
        <f aca="false">IF(S1212&lt;J1212,"SIM","NÃO")</f>
        <v>NÃO</v>
      </c>
      <c r="W1212" s="2" t="n">
        <v>5</v>
      </c>
      <c r="X1212" s="2" t="s">
        <v>156</v>
      </c>
    </row>
    <row r="1213" customFormat="false" ht="15" hidden="false" customHeight="false" outlineLevel="0" collapsed="false">
      <c r="A1213" s="2" t="n">
        <v>378795883</v>
      </c>
      <c r="B1213" s="29" t="n">
        <v>46253.4211111111</v>
      </c>
      <c r="C1213" s="2" t="s">
        <v>153</v>
      </c>
      <c r="D1213" s="2" t="s">
        <v>1344</v>
      </c>
      <c r="E1213" s="2" t="s">
        <v>239</v>
      </c>
      <c r="F1213" s="2" t="s">
        <v>110</v>
      </c>
      <c r="G1213" s="30" t="n">
        <v>63.9</v>
      </c>
      <c r="H1213" s="11" t="n">
        <v>717.59</v>
      </c>
      <c r="I1213" s="11" t="s">
        <v>155</v>
      </c>
      <c r="J1213" s="11" t="n">
        <v>155.47</v>
      </c>
      <c r="K1213" s="11" t="n">
        <v>166.05</v>
      </c>
      <c r="L1213" s="11" t="n">
        <v>0.7176</v>
      </c>
      <c r="M1213" s="11" t="n">
        <v>1.4352</v>
      </c>
      <c r="N1213" s="11" t="n">
        <v>1</v>
      </c>
      <c r="O1213" s="11" t="n">
        <v>4.5</v>
      </c>
      <c r="P1213" s="11" t="n">
        <v>3.84</v>
      </c>
      <c r="Q1213" s="11" t="n">
        <v>28.8</v>
      </c>
      <c r="R1213" s="11" t="n">
        <f aca="false">SUM(K1213:Q1213)</f>
        <v>206.3428</v>
      </c>
      <c r="S1213" s="11" t="n">
        <f aca="false">R1213/(1-Resumo!$C$6)</f>
        <v>234.480454545455</v>
      </c>
      <c r="T1213" s="11" t="n">
        <f aca="false">S1213-J1213</f>
        <v>79.0104545454546</v>
      </c>
      <c r="U1213" s="12" t="n">
        <f aca="false">IFERROR(S1213/J1213-1,0)</f>
        <v>0.508203862773876</v>
      </c>
      <c r="V1213" s="2" t="str">
        <f aca="false">IF(S1213&lt;J1213,"SIM","NÃO")</f>
        <v>NÃO</v>
      </c>
      <c r="W1213" s="2" t="n">
        <v>10</v>
      </c>
      <c r="X1213" s="2" t="s">
        <v>161</v>
      </c>
    </row>
    <row r="1214" customFormat="false" ht="15" hidden="false" customHeight="false" outlineLevel="0" collapsed="false">
      <c r="A1214" s="2" t="n">
        <v>378804508</v>
      </c>
      <c r="B1214" s="29" t="n">
        <v>46253.4362384259</v>
      </c>
      <c r="C1214" s="2" t="s">
        <v>158</v>
      </c>
      <c r="D1214" s="2" t="s">
        <v>1166</v>
      </c>
      <c r="E1214" s="2" t="s">
        <v>78</v>
      </c>
      <c r="F1214" s="2" t="s">
        <v>106</v>
      </c>
      <c r="G1214" s="30" t="n">
        <v>20.8</v>
      </c>
      <c r="H1214" s="11" t="n">
        <v>289.24</v>
      </c>
      <c r="I1214" s="11" t="s">
        <v>155</v>
      </c>
      <c r="J1214" s="11" t="n">
        <v>81.72</v>
      </c>
      <c r="K1214" s="11" t="n">
        <v>82.21</v>
      </c>
      <c r="L1214" s="11" t="n">
        <v>0.2892</v>
      </c>
      <c r="M1214" s="11" t="n">
        <v>0.5785</v>
      </c>
      <c r="N1214" s="11" t="n">
        <v>1</v>
      </c>
      <c r="O1214" s="11" t="n">
        <v>4.5</v>
      </c>
      <c r="P1214" s="11" t="n">
        <v>1.26</v>
      </c>
      <c r="Q1214" s="11" t="n">
        <v>9.45</v>
      </c>
      <c r="R1214" s="11" t="n">
        <f aca="false">SUM(K1214:Q1214)</f>
        <v>99.2877</v>
      </c>
      <c r="S1214" s="11" t="n">
        <f aca="false">R1214/(1-Resumo!$C$6)</f>
        <v>112.826931818182</v>
      </c>
      <c r="T1214" s="11" t="n">
        <f aca="false">S1214-J1214</f>
        <v>31.1069318181818</v>
      </c>
      <c r="U1214" s="12" t="n">
        <f aca="false">IFERROR(S1214/J1214-1,0)</f>
        <v>0.380652616473101</v>
      </c>
      <c r="V1214" s="2" t="str">
        <f aca="false">IF(S1214&lt;J1214,"SIM","NÃO")</f>
        <v>NÃO</v>
      </c>
      <c r="W1214" s="2" t="n">
        <v>5</v>
      </c>
      <c r="X1214" s="2" t="s">
        <v>156</v>
      </c>
    </row>
    <row r="1215" customFormat="false" ht="15" hidden="false" customHeight="false" outlineLevel="0" collapsed="false">
      <c r="A1215" s="2" t="n">
        <v>378844308</v>
      </c>
      <c r="B1215" s="29" t="n">
        <v>46253.510787037</v>
      </c>
      <c r="C1215" s="2" t="s">
        <v>153</v>
      </c>
      <c r="D1215" s="2" t="s">
        <v>1345</v>
      </c>
      <c r="E1215" s="2" t="s">
        <v>78</v>
      </c>
      <c r="F1215" s="2" t="s">
        <v>109</v>
      </c>
      <c r="G1215" s="30" t="n">
        <v>52.3</v>
      </c>
      <c r="H1215" s="11" t="n">
        <v>616.39</v>
      </c>
      <c r="I1215" s="11" t="s">
        <v>155</v>
      </c>
      <c r="J1215" s="11" t="n">
        <v>114.09</v>
      </c>
      <c r="K1215" s="11" t="n">
        <v>112.3</v>
      </c>
      <c r="L1215" s="11" t="n">
        <v>0.6164</v>
      </c>
      <c r="M1215" s="11" t="n">
        <v>1.2328</v>
      </c>
      <c r="N1215" s="11" t="n">
        <v>1</v>
      </c>
      <c r="O1215" s="11" t="n">
        <v>4.5</v>
      </c>
      <c r="P1215" s="11" t="n">
        <v>3.18</v>
      </c>
      <c r="Q1215" s="11" t="n">
        <v>23.85</v>
      </c>
      <c r="R1215" s="11" t="n">
        <f aca="false">SUM(K1215:Q1215)</f>
        <v>146.6792</v>
      </c>
      <c r="S1215" s="11" t="n">
        <f aca="false">R1215/(1-Resumo!$C$6)</f>
        <v>166.680909090909</v>
      </c>
      <c r="T1215" s="11" t="n">
        <f aca="false">S1215-J1215</f>
        <v>52.5909090909091</v>
      </c>
      <c r="U1215" s="12" t="n">
        <f aca="false">IFERROR(S1215/J1215-1,0)</f>
        <v>0.460959848285644</v>
      </c>
      <c r="V1215" s="2" t="str">
        <f aca="false">IF(S1215&lt;J1215,"SIM","NÃO")</f>
        <v>NÃO</v>
      </c>
      <c r="W1215" s="2" t="n">
        <v>5</v>
      </c>
      <c r="X1215" s="2" t="s">
        <v>156</v>
      </c>
    </row>
    <row r="1216" customFormat="false" ht="15" hidden="false" customHeight="false" outlineLevel="0" collapsed="false">
      <c r="A1216" s="2" t="n">
        <v>378845254</v>
      </c>
      <c r="B1216" s="29" t="n">
        <v>46253.5123148148</v>
      </c>
      <c r="C1216" s="2" t="s">
        <v>158</v>
      </c>
      <c r="D1216" s="2" t="s">
        <v>1346</v>
      </c>
      <c r="E1216" s="2" t="s">
        <v>85</v>
      </c>
      <c r="F1216" s="2" t="s">
        <v>108</v>
      </c>
      <c r="G1216" s="30" t="n">
        <v>44.7</v>
      </c>
      <c r="H1216" s="11" t="n">
        <v>511.57</v>
      </c>
      <c r="I1216" s="11" t="s">
        <v>155</v>
      </c>
      <c r="J1216" s="11" t="n">
        <v>130.6</v>
      </c>
      <c r="K1216" s="11" t="n">
        <v>152.54</v>
      </c>
      <c r="L1216" s="11" t="n">
        <v>0.5116</v>
      </c>
      <c r="M1216" s="11" t="n">
        <v>1.0231</v>
      </c>
      <c r="N1216" s="11" t="n">
        <v>1</v>
      </c>
      <c r="O1216" s="11" t="n">
        <v>4.5</v>
      </c>
      <c r="P1216" s="11" t="n">
        <v>2.7</v>
      </c>
      <c r="Q1216" s="11" t="n">
        <v>20.25</v>
      </c>
      <c r="R1216" s="11" t="n">
        <f aca="false">SUM(K1216:Q1216)</f>
        <v>182.5247</v>
      </c>
      <c r="S1216" s="11" t="n">
        <f aca="false">R1216/(1-Resumo!$C$6)</f>
        <v>207.414431818182</v>
      </c>
      <c r="T1216" s="11" t="n">
        <f aca="false">S1216-J1216</f>
        <v>76.8144318181818</v>
      </c>
      <c r="U1216" s="12" t="n">
        <f aca="false">IFERROR(S1216/J1216-1,0)</f>
        <v>0.588165634136155</v>
      </c>
      <c r="V1216" s="2" t="str">
        <f aca="false">IF(S1216&lt;J1216,"SIM","NÃO")</f>
        <v>NÃO</v>
      </c>
      <c r="W1216" s="2" t="n">
        <v>11</v>
      </c>
      <c r="X1216" s="2" t="s">
        <v>156</v>
      </c>
    </row>
    <row r="1217" customFormat="false" ht="15" hidden="false" customHeight="false" outlineLevel="0" collapsed="false">
      <c r="A1217" s="2" t="n">
        <v>378867247</v>
      </c>
      <c r="B1217" s="29" t="n">
        <v>46253.5539814815</v>
      </c>
      <c r="C1217" s="2" t="s">
        <v>158</v>
      </c>
      <c r="D1217" s="2" t="s">
        <v>1347</v>
      </c>
      <c r="E1217" s="2" t="s">
        <v>78</v>
      </c>
      <c r="F1217" s="2" t="s">
        <v>106</v>
      </c>
      <c r="G1217" s="30" t="n">
        <v>25.8</v>
      </c>
      <c r="H1217" s="11" t="n">
        <v>316</v>
      </c>
      <c r="I1217" s="11" t="s">
        <v>155</v>
      </c>
      <c r="J1217" s="11" t="n">
        <v>81.83</v>
      </c>
      <c r="K1217" s="11" t="n">
        <v>82.21</v>
      </c>
      <c r="L1217" s="11" t="n">
        <v>0.316</v>
      </c>
      <c r="M1217" s="11" t="n">
        <v>0.632</v>
      </c>
      <c r="N1217" s="11" t="n">
        <v>1</v>
      </c>
      <c r="O1217" s="11" t="n">
        <v>4.5</v>
      </c>
      <c r="P1217" s="11" t="n">
        <v>1.56</v>
      </c>
      <c r="Q1217" s="11" t="n">
        <v>11.7</v>
      </c>
      <c r="R1217" s="11" t="n">
        <f aca="false">SUM(K1217:Q1217)</f>
        <v>101.918</v>
      </c>
      <c r="S1217" s="11" t="n">
        <f aca="false">R1217/(1-Resumo!$C$6)</f>
        <v>115.815909090909</v>
      </c>
      <c r="T1217" s="11" t="n">
        <f aca="false">S1217-J1217</f>
        <v>33.9859090909091</v>
      </c>
      <c r="U1217" s="12" t="n">
        <f aca="false">IFERROR(S1217/J1217-1,0)</f>
        <v>0.415323342183907</v>
      </c>
      <c r="V1217" s="2" t="str">
        <f aca="false">IF(S1217&lt;J1217,"SIM","NÃO")</f>
        <v>NÃO</v>
      </c>
      <c r="W1217" s="2" t="n">
        <v>5</v>
      </c>
      <c r="X1217" s="2" t="s">
        <v>156</v>
      </c>
    </row>
    <row r="1218" customFormat="false" ht="15" hidden="false" customHeight="false" outlineLevel="0" collapsed="false">
      <c r="A1218" s="2" t="n">
        <v>378897227</v>
      </c>
      <c r="B1218" s="29" t="n">
        <v>46253.6125810185</v>
      </c>
      <c r="C1218" s="2" t="s">
        <v>153</v>
      </c>
      <c r="D1218" s="2" t="s">
        <v>502</v>
      </c>
      <c r="E1218" s="2" t="s">
        <v>78</v>
      </c>
      <c r="F1218" s="2" t="s">
        <v>109</v>
      </c>
      <c r="G1218" s="30" t="n">
        <v>52.3</v>
      </c>
      <c r="H1218" s="11" t="n">
        <v>669.99</v>
      </c>
      <c r="I1218" s="11" t="s">
        <v>155</v>
      </c>
      <c r="J1218" s="11" t="n">
        <v>114.36</v>
      </c>
      <c r="K1218" s="11" t="n">
        <v>112.3</v>
      </c>
      <c r="L1218" s="11" t="n">
        <v>0.67</v>
      </c>
      <c r="M1218" s="11" t="n">
        <v>1.34</v>
      </c>
      <c r="N1218" s="11" t="n">
        <v>1</v>
      </c>
      <c r="O1218" s="11" t="n">
        <v>4.5</v>
      </c>
      <c r="P1218" s="11" t="n">
        <v>3.18</v>
      </c>
      <c r="Q1218" s="11" t="n">
        <v>23.85</v>
      </c>
      <c r="R1218" s="11" t="n">
        <f aca="false">SUM(K1218:Q1218)</f>
        <v>146.84</v>
      </c>
      <c r="S1218" s="11" t="n">
        <f aca="false">R1218/(1-Resumo!$C$6)</f>
        <v>166.863636363636</v>
      </c>
      <c r="T1218" s="11" t="n">
        <f aca="false">S1218-J1218</f>
        <v>52.5036363636364</v>
      </c>
      <c r="U1218" s="12" t="n">
        <f aca="false">IFERROR(S1218/J1218-1,0)</f>
        <v>0.459108397723298</v>
      </c>
      <c r="V1218" s="2" t="str">
        <f aca="false">IF(S1218&lt;J1218,"SIM","NÃO")</f>
        <v>NÃO</v>
      </c>
      <c r="W1218" s="2" t="n">
        <v>5</v>
      </c>
      <c r="X1218" s="2" t="s">
        <v>156</v>
      </c>
    </row>
    <row r="1219" customFormat="false" ht="15" hidden="false" customHeight="false" outlineLevel="0" collapsed="false">
      <c r="A1219" s="2" t="n">
        <v>378907770</v>
      </c>
      <c r="B1219" s="29" t="n">
        <v>46253.6332523148</v>
      </c>
      <c r="C1219" s="2" t="s">
        <v>158</v>
      </c>
      <c r="D1219" s="2" t="s">
        <v>1348</v>
      </c>
      <c r="E1219" s="2" t="s">
        <v>80</v>
      </c>
      <c r="F1219" s="2" t="s">
        <v>106</v>
      </c>
      <c r="G1219" s="30" t="n">
        <v>31.9</v>
      </c>
      <c r="H1219" s="11" t="n">
        <v>518.79</v>
      </c>
      <c r="I1219" s="11" t="s">
        <v>155</v>
      </c>
      <c r="J1219" s="11" t="n">
        <v>101.87</v>
      </c>
      <c r="K1219" s="11" t="n">
        <v>82.21</v>
      </c>
      <c r="L1219" s="11" t="n">
        <v>0.5188</v>
      </c>
      <c r="M1219" s="11" t="n">
        <v>1.0376</v>
      </c>
      <c r="N1219" s="11" t="n">
        <v>1</v>
      </c>
      <c r="O1219" s="11" t="n">
        <v>4.5</v>
      </c>
      <c r="P1219" s="11" t="n">
        <v>1.92</v>
      </c>
      <c r="Q1219" s="11" t="n">
        <v>14.4</v>
      </c>
      <c r="R1219" s="11" t="n">
        <f aca="false">SUM(K1219:Q1219)</f>
        <v>105.5864</v>
      </c>
      <c r="S1219" s="11" t="n">
        <f aca="false">R1219/(1-Resumo!$C$6)</f>
        <v>119.984545454545</v>
      </c>
      <c r="T1219" s="11" t="n">
        <f aca="false">S1219-J1219</f>
        <v>18.1145454545455</v>
      </c>
      <c r="U1219" s="12" t="n">
        <f aca="false">IFERROR(S1219/J1219-1,0)</f>
        <v>0.177820216496961</v>
      </c>
      <c r="V1219" s="2" t="str">
        <f aca="false">IF(S1219&lt;J1219,"SIM","NÃO")</f>
        <v>NÃO</v>
      </c>
      <c r="W1219" s="2" t="n">
        <v>5</v>
      </c>
      <c r="X1219" s="2" t="s">
        <v>156</v>
      </c>
    </row>
    <row r="1220" customFormat="false" ht="15" hidden="false" customHeight="false" outlineLevel="0" collapsed="false">
      <c r="A1220" s="2" t="n">
        <v>378917403</v>
      </c>
      <c r="B1220" s="29" t="n">
        <v>46253.650462963</v>
      </c>
      <c r="C1220" s="2" t="s">
        <v>158</v>
      </c>
      <c r="D1220" s="2" t="s">
        <v>1349</v>
      </c>
      <c r="E1220" s="2" t="s">
        <v>78</v>
      </c>
      <c r="F1220" s="2" t="s">
        <v>110</v>
      </c>
      <c r="G1220" s="30" t="n">
        <v>66.8</v>
      </c>
      <c r="H1220" s="11" t="n">
        <v>609.99</v>
      </c>
      <c r="I1220" s="11" t="s">
        <v>155</v>
      </c>
      <c r="J1220" s="11" t="n">
        <v>124.12</v>
      </c>
      <c r="K1220" s="11" t="n">
        <v>131.02</v>
      </c>
      <c r="L1220" s="11" t="n">
        <v>0.61</v>
      </c>
      <c r="M1220" s="11" t="n">
        <v>1.22</v>
      </c>
      <c r="N1220" s="11" t="n">
        <v>1</v>
      </c>
      <c r="O1220" s="11" t="n">
        <v>4.5</v>
      </c>
      <c r="P1220" s="11" t="n">
        <v>4.02</v>
      </c>
      <c r="Q1220" s="11" t="n">
        <v>30.15</v>
      </c>
      <c r="R1220" s="11" t="n">
        <f aca="false">SUM(K1220:Q1220)</f>
        <v>172.52</v>
      </c>
      <c r="S1220" s="11" t="n">
        <f aca="false">R1220/(1-Resumo!$C$6)</f>
        <v>196.045454545455</v>
      </c>
      <c r="T1220" s="11" t="n">
        <f aca="false">S1220-J1220</f>
        <v>71.9254545454546</v>
      </c>
      <c r="U1220" s="12" t="n">
        <f aca="false">IFERROR(S1220/J1220-1,0)</f>
        <v>0.579483198078106</v>
      </c>
      <c r="V1220" s="2" t="str">
        <f aca="false">IF(S1220&lt;J1220,"SIM","NÃO")</f>
        <v>NÃO</v>
      </c>
      <c r="W1220" s="2" t="n">
        <v>5</v>
      </c>
      <c r="X1220" s="2" t="s">
        <v>156</v>
      </c>
    </row>
    <row r="1221" customFormat="false" ht="15" hidden="false" customHeight="false" outlineLevel="0" collapsed="false">
      <c r="A1221" s="2" t="n">
        <v>378918381</v>
      </c>
      <c r="B1221" s="29" t="n">
        <v>46253.652349537</v>
      </c>
      <c r="C1221" s="2" t="s">
        <v>153</v>
      </c>
      <c r="D1221" s="2" t="s">
        <v>1350</v>
      </c>
      <c r="E1221" s="2" t="s">
        <v>94</v>
      </c>
      <c r="F1221" s="2" t="s">
        <v>108</v>
      </c>
      <c r="G1221" s="30" t="n">
        <v>48</v>
      </c>
      <c r="H1221" s="11" t="n">
        <v>899.99</v>
      </c>
      <c r="I1221" s="11" t="s">
        <v>155</v>
      </c>
      <c r="J1221" s="11" t="n">
        <v>118.39</v>
      </c>
      <c r="K1221" s="11" t="n">
        <v>93.97</v>
      </c>
      <c r="L1221" s="11" t="n">
        <v>0.9</v>
      </c>
      <c r="M1221" s="11" t="n">
        <v>1.8</v>
      </c>
      <c r="N1221" s="11" t="n">
        <v>1</v>
      </c>
      <c r="O1221" s="11" t="n">
        <v>4.5</v>
      </c>
      <c r="P1221" s="11" t="n">
        <v>2.88</v>
      </c>
      <c r="Q1221" s="11" t="n">
        <v>21.6</v>
      </c>
      <c r="R1221" s="11" t="n">
        <f aca="false">SUM(K1221:Q1221)</f>
        <v>126.65</v>
      </c>
      <c r="S1221" s="11" t="n">
        <f aca="false">R1221/(1-Resumo!$C$6)</f>
        <v>143.920454545455</v>
      </c>
      <c r="T1221" s="11" t="n">
        <f aca="false">S1221-J1221</f>
        <v>25.5304545454546</v>
      </c>
      <c r="U1221" s="12" t="n">
        <f aca="false">IFERROR(S1221/J1221-1,0)</f>
        <v>0.215647052499827</v>
      </c>
      <c r="V1221" s="2" t="str">
        <f aca="false">IF(S1221&lt;J1221,"SIM","NÃO")</f>
        <v>NÃO</v>
      </c>
      <c r="W1221" s="2" t="n">
        <v>5</v>
      </c>
      <c r="X1221" s="2" t="s">
        <v>156</v>
      </c>
    </row>
    <row r="1222" customFormat="false" ht="15" hidden="false" customHeight="false" outlineLevel="0" collapsed="false">
      <c r="A1222" s="2" t="n">
        <v>378931671</v>
      </c>
      <c r="B1222" s="29" t="n">
        <v>46253.6731597222</v>
      </c>
      <c r="C1222" s="2" t="s">
        <v>153</v>
      </c>
      <c r="D1222" s="2" t="s">
        <v>1351</v>
      </c>
      <c r="E1222" s="2" t="s">
        <v>86</v>
      </c>
      <c r="F1222" s="2" t="s">
        <v>108</v>
      </c>
      <c r="G1222" s="30" t="n">
        <v>46.8</v>
      </c>
      <c r="H1222" s="11" t="n">
        <v>506.56</v>
      </c>
      <c r="I1222" s="11" t="s">
        <v>155</v>
      </c>
      <c r="J1222" s="11" t="n">
        <v>116.49</v>
      </c>
      <c r="K1222" s="11" t="n">
        <v>93.97</v>
      </c>
      <c r="L1222" s="11" t="n">
        <v>0.5066</v>
      </c>
      <c r="M1222" s="11" t="n">
        <v>1.0131</v>
      </c>
      <c r="N1222" s="11" t="n">
        <v>1</v>
      </c>
      <c r="O1222" s="11" t="n">
        <v>4.5</v>
      </c>
      <c r="P1222" s="11" t="n">
        <v>2.82</v>
      </c>
      <c r="Q1222" s="11" t="n">
        <v>21.15</v>
      </c>
      <c r="R1222" s="11" t="n">
        <f aca="false">SUM(K1222:Q1222)</f>
        <v>124.9597</v>
      </c>
      <c r="S1222" s="11" t="n">
        <f aca="false">R1222/(1-Resumo!$C$6)</f>
        <v>141.999659090909</v>
      </c>
      <c r="T1222" s="11" t="n">
        <f aca="false">S1222-J1222</f>
        <v>25.5096590909091</v>
      </c>
      <c r="U1222" s="12" t="n">
        <f aca="false">IFERROR(S1222/J1222-1,0)</f>
        <v>0.218985827890026</v>
      </c>
      <c r="V1222" s="2" t="str">
        <f aca="false">IF(S1222&lt;J1222,"SIM","NÃO")</f>
        <v>NÃO</v>
      </c>
      <c r="W1222" s="2" t="n">
        <v>5</v>
      </c>
      <c r="X1222" s="2" t="s">
        <v>156</v>
      </c>
    </row>
    <row r="1223" customFormat="false" ht="15" hidden="false" customHeight="false" outlineLevel="0" collapsed="false">
      <c r="A1223" s="2" t="n">
        <v>378490666</v>
      </c>
      <c r="B1223" s="29" t="n">
        <v>46253.6790856482</v>
      </c>
      <c r="C1223" s="2" t="s">
        <v>191</v>
      </c>
      <c r="D1223" s="2" t="s">
        <v>1352</v>
      </c>
      <c r="E1223" s="2" t="s">
        <v>79</v>
      </c>
      <c r="F1223" s="2" t="s">
        <v>108</v>
      </c>
      <c r="G1223" s="30" t="n">
        <v>45.3</v>
      </c>
      <c r="H1223" s="11" t="n">
        <v>679.99</v>
      </c>
      <c r="I1223" s="11" t="s">
        <v>155</v>
      </c>
      <c r="J1223" s="11" t="n">
        <v>117.33</v>
      </c>
      <c r="K1223" s="11" t="n">
        <v>114.95</v>
      </c>
      <c r="L1223" s="11" t="n">
        <v>0.68</v>
      </c>
      <c r="M1223" s="11" t="n">
        <v>1.36</v>
      </c>
      <c r="N1223" s="11" t="n">
        <v>1</v>
      </c>
      <c r="O1223" s="11" t="n">
        <v>4.5</v>
      </c>
      <c r="P1223" s="11" t="n">
        <v>2.76</v>
      </c>
      <c r="Q1223" s="11" t="n">
        <v>20.7</v>
      </c>
      <c r="R1223" s="11" t="n">
        <f aca="false">SUM(K1223:Q1223)</f>
        <v>145.95</v>
      </c>
      <c r="S1223" s="11" t="n">
        <f aca="false">R1223/(1-Resumo!$C$6)</f>
        <v>165.852272727273</v>
      </c>
      <c r="T1223" s="11" t="n">
        <f aca="false">S1223-J1223</f>
        <v>48.5222727272727</v>
      </c>
      <c r="U1223" s="12" t="n">
        <f aca="false">IFERROR(S1223/J1223-1,0)</f>
        <v>0.413553845796239</v>
      </c>
      <c r="V1223" s="2" t="str">
        <f aca="false">IF(S1223&lt;J1223,"SIM","NÃO")</f>
        <v>NÃO</v>
      </c>
      <c r="W1223" s="2" t="n">
        <v>7</v>
      </c>
      <c r="X1223" s="2" t="s">
        <v>156</v>
      </c>
    </row>
    <row r="1224" customFormat="false" ht="15" hidden="false" customHeight="false" outlineLevel="0" collapsed="false">
      <c r="A1224" s="2" t="n">
        <v>378938820</v>
      </c>
      <c r="B1224" s="29" t="n">
        <v>46253.6843055556</v>
      </c>
      <c r="C1224" s="2" t="s">
        <v>153</v>
      </c>
      <c r="D1224" s="2" t="s">
        <v>1353</v>
      </c>
      <c r="E1224" s="2" t="s">
        <v>97</v>
      </c>
      <c r="F1224" s="2" t="s">
        <v>106</v>
      </c>
      <c r="G1224" s="30" t="n">
        <v>33</v>
      </c>
      <c r="H1224" s="11" t="n">
        <v>389.99</v>
      </c>
      <c r="I1224" s="11" t="s">
        <v>155</v>
      </c>
      <c r="J1224" s="11" t="n">
        <v>109.05</v>
      </c>
      <c r="K1224" s="11" t="n">
        <v>114.95</v>
      </c>
      <c r="L1224" s="11" t="n">
        <v>0.39</v>
      </c>
      <c r="M1224" s="11" t="n">
        <v>0.78</v>
      </c>
      <c r="N1224" s="11" t="n">
        <v>1</v>
      </c>
      <c r="O1224" s="11" t="n">
        <v>4.5</v>
      </c>
      <c r="P1224" s="11" t="n">
        <v>1.98</v>
      </c>
      <c r="Q1224" s="11" t="n">
        <v>14.85</v>
      </c>
      <c r="R1224" s="11" t="n">
        <f aca="false">SUM(K1224:Q1224)</f>
        <v>138.45</v>
      </c>
      <c r="S1224" s="11" t="n">
        <f aca="false">R1224/(1-Resumo!$C$6)</f>
        <v>157.329545454545</v>
      </c>
      <c r="T1224" s="11" t="n">
        <f aca="false">S1224-J1224</f>
        <v>48.2795454545455</v>
      </c>
      <c r="U1224" s="12" t="n">
        <f aca="false">IFERROR(S1224/J1224-1,0)</f>
        <v>0.442728523196199</v>
      </c>
      <c r="V1224" s="2" t="str">
        <f aca="false">IF(S1224&lt;J1224,"SIM","NÃO")</f>
        <v>NÃO</v>
      </c>
      <c r="W1224" s="2" t="n">
        <v>10</v>
      </c>
      <c r="X1224" s="2" t="s">
        <v>156</v>
      </c>
    </row>
    <row r="1225" customFormat="false" ht="15" hidden="false" customHeight="false" outlineLevel="0" collapsed="false">
      <c r="A1225" s="2" t="n">
        <v>378957391</v>
      </c>
      <c r="B1225" s="29" t="n">
        <v>46253.7299652778</v>
      </c>
      <c r="C1225" s="2" t="s">
        <v>194</v>
      </c>
      <c r="D1225" s="2" t="s">
        <v>1354</v>
      </c>
      <c r="E1225" s="2" t="s">
        <v>78</v>
      </c>
      <c r="F1225" s="2" t="s">
        <v>108</v>
      </c>
      <c r="G1225" s="30" t="n">
        <v>48</v>
      </c>
      <c r="H1225" s="11" t="n">
        <v>879.99</v>
      </c>
      <c r="I1225" s="11" t="s">
        <v>155</v>
      </c>
      <c r="J1225" s="11" t="n">
        <v>104.81</v>
      </c>
      <c r="K1225" s="11" t="n">
        <v>93.97</v>
      </c>
      <c r="L1225" s="11" t="n">
        <v>0.88</v>
      </c>
      <c r="M1225" s="11" t="n">
        <v>1.76</v>
      </c>
      <c r="N1225" s="11" t="n">
        <v>1</v>
      </c>
      <c r="O1225" s="11" t="n">
        <v>4.5</v>
      </c>
      <c r="P1225" s="11" t="n">
        <v>2.88</v>
      </c>
      <c r="Q1225" s="11" t="n">
        <v>21.6</v>
      </c>
      <c r="R1225" s="11" t="n">
        <f aca="false">SUM(K1225:Q1225)</f>
        <v>126.59</v>
      </c>
      <c r="S1225" s="11" t="n">
        <f aca="false">R1225/(1-Resumo!$C$6)</f>
        <v>143.852272727273</v>
      </c>
      <c r="T1225" s="11" t="n">
        <f aca="false">S1225-J1225</f>
        <v>39.0422727272727</v>
      </c>
      <c r="U1225" s="12" t="n">
        <f aca="false">IFERROR(S1225/J1225-1,0)</f>
        <v>0.372505225906619</v>
      </c>
      <c r="V1225" s="2" t="str">
        <f aca="false">IF(S1225&lt;J1225,"SIM","NÃO")</f>
        <v>NÃO</v>
      </c>
      <c r="W1225" s="2" t="n">
        <v>5</v>
      </c>
      <c r="X1225" s="2" t="s">
        <v>156</v>
      </c>
    </row>
    <row r="1226" customFormat="false" ht="15" hidden="false" customHeight="false" outlineLevel="0" collapsed="false">
      <c r="A1226" s="2" t="n">
        <v>378965942</v>
      </c>
      <c r="B1226" s="29" t="n">
        <v>46253.7386921296</v>
      </c>
      <c r="C1226" s="2" t="s">
        <v>153</v>
      </c>
      <c r="D1226" s="2" t="s">
        <v>1355</v>
      </c>
      <c r="E1226" s="2" t="s">
        <v>78</v>
      </c>
      <c r="F1226" s="2" t="s">
        <v>108</v>
      </c>
      <c r="G1226" s="30" t="n">
        <v>46.8</v>
      </c>
      <c r="H1226" s="11" t="n">
        <v>559.99</v>
      </c>
      <c r="I1226" s="11" t="s">
        <v>155</v>
      </c>
      <c r="J1226" s="11" t="n">
        <v>103.27</v>
      </c>
      <c r="K1226" s="11" t="n">
        <v>93.97</v>
      </c>
      <c r="L1226" s="11" t="n">
        <v>0.56</v>
      </c>
      <c r="M1226" s="11" t="n">
        <v>1.12</v>
      </c>
      <c r="N1226" s="11" t="n">
        <v>1</v>
      </c>
      <c r="O1226" s="11" t="n">
        <v>4.5</v>
      </c>
      <c r="P1226" s="11" t="n">
        <v>2.82</v>
      </c>
      <c r="Q1226" s="11" t="n">
        <v>21.15</v>
      </c>
      <c r="R1226" s="11" t="n">
        <f aca="false">SUM(K1226:Q1226)</f>
        <v>125.12</v>
      </c>
      <c r="S1226" s="11" t="n">
        <f aca="false">R1226/(1-Resumo!$C$6)</f>
        <v>142.181818181818</v>
      </c>
      <c r="T1226" s="11" t="n">
        <f aca="false">S1226-J1226</f>
        <v>38.9118181818182</v>
      </c>
      <c r="U1226" s="12" t="n">
        <f aca="false">IFERROR(S1226/J1226-1,0)</f>
        <v>0.376796922453938</v>
      </c>
      <c r="V1226" s="2" t="str">
        <f aca="false">IF(S1226&lt;J1226,"SIM","NÃO")</f>
        <v>NÃO</v>
      </c>
      <c r="W1226" s="2" t="n">
        <v>5</v>
      </c>
      <c r="X1226" s="2" t="s">
        <v>156</v>
      </c>
    </row>
    <row r="1227" customFormat="false" ht="15" hidden="false" customHeight="false" outlineLevel="0" collapsed="false">
      <c r="A1227" s="2" t="n">
        <v>378966313</v>
      </c>
      <c r="B1227" s="29" t="n">
        <v>46253.7393518519</v>
      </c>
      <c r="C1227" s="2" t="s">
        <v>153</v>
      </c>
      <c r="D1227" s="2" t="s">
        <v>1356</v>
      </c>
      <c r="E1227" s="2" t="s">
        <v>78</v>
      </c>
      <c r="F1227" s="2" t="s">
        <v>106</v>
      </c>
      <c r="G1227" s="30" t="n">
        <v>30.5</v>
      </c>
      <c r="H1227" s="11" t="n">
        <v>386.99</v>
      </c>
      <c r="I1227" s="11" t="s">
        <v>155</v>
      </c>
      <c r="J1227" s="11" t="n">
        <v>82.17</v>
      </c>
      <c r="K1227" s="11" t="n">
        <v>82.21</v>
      </c>
      <c r="L1227" s="11" t="n">
        <v>0.387</v>
      </c>
      <c r="M1227" s="11" t="n">
        <v>0.774</v>
      </c>
      <c r="N1227" s="11" t="n">
        <v>1</v>
      </c>
      <c r="O1227" s="11" t="n">
        <v>4.5</v>
      </c>
      <c r="P1227" s="11" t="n">
        <v>1.86</v>
      </c>
      <c r="Q1227" s="11" t="n">
        <v>13.95</v>
      </c>
      <c r="R1227" s="11" t="n">
        <f aca="false">SUM(K1227:Q1227)</f>
        <v>104.681</v>
      </c>
      <c r="S1227" s="11" t="n">
        <f aca="false">R1227/(1-Resumo!$C$6)</f>
        <v>118.955681818182</v>
      </c>
      <c r="T1227" s="11" t="n">
        <f aca="false">S1227-J1227</f>
        <v>36.7856818181818</v>
      </c>
      <c r="U1227" s="12" t="n">
        <f aca="false">IFERROR(S1227/J1227-1,0)</f>
        <v>0.447677763395179</v>
      </c>
      <c r="V1227" s="2" t="str">
        <f aca="false">IF(S1227&lt;J1227,"SIM","NÃO")</f>
        <v>NÃO</v>
      </c>
      <c r="W1227" s="2" t="n">
        <v>5</v>
      </c>
      <c r="X1227" s="2" t="s">
        <v>156</v>
      </c>
    </row>
    <row r="1228" customFormat="false" ht="15" hidden="false" customHeight="false" outlineLevel="0" collapsed="false">
      <c r="A1228" s="2" t="n">
        <v>378972742</v>
      </c>
      <c r="B1228" s="29" t="n">
        <v>46253.7522337963</v>
      </c>
      <c r="C1228" s="2" t="s">
        <v>153</v>
      </c>
      <c r="D1228" s="2" t="s">
        <v>1357</v>
      </c>
      <c r="E1228" s="2" t="s">
        <v>78</v>
      </c>
      <c r="F1228" s="2" t="s">
        <v>109</v>
      </c>
      <c r="G1228" s="30" t="n">
        <v>52.3</v>
      </c>
      <c r="H1228" s="11" t="n">
        <v>669.99</v>
      </c>
      <c r="I1228" s="11" t="s">
        <v>155</v>
      </c>
      <c r="J1228" s="11" t="n">
        <v>114.36</v>
      </c>
      <c r="K1228" s="11" t="n">
        <v>112.3</v>
      </c>
      <c r="L1228" s="11" t="n">
        <v>0.67</v>
      </c>
      <c r="M1228" s="11" t="n">
        <v>1.34</v>
      </c>
      <c r="N1228" s="11" t="n">
        <v>1</v>
      </c>
      <c r="O1228" s="11" t="n">
        <v>4.5</v>
      </c>
      <c r="P1228" s="11" t="n">
        <v>3.18</v>
      </c>
      <c r="Q1228" s="11" t="n">
        <v>23.85</v>
      </c>
      <c r="R1228" s="11" t="n">
        <f aca="false">SUM(K1228:Q1228)</f>
        <v>146.84</v>
      </c>
      <c r="S1228" s="11" t="n">
        <f aca="false">R1228/(1-Resumo!$C$6)</f>
        <v>166.863636363636</v>
      </c>
      <c r="T1228" s="11" t="n">
        <f aca="false">S1228-J1228</f>
        <v>52.5036363636364</v>
      </c>
      <c r="U1228" s="12" t="n">
        <f aca="false">IFERROR(S1228/J1228-1,0)</f>
        <v>0.459108397723298</v>
      </c>
      <c r="V1228" s="2" t="str">
        <f aca="false">IF(S1228&lt;J1228,"SIM","NÃO")</f>
        <v>NÃO</v>
      </c>
      <c r="W1228" s="2" t="n">
        <v>5</v>
      </c>
      <c r="X1228" s="2" t="s">
        <v>156</v>
      </c>
    </row>
    <row r="1229" customFormat="false" ht="15" hidden="false" customHeight="false" outlineLevel="0" collapsed="false">
      <c r="A1229" s="2" t="n">
        <v>379150753</v>
      </c>
      <c r="B1229" s="29" t="n">
        <v>46253.771099537</v>
      </c>
      <c r="C1229" s="2" t="s">
        <v>153</v>
      </c>
      <c r="D1229" s="2" t="s">
        <v>1358</v>
      </c>
      <c r="E1229" s="2" t="s">
        <v>93</v>
      </c>
      <c r="F1229" s="2" t="s">
        <v>110</v>
      </c>
      <c r="G1229" s="30" t="n">
        <v>63.9</v>
      </c>
      <c r="H1229" s="11" t="n">
        <v>717.59</v>
      </c>
      <c r="I1229" s="11" t="s">
        <v>155</v>
      </c>
      <c r="J1229" s="11" t="n">
        <v>155.47</v>
      </c>
      <c r="K1229" s="11" t="n">
        <v>149.5</v>
      </c>
      <c r="L1229" s="11" t="n">
        <v>0.7176</v>
      </c>
      <c r="M1229" s="11" t="n">
        <v>1.4352</v>
      </c>
      <c r="N1229" s="11" t="n">
        <v>1</v>
      </c>
      <c r="O1229" s="11" t="n">
        <v>4.5</v>
      </c>
      <c r="P1229" s="11" t="n">
        <v>3.84</v>
      </c>
      <c r="Q1229" s="11" t="n">
        <v>28.8</v>
      </c>
      <c r="R1229" s="11" t="n">
        <f aca="false">SUM(K1229:Q1229)</f>
        <v>189.7928</v>
      </c>
      <c r="S1229" s="11" t="n">
        <f aca="false">R1229/(1-Resumo!$C$6)</f>
        <v>215.673636363636</v>
      </c>
      <c r="T1229" s="11" t="n">
        <f aca="false">S1229-J1229</f>
        <v>60.2036363636364</v>
      </c>
      <c r="U1229" s="12" t="n">
        <f aca="false">IFERROR(S1229/J1229-1,0)</f>
        <v>0.387236356619517</v>
      </c>
      <c r="V1229" s="2" t="str">
        <f aca="false">IF(S1229&lt;J1229,"SIM","NÃO")</f>
        <v>NÃO</v>
      </c>
      <c r="W1229" s="2" t="n">
        <v>7</v>
      </c>
      <c r="X1229" s="2" t="s">
        <v>156</v>
      </c>
    </row>
    <row r="1230" customFormat="false" ht="15" hidden="false" customHeight="false" outlineLevel="0" collapsed="false">
      <c r="A1230" s="2" t="n">
        <v>378983243</v>
      </c>
      <c r="B1230" s="29" t="n">
        <v>46253.7728009259</v>
      </c>
      <c r="C1230" s="2" t="s">
        <v>153</v>
      </c>
      <c r="D1230" s="2" t="s">
        <v>1359</v>
      </c>
      <c r="E1230" s="2" t="s">
        <v>95</v>
      </c>
      <c r="F1230" s="2" t="s">
        <v>106</v>
      </c>
      <c r="G1230" s="30" t="n">
        <v>20.6</v>
      </c>
      <c r="H1230" s="11" t="n">
        <v>297.59</v>
      </c>
      <c r="I1230" s="11" t="s">
        <v>155</v>
      </c>
      <c r="J1230" s="11" t="n">
        <v>108.61</v>
      </c>
      <c r="K1230" s="11" t="n">
        <v>103.28</v>
      </c>
      <c r="L1230" s="11" t="n">
        <v>0.2976</v>
      </c>
      <c r="M1230" s="11" t="n">
        <v>0.5952</v>
      </c>
      <c r="N1230" s="11" t="n">
        <v>1</v>
      </c>
      <c r="O1230" s="11" t="n">
        <v>4.5</v>
      </c>
      <c r="P1230" s="11" t="n">
        <v>1.26</v>
      </c>
      <c r="Q1230" s="11" t="n">
        <v>9.45</v>
      </c>
      <c r="R1230" s="11" t="n">
        <f aca="false">SUM(K1230:Q1230)</f>
        <v>120.3828</v>
      </c>
      <c r="S1230" s="11" t="n">
        <f aca="false">R1230/(1-Resumo!$C$6)</f>
        <v>136.798636363636</v>
      </c>
      <c r="T1230" s="11" t="n">
        <f aca="false">S1230-J1230</f>
        <v>28.1886363636364</v>
      </c>
      <c r="U1230" s="12" t="n">
        <f aca="false">IFERROR(S1230/J1230-1,0)</f>
        <v>0.259539972043425</v>
      </c>
      <c r="V1230" s="2" t="str">
        <f aca="false">IF(S1230&lt;J1230,"SIM","NÃO")</f>
        <v>NÃO</v>
      </c>
      <c r="W1230" s="2" t="n">
        <v>6</v>
      </c>
      <c r="X1230" s="2" t="s">
        <v>156</v>
      </c>
    </row>
    <row r="1231" customFormat="false" ht="15" hidden="false" customHeight="false" outlineLevel="0" collapsed="false">
      <c r="A1231" s="2" t="n">
        <v>379004157</v>
      </c>
      <c r="B1231" s="29" t="n">
        <v>46253.8066550926</v>
      </c>
      <c r="C1231" s="2" t="s">
        <v>153</v>
      </c>
      <c r="D1231" s="2" t="s">
        <v>1360</v>
      </c>
      <c r="E1231" s="2" t="s">
        <v>79</v>
      </c>
      <c r="F1231" s="2" t="s">
        <v>110</v>
      </c>
      <c r="G1231" s="30" t="n">
        <v>63.9</v>
      </c>
      <c r="H1231" s="11" t="n">
        <v>717.59</v>
      </c>
      <c r="I1231" s="11" t="s">
        <v>155</v>
      </c>
      <c r="J1231" s="11" t="n">
        <v>139.89</v>
      </c>
      <c r="K1231" s="11" t="n">
        <v>149.5</v>
      </c>
      <c r="L1231" s="11" t="n">
        <v>0.7176</v>
      </c>
      <c r="M1231" s="11" t="n">
        <v>1.4352</v>
      </c>
      <c r="N1231" s="11" t="n">
        <v>1</v>
      </c>
      <c r="O1231" s="11" t="n">
        <v>4.5</v>
      </c>
      <c r="P1231" s="11" t="n">
        <v>3.84</v>
      </c>
      <c r="Q1231" s="11" t="n">
        <v>28.8</v>
      </c>
      <c r="R1231" s="11" t="n">
        <f aca="false">SUM(K1231:Q1231)</f>
        <v>189.7928</v>
      </c>
      <c r="S1231" s="11" t="n">
        <f aca="false">R1231/(1-Resumo!$C$6)</f>
        <v>215.673636363636</v>
      </c>
      <c r="T1231" s="11" t="n">
        <f aca="false">S1231-J1231</f>
        <v>75.7836363636364</v>
      </c>
      <c r="U1231" s="12" t="n">
        <f aca="false">IFERROR(S1231/J1231-1,0)</f>
        <v>0.541737339078107</v>
      </c>
      <c r="V1231" s="2" t="str">
        <f aca="false">IF(S1231&lt;J1231,"SIM","NÃO")</f>
        <v>NÃO</v>
      </c>
      <c r="W1231" s="2" t="n">
        <v>7</v>
      </c>
      <c r="X1231" s="2" t="s">
        <v>156</v>
      </c>
    </row>
    <row r="1232" customFormat="false" ht="15" hidden="false" customHeight="false" outlineLevel="0" collapsed="false">
      <c r="A1232" s="2" t="n">
        <v>379019621</v>
      </c>
      <c r="B1232" s="29" t="n">
        <v>46253.818125</v>
      </c>
      <c r="C1232" s="2" t="s">
        <v>369</v>
      </c>
      <c r="D1232" s="2" t="s">
        <v>1361</v>
      </c>
      <c r="E1232" s="2" t="s">
        <v>80</v>
      </c>
      <c r="F1232" s="2" t="s">
        <v>109</v>
      </c>
      <c r="G1232" s="30" t="n">
        <v>52.3</v>
      </c>
      <c r="H1232" s="11" t="n">
        <v>659.99</v>
      </c>
      <c r="I1232" s="11" t="s">
        <v>155</v>
      </c>
      <c r="J1232" s="11" t="n">
        <v>128.44</v>
      </c>
      <c r="K1232" s="11" t="n">
        <v>112.3</v>
      </c>
      <c r="L1232" s="11" t="n">
        <v>0.66</v>
      </c>
      <c r="M1232" s="11" t="n">
        <v>1.32</v>
      </c>
      <c r="N1232" s="11" t="n">
        <v>1</v>
      </c>
      <c r="O1232" s="11" t="n">
        <v>4.5</v>
      </c>
      <c r="P1232" s="11" t="n">
        <v>3.18</v>
      </c>
      <c r="Q1232" s="11" t="n">
        <v>23.85</v>
      </c>
      <c r="R1232" s="11" t="n">
        <f aca="false">SUM(K1232:Q1232)</f>
        <v>146.81</v>
      </c>
      <c r="S1232" s="11" t="n">
        <f aca="false">R1232/(1-Resumo!$C$6)</f>
        <v>166.829545454545</v>
      </c>
      <c r="T1232" s="11" t="n">
        <f aca="false">S1232-J1232</f>
        <v>38.3895454545455</v>
      </c>
      <c r="U1232" s="12" t="n">
        <f aca="false">IFERROR(S1232/J1232-1,0)</f>
        <v>0.298890886441494</v>
      </c>
      <c r="V1232" s="2" t="str">
        <f aca="false">IF(S1232&lt;J1232,"SIM","NÃO")</f>
        <v>NÃO</v>
      </c>
      <c r="W1232" s="2" t="n">
        <v>5</v>
      </c>
      <c r="X1232" s="2" t="s">
        <v>156</v>
      </c>
    </row>
    <row r="1233" customFormat="false" ht="15" hidden="false" customHeight="false" outlineLevel="0" collapsed="false">
      <c r="A1233" s="2" t="n">
        <v>379011346</v>
      </c>
      <c r="B1233" s="29" t="n">
        <v>46253.8211574074</v>
      </c>
      <c r="C1233" s="2" t="s">
        <v>158</v>
      </c>
      <c r="D1233" s="2" t="s">
        <v>470</v>
      </c>
      <c r="E1233" s="2" t="s">
        <v>78</v>
      </c>
      <c r="F1233" s="2" t="s">
        <v>106</v>
      </c>
      <c r="G1233" s="30" t="n">
        <v>33.21</v>
      </c>
      <c r="H1233" s="11" t="n">
        <v>387.25</v>
      </c>
      <c r="I1233" s="11" t="s">
        <v>155</v>
      </c>
      <c r="J1233" s="11" t="n">
        <v>82.17</v>
      </c>
      <c r="K1233" s="11" t="n">
        <v>82.21</v>
      </c>
      <c r="L1233" s="11" t="n">
        <v>0.3872</v>
      </c>
      <c r="M1233" s="11" t="n">
        <v>0.7745</v>
      </c>
      <c r="N1233" s="11" t="n">
        <v>1</v>
      </c>
      <c r="O1233" s="11" t="n">
        <v>4.5</v>
      </c>
      <c r="P1233" s="11" t="n">
        <v>2.04</v>
      </c>
      <c r="Q1233" s="11" t="n">
        <v>15.3</v>
      </c>
      <c r="R1233" s="11" t="n">
        <f aca="false">SUM(K1233:Q1233)</f>
        <v>106.2117</v>
      </c>
      <c r="S1233" s="11" t="n">
        <f aca="false">R1233/(1-Resumo!$C$6)</f>
        <v>120.695113636364</v>
      </c>
      <c r="T1233" s="11" t="n">
        <f aca="false">S1233-J1233</f>
        <v>38.5251136363636</v>
      </c>
      <c r="U1233" s="12" t="n">
        <f aca="false">IFERROR(S1233/J1233-1,0)</f>
        <v>0.468846460221049</v>
      </c>
      <c r="V1233" s="2" t="str">
        <f aca="false">IF(S1233&lt;J1233,"SIM","NÃO")</f>
        <v>NÃO</v>
      </c>
      <c r="W1233" s="2" t="n">
        <v>5</v>
      </c>
      <c r="X1233" s="2" t="s">
        <v>156</v>
      </c>
    </row>
    <row r="1234" customFormat="false" ht="15" hidden="false" customHeight="false" outlineLevel="0" collapsed="false">
      <c r="A1234" s="2" t="n">
        <v>379018455</v>
      </c>
      <c r="B1234" s="29" t="n">
        <v>46253.8365162037</v>
      </c>
      <c r="C1234" s="2" t="s">
        <v>153</v>
      </c>
      <c r="D1234" s="2" t="s">
        <v>1362</v>
      </c>
      <c r="E1234" s="2" t="s">
        <v>89</v>
      </c>
      <c r="F1234" s="2" t="s">
        <v>109</v>
      </c>
      <c r="G1234" s="30" t="n">
        <v>57</v>
      </c>
      <c r="H1234" s="11" t="n">
        <v>643.99</v>
      </c>
      <c r="I1234" s="11" t="s">
        <v>155</v>
      </c>
      <c r="J1234" s="11" t="n">
        <v>142.76</v>
      </c>
      <c r="K1234" s="11" t="n">
        <v>142.32</v>
      </c>
      <c r="L1234" s="11" t="n">
        <v>0.644</v>
      </c>
      <c r="M1234" s="11" t="n">
        <v>1.288</v>
      </c>
      <c r="N1234" s="11" t="n">
        <v>1</v>
      </c>
      <c r="O1234" s="11" t="n">
        <v>4.5</v>
      </c>
      <c r="P1234" s="11" t="n">
        <v>3.42</v>
      </c>
      <c r="Q1234" s="11" t="n">
        <v>25.65</v>
      </c>
      <c r="R1234" s="11" t="n">
        <f aca="false">SUM(K1234:Q1234)</f>
        <v>178.822</v>
      </c>
      <c r="S1234" s="11" t="n">
        <f aca="false">R1234/(1-Resumo!$C$6)</f>
        <v>203.206818181818</v>
      </c>
      <c r="T1234" s="11" t="n">
        <f aca="false">S1234-J1234</f>
        <v>60.4468181818182</v>
      </c>
      <c r="U1234" s="12" t="n">
        <f aca="false">IFERROR(S1234/J1234-1,0)</f>
        <v>0.42341564991467</v>
      </c>
      <c r="V1234" s="2" t="str">
        <f aca="false">IF(S1234&lt;J1234,"SIM","NÃO")</f>
        <v>NÃO</v>
      </c>
      <c r="W1234" s="2" t="n">
        <v>8</v>
      </c>
      <c r="X1234" s="2" t="s">
        <v>156</v>
      </c>
    </row>
    <row r="1235" customFormat="false" ht="15" hidden="false" customHeight="false" outlineLevel="0" collapsed="false">
      <c r="A1235" s="2" t="n">
        <v>379045638</v>
      </c>
      <c r="B1235" s="29" t="n">
        <v>46253.8780092593</v>
      </c>
      <c r="C1235" s="2" t="s">
        <v>158</v>
      </c>
      <c r="D1235" s="2" t="s">
        <v>1363</v>
      </c>
      <c r="E1235" s="2" t="s">
        <v>78</v>
      </c>
      <c r="F1235" s="2" t="s">
        <v>109</v>
      </c>
      <c r="G1235" s="30" t="n">
        <v>52.3</v>
      </c>
      <c r="H1235" s="11" t="n">
        <v>616.99</v>
      </c>
      <c r="I1235" s="11" t="s">
        <v>155</v>
      </c>
      <c r="J1235" s="11" t="n">
        <v>114.09</v>
      </c>
      <c r="K1235" s="11" t="n">
        <v>112.3</v>
      </c>
      <c r="L1235" s="11" t="n">
        <v>0.617</v>
      </c>
      <c r="M1235" s="11" t="n">
        <v>1.234</v>
      </c>
      <c r="N1235" s="11" t="n">
        <v>1</v>
      </c>
      <c r="O1235" s="11" t="n">
        <v>4.5</v>
      </c>
      <c r="P1235" s="11" t="n">
        <v>3.18</v>
      </c>
      <c r="Q1235" s="11" t="n">
        <v>23.85</v>
      </c>
      <c r="R1235" s="11" t="n">
        <f aca="false">SUM(K1235:Q1235)</f>
        <v>146.681</v>
      </c>
      <c r="S1235" s="11" t="n">
        <f aca="false">R1235/(1-Resumo!$C$6)</f>
        <v>166.682954545455</v>
      </c>
      <c r="T1235" s="11" t="n">
        <f aca="false">S1235-J1235</f>
        <v>52.5929545454545</v>
      </c>
      <c r="U1235" s="12" t="n">
        <f aca="false">IFERROR(S1235/J1235-1,0)</f>
        <v>0.460977776715352</v>
      </c>
      <c r="V1235" s="2" t="str">
        <f aca="false">IF(S1235&lt;J1235,"SIM","NÃO")</f>
        <v>NÃO</v>
      </c>
      <c r="W1235" s="2" t="n">
        <v>5</v>
      </c>
      <c r="X1235" s="2" t="s">
        <v>156</v>
      </c>
    </row>
    <row r="1236" customFormat="false" ht="15" hidden="false" customHeight="false" outlineLevel="0" collapsed="false">
      <c r="A1236" s="2" t="n">
        <v>379045629</v>
      </c>
      <c r="B1236" s="29" t="n">
        <v>46253.8783101852</v>
      </c>
      <c r="C1236" s="2" t="s">
        <v>153</v>
      </c>
      <c r="D1236" s="2" t="s">
        <v>1364</v>
      </c>
      <c r="E1236" s="2" t="s">
        <v>78</v>
      </c>
      <c r="F1236" s="2" t="s">
        <v>109</v>
      </c>
      <c r="G1236" s="30" t="n">
        <v>51.7</v>
      </c>
      <c r="H1236" s="11" t="n">
        <v>679.99</v>
      </c>
      <c r="I1236" s="11" t="s">
        <v>155</v>
      </c>
      <c r="J1236" s="11" t="n">
        <v>114.41</v>
      </c>
      <c r="K1236" s="11" t="n">
        <v>112.3</v>
      </c>
      <c r="L1236" s="11" t="n">
        <v>0.68</v>
      </c>
      <c r="M1236" s="11" t="n">
        <v>1.36</v>
      </c>
      <c r="N1236" s="11" t="n">
        <v>1</v>
      </c>
      <c r="O1236" s="11" t="n">
        <v>4.5</v>
      </c>
      <c r="P1236" s="11" t="n">
        <v>3.12</v>
      </c>
      <c r="Q1236" s="11" t="n">
        <v>23.4</v>
      </c>
      <c r="R1236" s="11" t="n">
        <f aca="false">SUM(K1236:Q1236)</f>
        <v>146.36</v>
      </c>
      <c r="S1236" s="11" t="n">
        <f aca="false">R1236/(1-Resumo!$C$6)</f>
        <v>166.318181818182</v>
      </c>
      <c r="T1236" s="11" t="n">
        <f aca="false">S1236-J1236</f>
        <v>51.9081818181818</v>
      </c>
      <c r="U1236" s="12" t="n">
        <f aca="false">IFERROR(S1236/J1236-1,0)</f>
        <v>0.453703188691389</v>
      </c>
      <c r="V1236" s="2" t="str">
        <f aca="false">IF(S1236&lt;J1236,"SIM","NÃO")</f>
        <v>NÃO</v>
      </c>
      <c r="W1236" s="2" t="n">
        <v>5</v>
      </c>
      <c r="X1236" s="2" t="s">
        <v>156</v>
      </c>
    </row>
    <row r="1237" customFormat="false" ht="15" hidden="false" customHeight="false" outlineLevel="0" collapsed="false">
      <c r="A1237" s="2" t="n">
        <v>379054557</v>
      </c>
      <c r="B1237" s="29" t="n">
        <v>46253.8909027778</v>
      </c>
      <c r="C1237" s="2" t="s">
        <v>158</v>
      </c>
      <c r="D1237" s="2" t="s">
        <v>1365</v>
      </c>
      <c r="E1237" s="2" t="s">
        <v>86</v>
      </c>
      <c r="F1237" s="2" t="s">
        <v>110</v>
      </c>
      <c r="G1237" s="30" t="n">
        <v>66.8</v>
      </c>
      <c r="H1237" s="11" t="n">
        <v>609.99</v>
      </c>
      <c r="I1237" s="11" t="s">
        <v>155</v>
      </c>
      <c r="J1237" s="11" t="n">
        <v>139.35</v>
      </c>
      <c r="K1237" s="11" t="n">
        <v>131.02</v>
      </c>
      <c r="L1237" s="11" t="n">
        <v>0.61</v>
      </c>
      <c r="M1237" s="11" t="n">
        <v>1.22</v>
      </c>
      <c r="N1237" s="11" t="n">
        <v>1</v>
      </c>
      <c r="O1237" s="11" t="n">
        <v>4.5</v>
      </c>
      <c r="P1237" s="11" t="n">
        <v>4.02</v>
      </c>
      <c r="Q1237" s="11" t="n">
        <v>30.15</v>
      </c>
      <c r="R1237" s="11" t="n">
        <f aca="false">SUM(K1237:Q1237)</f>
        <v>172.52</v>
      </c>
      <c r="S1237" s="11" t="n">
        <f aca="false">R1237/(1-Resumo!$C$6)</f>
        <v>196.045454545455</v>
      </c>
      <c r="T1237" s="11" t="n">
        <f aca="false">S1237-J1237</f>
        <v>56.6954545454546</v>
      </c>
      <c r="U1237" s="12" t="n">
        <f aca="false">IFERROR(S1237/J1237-1,0)</f>
        <v>0.406856509117004</v>
      </c>
      <c r="V1237" s="2" t="str">
        <f aca="false">IF(S1237&lt;J1237,"SIM","NÃO")</f>
        <v>NÃO</v>
      </c>
      <c r="W1237" s="2" t="n">
        <v>5</v>
      </c>
      <c r="X1237" s="2" t="s">
        <v>156</v>
      </c>
    </row>
    <row r="1238" customFormat="false" ht="15" hidden="false" customHeight="false" outlineLevel="0" collapsed="false">
      <c r="A1238" s="2" t="n">
        <v>379072845</v>
      </c>
      <c r="B1238" s="29" t="n">
        <v>46253.9171759259</v>
      </c>
      <c r="C1238" s="2" t="s">
        <v>153</v>
      </c>
      <c r="D1238" s="2" t="s">
        <v>1366</v>
      </c>
      <c r="E1238" s="2" t="s">
        <v>80</v>
      </c>
      <c r="F1238" s="2" t="s">
        <v>105</v>
      </c>
      <c r="G1238" s="30" t="n">
        <v>19.5</v>
      </c>
      <c r="H1238" s="11" t="n">
        <v>332.99</v>
      </c>
      <c r="I1238" s="11" t="s">
        <v>155</v>
      </c>
      <c r="J1238" s="11" t="n">
        <v>75.44</v>
      </c>
      <c r="K1238" s="11" t="n">
        <v>46.98</v>
      </c>
      <c r="L1238" s="11" t="n">
        <v>0.333</v>
      </c>
      <c r="M1238" s="11" t="n">
        <v>0.666</v>
      </c>
      <c r="N1238" s="11" t="n">
        <v>1</v>
      </c>
      <c r="O1238" s="11" t="n">
        <v>4.5</v>
      </c>
      <c r="P1238" s="11" t="n">
        <v>1.2</v>
      </c>
      <c r="Q1238" s="11" t="n">
        <v>9</v>
      </c>
      <c r="R1238" s="11" t="n">
        <f aca="false">SUM(K1238:Q1238)</f>
        <v>63.679</v>
      </c>
      <c r="S1238" s="11" t="n">
        <f aca="false">R1238/(1-Resumo!$C$6)</f>
        <v>72.3625</v>
      </c>
      <c r="T1238" s="11" t="n">
        <f aca="false">S1238-J1238</f>
        <v>-3.0775</v>
      </c>
      <c r="U1238" s="12" t="n">
        <f aca="false">IFERROR(S1238/J1238-1,0)</f>
        <v>-0.0407940084835631</v>
      </c>
      <c r="V1238" s="2" t="str">
        <f aca="false">IF(S1238&lt;J1238,"SIM","NÃO")</f>
        <v>SIM</v>
      </c>
      <c r="W1238" s="2" t="n">
        <v>5</v>
      </c>
      <c r="X1238" s="2" t="s">
        <v>156</v>
      </c>
    </row>
    <row r="1239" customFormat="false" ht="15" hidden="false" customHeight="false" outlineLevel="0" collapsed="false">
      <c r="A1239" s="2" t="n">
        <v>379078049</v>
      </c>
      <c r="B1239" s="29" t="n">
        <v>46253.9249537037</v>
      </c>
      <c r="C1239" s="2" t="s">
        <v>153</v>
      </c>
      <c r="D1239" s="2" t="s">
        <v>539</v>
      </c>
      <c r="E1239" s="2" t="s">
        <v>78</v>
      </c>
      <c r="F1239" s="2" t="s">
        <v>109</v>
      </c>
      <c r="G1239" s="30" t="n">
        <v>52.3</v>
      </c>
      <c r="H1239" s="11" t="n">
        <v>669.99</v>
      </c>
      <c r="I1239" s="11" t="s">
        <v>155</v>
      </c>
      <c r="J1239" s="11" t="n">
        <v>114.36</v>
      </c>
      <c r="K1239" s="11" t="n">
        <v>112.3</v>
      </c>
      <c r="L1239" s="11" t="n">
        <v>0.67</v>
      </c>
      <c r="M1239" s="11" t="n">
        <v>1.34</v>
      </c>
      <c r="N1239" s="11" t="n">
        <v>1</v>
      </c>
      <c r="O1239" s="11" t="n">
        <v>4.5</v>
      </c>
      <c r="P1239" s="11" t="n">
        <v>3.18</v>
      </c>
      <c r="Q1239" s="11" t="n">
        <v>23.85</v>
      </c>
      <c r="R1239" s="11" t="n">
        <f aca="false">SUM(K1239:Q1239)</f>
        <v>146.84</v>
      </c>
      <c r="S1239" s="11" t="n">
        <f aca="false">R1239/(1-Resumo!$C$6)</f>
        <v>166.863636363636</v>
      </c>
      <c r="T1239" s="11" t="n">
        <f aca="false">S1239-J1239</f>
        <v>52.5036363636364</v>
      </c>
      <c r="U1239" s="12" t="n">
        <f aca="false">IFERROR(S1239/J1239-1,0)</f>
        <v>0.459108397723298</v>
      </c>
      <c r="V1239" s="2" t="str">
        <f aca="false">IF(S1239&lt;J1239,"SIM","NÃO")</f>
        <v>NÃO</v>
      </c>
      <c r="W1239" s="2" t="n">
        <v>5</v>
      </c>
      <c r="X1239" s="2" t="s">
        <v>156</v>
      </c>
    </row>
    <row r="1240" customFormat="false" ht="15" hidden="false" customHeight="false" outlineLevel="0" collapsed="false">
      <c r="A1240" s="2" t="n">
        <v>379084466</v>
      </c>
      <c r="B1240" s="29" t="n">
        <v>46253.935775463</v>
      </c>
      <c r="C1240" s="2" t="s">
        <v>153</v>
      </c>
      <c r="D1240" s="2" t="s">
        <v>1367</v>
      </c>
      <c r="E1240" s="2" t="s">
        <v>78</v>
      </c>
      <c r="F1240" s="2" t="s">
        <v>111</v>
      </c>
      <c r="G1240" s="30" t="n">
        <v>71.9</v>
      </c>
      <c r="H1240" s="11" t="n">
        <v>711.38</v>
      </c>
      <c r="I1240" s="11" t="s">
        <v>155</v>
      </c>
      <c r="J1240" s="11" t="n">
        <v>135.88</v>
      </c>
      <c r="K1240" s="11" t="n">
        <v>134.39</v>
      </c>
      <c r="L1240" s="11" t="n">
        <v>0.7114</v>
      </c>
      <c r="M1240" s="11" t="n">
        <v>1.4228</v>
      </c>
      <c r="N1240" s="11" t="n">
        <v>1</v>
      </c>
      <c r="O1240" s="11" t="n">
        <v>4.5</v>
      </c>
      <c r="P1240" s="11" t="n">
        <v>4.32</v>
      </c>
      <c r="Q1240" s="11" t="n">
        <v>32.4</v>
      </c>
      <c r="R1240" s="11" t="n">
        <f aca="false">SUM(K1240:Q1240)</f>
        <v>178.7442</v>
      </c>
      <c r="S1240" s="11" t="n">
        <f aca="false">R1240/(1-Resumo!$C$6)</f>
        <v>203.118409090909</v>
      </c>
      <c r="T1240" s="11" t="n">
        <f aca="false">S1240-J1240</f>
        <v>67.2384090909091</v>
      </c>
      <c r="U1240" s="12" t="n">
        <f aca="false">IFERROR(S1240/J1240-1,0)</f>
        <v>0.494836687451495</v>
      </c>
      <c r="V1240" s="2" t="str">
        <f aca="false">IF(S1240&lt;J1240,"SIM","NÃO")</f>
        <v>NÃO</v>
      </c>
      <c r="W1240" s="2" t="n">
        <v>5</v>
      </c>
      <c r="X1240" s="2" t="s">
        <v>156</v>
      </c>
    </row>
    <row r="1241" customFormat="false" ht="15" hidden="false" customHeight="false" outlineLevel="0" collapsed="false">
      <c r="A1241" s="2" t="n">
        <v>379089832</v>
      </c>
      <c r="B1241" s="29" t="n">
        <v>46253.9453703704</v>
      </c>
      <c r="C1241" s="2" t="s">
        <v>153</v>
      </c>
      <c r="D1241" s="2" t="s">
        <v>417</v>
      </c>
      <c r="E1241" s="2" t="s">
        <v>78</v>
      </c>
      <c r="F1241" s="2" t="s">
        <v>110</v>
      </c>
      <c r="G1241" s="30" t="n">
        <v>63.9</v>
      </c>
      <c r="H1241" s="11" t="n">
        <v>717.59</v>
      </c>
      <c r="I1241" s="11" t="s">
        <v>155</v>
      </c>
      <c r="J1241" s="11" t="n">
        <v>124.66</v>
      </c>
      <c r="K1241" s="11" t="n">
        <v>131.02</v>
      </c>
      <c r="L1241" s="11" t="n">
        <v>0.7176</v>
      </c>
      <c r="M1241" s="11" t="n">
        <v>1.4352</v>
      </c>
      <c r="N1241" s="11" t="n">
        <v>1</v>
      </c>
      <c r="O1241" s="11" t="n">
        <v>4.5</v>
      </c>
      <c r="P1241" s="11" t="n">
        <v>3.84</v>
      </c>
      <c r="Q1241" s="11" t="n">
        <v>28.8</v>
      </c>
      <c r="R1241" s="11" t="n">
        <f aca="false">SUM(K1241:Q1241)</f>
        <v>171.3128</v>
      </c>
      <c r="S1241" s="11" t="n">
        <f aca="false">R1241/(1-Resumo!$C$6)</f>
        <v>194.673636363636</v>
      </c>
      <c r="T1241" s="11" t="n">
        <f aca="false">S1241-J1241</f>
        <v>70.0136363636364</v>
      </c>
      <c r="U1241" s="12" t="n">
        <f aca="false">IFERROR(S1241/J1241-1,0)</f>
        <v>0.561636742849642</v>
      </c>
      <c r="V1241" s="2" t="str">
        <f aca="false">IF(S1241&lt;J1241,"SIM","NÃO")</f>
        <v>NÃO</v>
      </c>
      <c r="W1241" s="2" t="n">
        <v>5</v>
      </c>
      <c r="X1241" s="2" t="s">
        <v>156</v>
      </c>
    </row>
    <row r="1242" customFormat="false" ht="15" hidden="false" customHeight="false" outlineLevel="0" collapsed="false">
      <c r="A1242" s="2" t="n">
        <v>379095165</v>
      </c>
      <c r="B1242" s="29" t="n">
        <v>46253.9555208333</v>
      </c>
      <c r="C1242" s="2" t="s">
        <v>153</v>
      </c>
      <c r="D1242" s="2" t="s">
        <v>1368</v>
      </c>
      <c r="E1242" s="2" t="s">
        <v>82</v>
      </c>
      <c r="F1242" s="2" t="s">
        <v>108</v>
      </c>
      <c r="G1242" s="30" t="n">
        <v>45</v>
      </c>
      <c r="H1242" s="11" t="n">
        <v>519.29</v>
      </c>
      <c r="I1242" s="11" t="s">
        <v>155</v>
      </c>
      <c r="J1242" s="11" t="n">
        <v>116.57</v>
      </c>
      <c r="K1242" s="11" t="n">
        <v>114.95</v>
      </c>
      <c r="L1242" s="11" t="n">
        <v>0.5193</v>
      </c>
      <c r="M1242" s="11" t="n">
        <v>1.0386</v>
      </c>
      <c r="N1242" s="11" t="n">
        <v>1</v>
      </c>
      <c r="O1242" s="11" t="n">
        <v>4.5</v>
      </c>
      <c r="P1242" s="11" t="n">
        <v>2.7</v>
      </c>
      <c r="Q1242" s="11" t="n">
        <v>20.25</v>
      </c>
      <c r="R1242" s="11" t="n">
        <f aca="false">SUM(K1242:Q1242)</f>
        <v>144.9579</v>
      </c>
      <c r="S1242" s="11" t="n">
        <f aca="false">R1242/(1-Resumo!$C$6)</f>
        <v>164.724886363636</v>
      </c>
      <c r="T1242" s="11" t="n">
        <f aca="false">S1242-J1242</f>
        <v>48.1548863636364</v>
      </c>
      <c r="U1242" s="12" t="n">
        <f aca="false">IFERROR(S1242/J1242-1,0)</f>
        <v>0.413098450404361</v>
      </c>
      <c r="V1242" s="2" t="str">
        <f aca="false">IF(S1242&lt;J1242,"SIM","NÃO")</f>
        <v>NÃO</v>
      </c>
      <c r="W1242" s="2" t="n">
        <v>7</v>
      </c>
      <c r="X1242" s="2" t="s">
        <v>156</v>
      </c>
    </row>
    <row r="1243" customFormat="false" ht="15" hidden="false" customHeight="false" outlineLevel="0" collapsed="false">
      <c r="A1243" s="2" t="n">
        <v>379156618</v>
      </c>
      <c r="B1243" s="29" t="n">
        <v>46254.0703125</v>
      </c>
      <c r="C1243" s="2" t="s">
        <v>153</v>
      </c>
      <c r="D1243" s="2" t="s">
        <v>794</v>
      </c>
      <c r="E1243" s="2" t="s">
        <v>78</v>
      </c>
      <c r="F1243" s="2" t="s">
        <v>109</v>
      </c>
      <c r="G1243" s="30" t="n">
        <v>52.3</v>
      </c>
      <c r="H1243" s="11" t="n">
        <v>669.99</v>
      </c>
      <c r="I1243" s="11" t="s">
        <v>155</v>
      </c>
      <c r="J1243" s="11" t="n">
        <v>114.36</v>
      </c>
      <c r="K1243" s="11" t="n">
        <v>112.3</v>
      </c>
      <c r="L1243" s="11" t="n">
        <v>0.67</v>
      </c>
      <c r="M1243" s="11" t="n">
        <v>1.34</v>
      </c>
      <c r="N1243" s="11" t="n">
        <v>1</v>
      </c>
      <c r="O1243" s="11" t="n">
        <v>4.5</v>
      </c>
      <c r="P1243" s="11" t="n">
        <v>3.18</v>
      </c>
      <c r="Q1243" s="11" t="n">
        <v>23.85</v>
      </c>
      <c r="R1243" s="11" t="n">
        <f aca="false">SUM(K1243:Q1243)</f>
        <v>146.84</v>
      </c>
      <c r="S1243" s="11" t="n">
        <f aca="false">R1243/(1-Resumo!$C$6)</f>
        <v>166.863636363636</v>
      </c>
      <c r="T1243" s="11" t="n">
        <f aca="false">S1243-J1243</f>
        <v>52.5036363636364</v>
      </c>
      <c r="U1243" s="12" t="n">
        <f aca="false">IFERROR(S1243/J1243-1,0)</f>
        <v>0.459108397723298</v>
      </c>
      <c r="V1243" s="2" t="str">
        <f aca="false">IF(S1243&lt;J1243,"SIM","NÃO")</f>
        <v>NÃO</v>
      </c>
      <c r="W1243" s="2" t="n">
        <v>5</v>
      </c>
      <c r="X1243" s="2" t="s">
        <v>156</v>
      </c>
    </row>
    <row r="1244" customFormat="false" ht="15" hidden="false" customHeight="false" outlineLevel="0" collapsed="false">
      <c r="A1244" s="2" t="n">
        <v>379198565</v>
      </c>
      <c r="B1244" s="29" t="n">
        <v>46254.1309722222</v>
      </c>
      <c r="C1244" s="2" t="s">
        <v>153</v>
      </c>
      <c r="D1244" s="2" t="s">
        <v>744</v>
      </c>
      <c r="E1244" s="2" t="s">
        <v>745</v>
      </c>
      <c r="F1244" s="2" t="s">
        <v>105</v>
      </c>
      <c r="G1244" s="30" t="n">
        <v>19.5</v>
      </c>
      <c r="H1244" s="11" t="n">
        <v>369.99</v>
      </c>
      <c r="I1244" s="11" t="s">
        <v>155</v>
      </c>
      <c r="J1244" s="11" t="n">
        <v>80.43</v>
      </c>
      <c r="K1244" s="11" t="n">
        <v>77.35</v>
      </c>
      <c r="L1244" s="11" t="n">
        <v>0.37</v>
      </c>
      <c r="M1244" s="11" t="n">
        <v>0.74</v>
      </c>
      <c r="N1244" s="11" t="n">
        <v>1</v>
      </c>
      <c r="O1244" s="11" t="n">
        <v>4.5</v>
      </c>
      <c r="P1244" s="11" t="n">
        <v>1.2</v>
      </c>
      <c r="Q1244" s="11" t="n">
        <v>9</v>
      </c>
      <c r="R1244" s="11" t="n">
        <f aca="false">SUM(K1244:Q1244)</f>
        <v>94.16</v>
      </c>
      <c r="S1244" s="11" t="n">
        <f aca="false">R1244/(1-Resumo!$C$6)</f>
        <v>107</v>
      </c>
      <c r="T1244" s="11" t="n">
        <f aca="false">S1244-J1244</f>
        <v>26.57</v>
      </c>
      <c r="U1244" s="12" t="n">
        <f aca="false">IFERROR(S1244/J1244-1,0)</f>
        <v>0.330349372124829</v>
      </c>
      <c r="V1244" s="2" t="str">
        <f aca="false">IF(S1244&lt;J1244,"SIM","NÃO")</f>
        <v>NÃO</v>
      </c>
      <c r="W1244" s="2" t="n">
        <v>10</v>
      </c>
      <c r="X1244" s="2" t="s">
        <v>161</v>
      </c>
    </row>
    <row r="1245" customFormat="false" ht="15" hidden="false" customHeight="false" outlineLevel="0" collapsed="false">
      <c r="A1245" s="2" t="n">
        <v>379369765</v>
      </c>
      <c r="B1245" s="29" t="n">
        <v>46254.2963541667</v>
      </c>
      <c r="C1245" s="2" t="s">
        <v>158</v>
      </c>
      <c r="D1245" s="2" t="s">
        <v>878</v>
      </c>
      <c r="E1245" s="2" t="s">
        <v>78</v>
      </c>
      <c r="F1245" s="2" t="s">
        <v>106</v>
      </c>
      <c r="G1245" s="30" t="n">
        <v>33</v>
      </c>
      <c r="H1245" s="11" t="n">
        <v>395.99</v>
      </c>
      <c r="I1245" s="11" t="s">
        <v>155</v>
      </c>
      <c r="J1245" s="11" t="n">
        <v>82.22</v>
      </c>
      <c r="K1245" s="11" t="n">
        <v>82.21</v>
      </c>
      <c r="L1245" s="11" t="n">
        <v>0.396</v>
      </c>
      <c r="M1245" s="11" t="n">
        <v>0.792</v>
      </c>
      <c r="N1245" s="11" t="n">
        <v>1</v>
      </c>
      <c r="O1245" s="11" t="n">
        <v>4.5</v>
      </c>
      <c r="P1245" s="11" t="n">
        <v>1.98</v>
      </c>
      <c r="Q1245" s="11" t="n">
        <v>14.85</v>
      </c>
      <c r="R1245" s="11" t="n">
        <f aca="false">SUM(K1245:Q1245)</f>
        <v>105.728</v>
      </c>
      <c r="S1245" s="11" t="n">
        <f aca="false">R1245/(1-Resumo!$C$6)</f>
        <v>120.145454545455</v>
      </c>
      <c r="T1245" s="11" t="n">
        <f aca="false">S1245-J1245</f>
        <v>37.9254545454545</v>
      </c>
      <c r="U1245" s="12" t="n">
        <f aca="false">IFERROR(S1245/J1245-1,0)</f>
        <v>0.461267994958095</v>
      </c>
      <c r="V1245" s="2" t="str">
        <f aca="false">IF(S1245&lt;J1245,"SIM","NÃO")</f>
        <v>NÃO</v>
      </c>
      <c r="W1245" s="2" t="n">
        <v>5</v>
      </c>
      <c r="X1245" s="2" t="s">
        <v>156</v>
      </c>
    </row>
    <row r="1246" customFormat="false" ht="15" hidden="false" customHeight="false" outlineLevel="0" collapsed="false">
      <c r="A1246" s="2" t="n">
        <v>379309618</v>
      </c>
      <c r="B1246" s="29" t="n">
        <v>46254.3196527778</v>
      </c>
      <c r="C1246" s="2" t="s">
        <v>153</v>
      </c>
      <c r="D1246" s="2" t="s">
        <v>1369</v>
      </c>
      <c r="E1246" s="2" t="s">
        <v>79</v>
      </c>
      <c r="F1246" s="2" t="s">
        <v>110</v>
      </c>
      <c r="G1246" s="30" t="n">
        <v>63.9</v>
      </c>
      <c r="H1246" s="11" t="n">
        <v>779.99</v>
      </c>
      <c r="I1246" s="11" t="s">
        <v>155</v>
      </c>
      <c r="J1246" s="11" t="n">
        <v>140.17</v>
      </c>
      <c r="K1246" s="11" t="n">
        <v>149.5</v>
      </c>
      <c r="L1246" s="11" t="n">
        <v>0.78</v>
      </c>
      <c r="M1246" s="11" t="n">
        <v>1.56</v>
      </c>
      <c r="N1246" s="11" t="n">
        <v>1</v>
      </c>
      <c r="O1246" s="11" t="n">
        <v>4.5</v>
      </c>
      <c r="P1246" s="11" t="n">
        <v>3.84</v>
      </c>
      <c r="Q1246" s="11" t="n">
        <v>28.8</v>
      </c>
      <c r="R1246" s="11" t="n">
        <f aca="false">SUM(K1246:Q1246)</f>
        <v>189.98</v>
      </c>
      <c r="S1246" s="11" t="n">
        <f aca="false">R1246/(1-Resumo!$C$6)</f>
        <v>215.886363636364</v>
      </c>
      <c r="T1246" s="11" t="n">
        <f aca="false">S1246-J1246</f>
        <v>75.7163636363637</v>
      </c>
      <c r="U1246" s="12" t="n">
        <f aca="false">IFERROR(S1246/J1246-1,0)</f>
        <v>0.540175241751899</v>
      </c>
      <c r="V1246" s="2" t="str">
        <f aca="false">IF(S1246&lt;J1246,"SIM","NÃO")</f>
        <v>NÃO</v>
      </c>
      <c r="W1246" s="2" t="n">
        <v>7</v>
      </c>
      <c r="X1246" s="2" t="s">
        <v>156</v>
      </c>
    </row>
    <row r="1247" customFormat="false" ht="15" hidden="false" customHeight="false" outlineLevel="0" collapsed="false">
      <c r="A1247" s="2" t="n">
        <v>379316321</v>
      </c>
      <c r="B1247" s="29" t="n">
        <v>46254.3385648148</v>
      </c>
      <c r="C1247" s="2" t="s">
        <v>153</v>
      </c>
      <c r="D1247" s="2" t="s">
        <v>1370</v>
      </c>
      <c r="E1247" s="2" t="s">
        <v>93</v>
      </c>
      <c r="F1247" s="2" t="s">
        <v>106</v>
      </c>
      <c r="G1247" s="30" t="n">
        <v>27.5</v>
      </c>
      <c r="H1247" s="11" t="n">
        <v>379.99</v>
      </c>
      <c r="I1247" s="11" t="s">
        <v>155</v>
      </c>
      <c r="J1247" s="11" t="n">
        <v>109</v>
      </c>
      <c r="K1247" s="11" t="n">
        <v>100.58</v>
      </c>
      <c r="L1247" s="11" t="n">
        <v>0.38</v>
      </c>
      <c r="M1247" s="11" t="n">
        <v>0.76</v>
      </c>
      <c r="N1247" s="11" t="n">
        <v>1</v>
      </c>
      <c r="O1247" s="11" t="n">
        <v>4.5</v>
      </c>
      <c r="P1247" s="11" t="n">
        <v>1.68</v>
      </c>
      <c r="Q1247" s="11" t="n">
        <v>12.6</v>
      </c>
      <c r="R1247" s="11" t="n">
        <f aca="false">SUM(K1247:Q1247)</f>
        <v>121.5</v>
      </c>
      <c r="S1247" s="11" t="n">
        <f aca="false">R1247/(1-Resumo!$C$6)</f>
        <v>138.068181818182</v>
      </c>
      <c r="T1247" s="11" t="n">
        <f aca="false">S1247-J1247</f>
        <v>29.0681818181818</v>
      </c>
      <c r="U1247" s="12" t="n">
        <f aca="false">IFERROR(S1247/J1247-1,0)</f>
        <v>0.266680567139283</v>
      </c>
      <c r="V1247" s="2" t="str">
        <f aca="false">IF(S1247&lt;J1247,"SIM","NÃO")</f>
        <v>NÃO</v>
      </c>
      <c r="W1247" s="2" t="n">
        <v>7</v>
      </c>
      <c r="X1247" s="2" t="s">
        <v>156</v>
      </c>
    </row>
    <row r="1248" customFormat="false" ht="15" hidden="false" customHeight="false" outlineLevel="0" collapsed="false">
      <c r="A1248" s="2" t="n">
        <v>379358334</v>
      </c>
      <c r="B1248" s="29" t="n">
        <v>46254.4017361111</v>
      </c>
      <c r="C1248" s="2" t="s">
        <v>158</v>
      </c>
      <c r="D1248" s="2" t="s">
        <v>1371</v>
      </c>
      <c r="E1248" s="2" t="s">
        <v>81</v>
      </c>
      <c r="F1248" s="2" t="s">
        <v>106</v>
      </c>
      <c r="G1248" s="30" t="n">
        <v>30.5</v>
      </c>
      <c r="H1248" s="11" t="n">
        <v>399</v>
      </c>
      <c r="I1248" s="11" t="s">
        <v>155</v>
      </c>
      <c r="J1248" s="11" t="n">
        <v>101.31</v>
      </c>
      <c r="K1248" s="11" t="n">
        <v>82.21</v>
      </c>
      <c r="L1248" s="11" t="n">
        <v>0.399</v>
      </c>
      <c r="M1248" s="11" t="n">
        <v>0.798</v>
      </c>
      <c r="N1248" s="11" t="n">
        <v>1</v>
      </c>
      <c r="O1248" s="11" t="n">
        <v>4.5</v>
      </c>
      <c r="P1248" s="11" t="n">
        <v>1.86</v>
      </c>
      <c r="Q1248" s="11" t="n">
        <v>13.95</v>
      </c>
      <c r="R1248" s="11" t="n">
        <f aca="false">SUM(K1248:Q1248)</f>
        <v>104.717</v>
      </c>
      <c r="S1248" s="11" t="n">
        <f aca="false">R1248/(1-Resumo!$C$6)</f>
        <v>118.996590909091</v>
      </c>
      <c r="T1248" s="11" t="n">
        <f aca="false">S1248-J1248</f>
        <v>17.6865909090909</v>
      </c>
      <c r="U1248" s="12" t="n">
        <f aca="false">IFERROR(S1248/J1248-1,0)</f>
        <v>0.174578925171167</v>
      </c>
      <c r="V1248" s="2" t="str">
        <f aca="false">IF(S1248&lt;J1248,"SIM","NÃO")</f>
        <v>NÃO</v>
      </c>
      <c r="W1248" s="2" t="n">
        <v>5</v>
      </c>
      <c r="X1248" s="2" t="s">
        <v>156</v>
      </c>
    </row>
    <row r="1249" customFormat="false" ht="15" hidden="false" customHeight="false" outlineLevel="0" collapsed="false">
      <c r="A1249" s="2" t="n">
        <v>379368051</v>
      </c>
      <c r="B1249" s="29" t="n">
        <v>46254.4180208333</v>
      </c>
      <c r="C1249" s="2" t="s">
        <v>153</v>
      </c>
      <c r="D1249" s="2" t="s">
        <v>1372</v>
      </c>
      <c r="E1249" s="2" t="s">
        <v>78</v>
      </c>
      <c r="F1249" s="2" t="s">
        <v>108</v>
      </c>
      <c r="G1249" s="30" t="n">
        <v>41</v>
      </c>
      <c r="H1249" s="11" t="n">
        <v>529.99</v>
      </c>
      <c r="I1249" s="11" t="s">
        <v>155</v>
      </c>
      <c r="J1249" s="11" t="n">
        <v>103.13</v>
      </c>
      <c r="K1249" s="11" t="n">
        <v>93.97</v>
      </c>
      <c r="L1249" s="11" t="n">
        <v>0.53</v>
      </c>
      <c r="M1249" s="11" t="n">
        <v>1.06</v>
      </c>
      <c r="N1249" s="11" t="n">
        <v>1</v>
      </c>
      <c r="O1249" s="11" t="n">
        <v>4.5</v>
      </c>
      <c r="P1249" s="11" t="n">
        <v>2.46</v>
      </c>
      <c r="Q1249" s="11" t="n">
        <v>18.45</v>
      </c>
      <c r="R1249" s="11" t="n">
        <f aca="false">SUM(K1249:Q1249)</f>
        <v>121.97</v>
      </c>
      <c r="S1249" s="11" t="n">
        <f aca="false">R1249/(1-Resumo!$C$6)</f>
        <v>138.602272727273</v>
      </c>
      <c r="T1249" s="11" t="n">
        <f aca="false">S1249-J1249</f>
        <v>35.4722727272727</v>
      </c>
      <c r="U1249" s="12" t="n">
        <f aca="false">IFERROR(S1249/J1249-1,0)</f>
        <v>0.343956877021941</v>
      </c>
      <c r="V1249" s="2" t="str">
        <f aca="false">IF(S1249&lt;J1249,"SIM","NÃO")</f>
        <v>NÃO</v>
      </c>
      <c r="W1249" s="2" t="n">
        <v>5</v>
      </c>
      <c r="X1249" s="2" t="s">
        <v>156</v>
      </c>
    </row>
    <row r="1250" customFormat="false" ht="15" hidden="false" customHeight="false" outlineLevel="0" collapsed="false">
      <c r="A1250" s="2" t="n">
        <v>379386179</v>
      </c>
      <c r="B1250" s="29" t="n">
        <v>46254.4486689815</v>
      </c>
      <c r="C1250" s="2" t="s">
        <v>153</v>
      </c>
      <c r="D1250" s="2" t="s">
        <v>1373</v>
      </c>
      <c r="E1250" s="2" t="s">
        <v>1374</v>
      </c>
      <c r="F1250" s="2" t="s">
        <v>109</v>
      </c>
      <c r="G1250" s="30" t="n">
        <v>52.3</v>
      </c>
      <c r="H1250" s="11" t="n">
        <v>669.99</v>
      </c>
      <c r="I1250" s="11" t="s">
        <v>155</v>
      </c>
      <c r="J1250" s="11" t="n">
        <v>142.87</v>
      </c>
      <c r="K1250" s="11" t="n">
        <v>162.04</v>
      </c>
      <c r="L1250" s="11" t="n">
        <v>0.67</v>
      </c>
      <c r="M1250" s="11" t="n">
        <v>1.34</v>
      </c>
      <c r="N1250" s="11" t="n">
        <v>1</v>
      </c>
      <c r="O1250" s="11" t="n">
        <v>4.5</v>
      </c>
      <c r="P1250" s="11" t="n">
        <v>3.18</v>
      </c>
      <c r="Q1250" s="11" t="n">
        <v>23.85</v>
      </c>
      <c r="R1250" s="11" t="n">
        <f aca="false">SUM(K1250:Q1250)</f>
        <v>196.58</v>
      </c>
      <c r="S1250" s="11" t="n">
        <f aca="false">R1250/(1-Resumo!$C$6)</f>
        <v>223.386363636364</v>
      </c>
      <c r="T1250" s="11" t="n">
        <f aca="false">S1250-J1250</f>
        <v>80.5163636363636</v>
      </c>
      <c r="U1250" s="12" t="n">
        <f aca="false">IFERROR(S1250/J1250-1,0)</f>
        <v>0.563563824710321</v>
      </c>
      <c r="V1250" s="2" t="str">
        <f aca="false">IF(S1250&lt;J1250,"SIM","NÃO")</f>
        <v>NÃO</v>
      </c>
      <c r="W1250" s="2" t="n">
        <v>11</v>
      </c>
      <c r="X1250" s="2" t="s">
        <v>161</v>
      </c>
    </row>
    <row r="1251" customFormat="false" ht="15" hidden="false" customHeight="false" outlineLevel="0" collapsed="false">
      <c r="A1251" s="2" t="n">
        <v>379391208</v>
      </c>
      <c r="B1251" s="29" t="n">
        <v>46254.4569097222</v>
      </c>
      <c r="C1251" s="2" t="s">
        <v>153</v>
      </c>
      <c r="D1251" s="2" t="s">
        <v>1375</v>
      </c>
      <c r="E1251" s="2" t="s">
        <v>78</v>
      </c>
      <c r="F1251" s="2" t="s">
        <v>108</v>
      </c>
      <c r="G1251" s="30" t="n">
        <v>46.8</v>
      </c>
      <c r="H1251" s="11" t="n">
        <v>559.99</v>
      </c>
      <c r="I1251" s="11" t="s">
        <v>155</v>
      </c>
      <c r="J1251" s="11" t="n">
        <v>103.27</v>
      </c>
      <c r="K1251" s="11" t="n">
        <v>93.97</v>
      </c>
      <c r="L1251" s="11" t="n">
        <v>0.56</v>
      </c>
      <c r="M1251" s="11" t="n">
        <v>1.12</v>
      </c>
      <c r="N1251" s="11" t="n">
        <v>1</v>
      </c>
      <c r="O1251" s="11" t="n">
        <v>4.5</v>
      </c>
      <c r="P1251" s="11" t="n">
        <v>2.82</v>
      </c>
      <c r="Q1251" s="11" t="n">
        <v>21.15</v>
      </c>
      <c r="R1251" s="11" t="n">
        <f aca="false">SUM(K1251:Q1251)</f>
        <v>125.12</v>
      </c>
      <c r="S1251" s="11" t="n">
        <f aca="false">R1251/(1-Resumo!$C$6)</f>
        <v>142.181818181818</v>
      </c>
      <c r="T1251" s="11" t="n">
        <f aca="false">S1251-J1251</f>
        <v>38.9118181818182</v>
      </c>
      <c r="U1251" s="12" t="n">
        <f aca="false">IFERROR(S1251/J1251-1,0)</f>
        <v>0.376796922453938</v>
      </c>
      <c r="V1251" s="2" t="str">
        <f aca="false">IF(S1251&lt;J1251,"SIM","NÃO")</f>
        <v>NÃO</v>
      </c>
      <c r="W1251" s="2" t="n">
        <v>5</v>
      </c>
      <c r="X1251" s="2" t="s">
        <v>156</v>
      </c>
    </row>
    <row r="1252" customFormat="false" ht="15" hidden="false" customHeight="false" outlineLevel="0" collapsed="false">
      <c r="A1252" s="2" t="n">
        <v>379391894</v>
      </c>
      <c r="B1252" s="29" t="n">
        <v>46254.4578472222</v>
      </c>
      <c r="C1252" s="2" t="s">
        <v>158</v>
      </c>
      <c r="D1252" s="2" t="s">
        <v>1376</v>
      </c>
      <c r="E1252" s="2" t="s">
        <v>86</v>
      </c>
      <c r="F1252" s="2" t="s">
        <v>109</v>
      </c>
      <c r="G1252" s="30" t="n">
        <v>52.3</v>
      </c>
      <c r="H1252" s="11" t="n">
        <v>649.99</v>
      </c>
      <c r="I1252" s="11" t="s">
        <v>155</v>
      </c>
      <c r="J1252" s="11" t="n">
        <v>128.4</v>
      </c>
      <c r="K1252" s="11" t="n">
        <v>112.3</v>
      </c>
      <c r="L1252" s="11" t="n">
        <v>0.65</v>
      </c>
      <c r="M1252" s="11" t="n">
        <v>1.3</v>
      </c>
      <c r="N1252" s="11" t="n">
        <v>1</v>
      </c>
      <c r="O1252" s="11" t="n">
        <v>4.5</v>
      </c>
      <c r="P1252" s="11" t="n">
        <v>3.18</v>
      </c>
      <c r="Q1252" s="11" t="n">
        <v>23.85</v>
      </c>
      <c r="R1252" s="11" t="n">
        <f aca="false">SUM(K1252:Q1252)</f>
        <v>146.78</v>
      </c>
      <c r="S1252" s="11" t="n">
        <f aca="false">R1252/(1-Resumo!$C$6)</f>
        <v>166.795454545455</v>
      </c>
      <c r="T1252" s="11" t="n">
        <f aca="false">S1252-J1252</f>
        <v>38.3954545454545</v>
      </c>
      <c r="U1252" s="12" t="n">
        <f aca="false">IFERROR(S1252/J1252-1,0)</f>
        <v>0.299030019824412</v>
      </c>
      <c r="V1252" s="2" t="str">
        <f aca="false">IF(S1252&lt;J1252,"SIM","NÃO")</f>
        <v>NÃO</v>
      </c>
      <c r="W1252" s="2" t="n">
        <v>5</v>
      </c>
      <c r="X1252" s="2" t="s">
        <v>156</v>
      </c>
    </row>
    <row r="1253" customFormat="false" ht="15" hidden="false" customHeight="false" outlineLevel="0" collapsed="false">
      <c r="A1253" s="2" t="n">
        <v>379393628</v>
      </c>
      <c r="B1253" s="29" t="n">
        <v>46254.46125</v>
      </c>
      <c r="C1253" s="2" t="s">
        <v>153</v>
      </c>
      <c r="D1253" s="2" t="s">
        <v>1377</v>
      </c>
      <c r="E1253" s="2" t="s">
        <v>78</v>
      </c>
      <c r="F1253" s="2" t="s">
        <v>105</v>
      </c>
      <c r="G1253" s="30" t="n">
        <v>19.5</v>
      </c>
      <c r="H1253" s="11" t="n">
        <v>499.99</v>
      </c>
      <c r="I1253" s="11" t="s">
        <v>155</v>
      </c>
      <c r="J1253" s="11" t="n">
        <v>65.61</v>
      </c>
      <c r="K1253" s="11" t="n">
        <v>46.98</v>
      </c>
      <c r="L1253" s="11" t="n">
        <v>0.5</v>
      </c>
      <c r="M1253" s="11" t="n">
        <v>1</v>
      </c>
      <c r="N1253" s="11" t="n">
        <v>1</v>
      </c>
      <c r="O1253" s="11" t="n">
        <v>4.5</v>
      </c>
      <c r="P1253" s="11" t="n">
        <v>1.2</v>
      </c>
      <c r="Q1253" s="11" t="n">
        <v>9</v>
      </c>
      <c r="R1253" s="11" t="n">
        <f aca="false">SUM(K1253:Q1253)</f>
        <v>64.18</v>
      </c>
      <c r="S1253" s="11" t="n">
        <f aca="false">R1253/(1-Resumo!$C$6)</f>
        <v>72.9318181818182</v>
      </c>
      <c r="T1253" s="11" t="n">
        <f aca="false">S1253-J1253</f>
        <v>7.32181818181819</v>
      </c>
      <c r="U1253" s="12" t="n">
        <f aca="false">IFERROR(S1253/J1253-1,0)</f>
        <v>0.111596070443807</v>
      </c>
      <c r="V1253" s="2" t="str">
        <f aca="false">IF(S1253&lt;J1253,"SIM","NÃO")</f>
        <v>NÃO</v>
      </c>
      <c r="W1253" s="2" t="n">
        <v>5</v>
      </c>
      <c r="X1253" s="2" t="s">
        <v>156</v>
      </c>
    </row>
    <row r="1254" customFormat="false" ht="15" hidden="false" customHeight="false" outlineLevel="0" collapsed="false">
      <c r="A1254" s="2" t="n">
        <v>379394254</v>
      </c>
      <c r="B1254" s="29" t="n">
        <v>46254.4620138889</v>
      </c>
      <c r="C1254" s="2" t="s">
        <v>153</v>
      </c>
      <c r="D1254" s="2" t="s">
        <v>1378</v>
      </c>
      <c r="E1254" s="2" t="s">
        <v>78</v>
      </c>
      <c r="F1254" s="2" t="s">
        <v>108</v>
      </c>
      <c r="G1254" s="30" t="n">
        <v>48.3</v>
      </c>
      <c r="H1254" s="11" t="n">
        <v>449.99</v>
      </c>
      <c r="I1254" s="11" t="s">
        <v>155</v>
      </c>
      <c r="J1254" s="11" t="n">
        <v>102.74</v>
      </c>
      <c r="K1254" s="11" t="n">
        <v>93.97</v>
      </c>
      <c r="L1254" s="11" t="n">
        <v>0.45</v>
      </c>
      <c r="M1254" s="11" t="n">
        <v>0.9</v>
      </c>
      <c r="N1254" s="11" t="n">
        <v>1</v>
      </c>
      <c r="O1254" s="11" t="n">
        <v>4.5</v>
      </c>
      <c r="P1254" s="11" t="n">
        <v>2.94</v>
      </c>
      <c r="Q1254" s="11" t="n">
        <v>22.05</v>
      </c>
      <c r="R1254" s="11" t="n">
        <f aca="false">SUM(K1254:Q1254)</f>
        <v>125.81</v>
      </c>
      <c r="S1254" s="11" t="n">
        <f aca="false">R1254/(1-Resumo!$C$6)</f>
        <v>142.965909090909</v>
      </c>
      <c r="T1254" s="11" t="n">
        <f aca="false">S1254-J1254</f>
        <v>40.2259090909091</v>
      </c>
      <c r="U1254" s="12" t="n">
        <f aca="false">IFERROR(S1254/J1254-1,0)</f>
        <v>0.391531137735148</v>
      </c>
      <c r="V1254" s="2" t="str">
        <f aca="false">IF(S1254&lt;J1254,"SIM","NÃO")</f>
        <v>NÃO</v>
      </c>
      <c r="W1254" s="2" t="n">
        <v>5</v>
      </c>
      <c r="X1254" s="2" t="s">
        <v>156</v>
      </c>
    </row>
    <row r="1255" customFormat="false" ht="15" hidden="false" customHeight="false" outlineLevel="0" collapsed="false">
      <c r="A1255" s="2" t="n">
        <v>379408999</v>
      </c>
      <c r="B1255" s="29" t="n">
        <v>46254.4674537037</v>
      </c>
      <c r="C1255" s="2" t="s">
        <v>369</v>
      </c>
      <c r="D1255" s="2" t="s">
        <v>1379</v>
      </c>
      <c r="E1255" s="2" t="s">
        <v>92</v>
      </c>
      <c r="F1255" s="2" t="s">
        <v>106</v>
      </c>
      <c r="G1255" s="30" t="n">
        <v>29.2</v>
      </c>
      <c r="H1255" s="11" t="n">
        <v>359.99</v>
      </c>
      <c r="I1255" s="11" t="s">
        <v>155</v>
      </c>
      <c r="J1255" s="11" t="n">
        <v>108.91</v>
      </c>
      <c r="K1255" s="11" t="n">
        <v>114.95</v>
      </c>
      <c r="L1255" s="11" t="n">
        <v>0.36</v>
      </c>
      <c r="M1255" s="11" t="n">
        <v>0.72</v>
      </c>
      <c r="N1255" s="11" t="n">
        <v>1</v>
      </c>
      <c r="O1255" s="11" t="n">
        <v>4.5</v>
      </c>
      <c r="P1255" s="11" t="n">
        <v>1.8</v>
      </c>
      <c r="Q1255" s="11" t="n">
        <v>13.5</v>
      </c>
      <c r="R1255" s="11" t="n">
        <f aca="false">SUM(K1255:Q1255)</f>
        <v>136.83</v>
      </c>
      <c r="S1255" s="11" t="n">
        <f aca="false">R1255/(1-Resumo!$C$6)</f>
        <v>155.488636363636</v>
      </c>
      <c r="T1255" s="11" t="n">
        <f aca="false">S1255-J1255</f>
        <v>46.5786363636364</v>
      </c>
      <c r="U1255" s="12" t="n">
        <f aca="false">IFERROR(S1255/J1255-1,0)</f>
        <v>0.427680069448502</v>
      </c>
      <c r="V1255" s="2" t="str">
        <f aca="false">IF(S1255&lt;J1255,"SIM","NÃO")</f>
        <v>NÃO</v>
      </c>
      <c r="W1255" s="2" t="n">
        <v>10</v>
      </c>
      <c r="X1255" s="2" t="s">
        <v>156</v>
      </c>
    </row>
    <row r="1256" customFormat="false" ht="15" hidden="false" customHeight="false" outlineLevel="0" collapsed="false">
      <c r="A1256" s="2" t="n">
        <v>379414120</v>
      </c>
      <c r="B1256" s="29" t="n">
        <v>46254.4969328704</v>
      </c>
      <c r="C1256" s="2" t="s">
        <v>153</v>
      </c>
      <c r="D1256" s="2" t="s">
        <v>1380</v>
      </c>
      <c r="E1256" s="2" t="s">
        <v>93</v>
      </c>
      <c r="F1256" s="2" t="s">
        <v>106</v>
      </c>
      <c r="G1256" s="30" t="n">
        <v>31.4</v>
      </c>
      <c r="H1256" s="11" t="n">
        <v>399.99</v>
      </c>
      <c r="I1256" s="11" t="s">
        <v>155</v>
      </c>
      <c r="J1256" s="11" t="n">
        <v>109.1</v>
      </c>
      <c r="K1256" s="11" t="n">
        <v>100.58</v>
      </c>
      <c r="L1256" s="11" t="n">
        <v>0.4</v>
      </c>
      <c r="M1256" s="11" t="n">
        <v>0.8</v>
      </c>
      <c r="N1256" s="11" t="n">
        <v>1</v>
      </c>
      <c r="O1256" s="11" t="n">
        <v>4.5</v>
      </c>
      <c r="P1256" s="11" t="n">
        <v>1.92</v>
      </c>
      <c r="Q1256" s="11" t="n">
        <v>14.4</v>
      </c>
      <c r="R1256" s="11" t="n">
        <f aca="false">SUM(K1256:Q1256)</f>
        <v>123.6</v>
      </c>
      <c r="S1256" s="11" t="n">
        <f aca="false">R1256/(1-Resumo!$C$6)</f>
        <v>140.454545454545</v>
      </c>
      <c r="T1256" s="11" t="n">
        <f aca="false">S1256-J1256</f>
        <v>31.3545454545455</v>
      </c>
      <c r="U1256" s="12" t="n">
        <f aca="false">IFERROR(S1256/J1256-1,0)</f>
        <v>0.287392717273561</v>
      </c>
      <c r="V1256" s="2" t="str">
        <f aca="false">IF(S1256&lt;J1256,"SIM","NÃO")</f>
        <v>NÃO</v>
      </c>
      <c r="W1256" s="2" t="n">
        <v>7</v>
      </c>
      <c r="X1256" s="2" t="s">
        <v>156</v>
      </c>
    </row>
    <row r="1257" customFormat="false" ht="15" hidden="false" customHeight="false" outlineLevel="0" collapsed="false">
      <c r="A1257" s="2" t="n">
        <v>379423360</v>
      </c>
      <c r="B1257" s="29" t="n">
        <v>46254.5118865741</v>
      </c>
      <c r="C1257" s="2" t="s">
        <v>153</v>
      </c>
      <c r="D1257" s="2" t="s">
        <v>1381</v>
      </c>
      <c r="E1257" s="2" t="s">
        <v>94</v>
      </c>
      <c r="F1257" s="2" t="s">
        <v>107</v>
      </c>
      <c r="G1257" s="30" t="n">
        <v>40</v>
      </c>
      <c r="H1257" s="11" t="n">
        <v>529.99</v>
      </c>
      <c r="I1257" s="11" t="s">
        <v>155</v>
      </c>
      <c r="J1257" s="11" t="n">
        <v>113.5</v>
      </c>
      <c r="K1257" s="11" t="n">
        <v>93.97</v>
      </c>
      <c r="L1257" s="11" t="n">
        <v>0.53</v>
      </c>
      <c r="M1257" s="11" t="n">
        <v>1.06</v>
      </c>
      <c r="N1257" s="11" t="n">
        <v>1</v>
      </c>
      <c r="O1257" s="11" t="n">
        <v>4.5</v>
      </c>
      <c r="P1257" s="11" t="n">
        <v>2.4</v>
      </c>
      <c r="Q1257" s="11" t="n">
        <v>18</v>
      </c>
      <c r="R1257" s="11" t="n">
        <f aca="false">SUM(K1257:Q1257)</f>
        <v>121.46</v>
      </c>
      <c r="S1257" s="11" t="n">
        <f aca="false">R1257/(1-Resumo!$C$6)</f>
        <v>138.022727272727</v>
      </c>
      <c r="T1257" s="11" t="n">
        <f aca="false">S1257-J1257</f>
        <v>24.5227272727273</v>
      </c>
      <c r="U1257" s="12" t="n">
        <f aca="false">IFERROR(S1257/J1257-1,0)</f>
        <v>0.21605927112535</v>
      </c>
      <c r="V1257" s="2" t="str">
        <f aca="false">IF(S1257&lt;J1257,"SIM","NÃO")</f>
        <v>NÃO</v>
      </c>
      <c r="W1257" s="2" t="n">
        <v>5</v>
      </c>
      <c r="X1257" s="2" t="s">
        <v>156</v>
      </c>
    </row>
    <row r="1258" customFormat="false" ht="15" hidden="false" customHeight="false" outlineLevel="0" collapsed="false">
      <c r="A1258" s="2" t="n">
        <v>379425659</v>
      </c>
      <c r="B1258" s="29" t="n">
        <v>46254.5158333333</v>
      </c>
      <c r="C1258" s="2" t="s">
        <v>158</v>
      </c>
      <c r="D1258" s="2" t="s">
        <v>1382</v>
      </c>
      <c r="E1258" s="2" t="s">
        <v>92</v>
      </c>
      <c r="F1258" s="2" t="s">
        <v>107</v>
      </c>
      <c r="G1258" s="30" t="n">
        <v>37.5</v>
      </c>
      <c r="H1258" s="11" t="n">
        <v>389</v>
      </c>
      <c r="I1258" s="11" t="s">
        <v>155</v>
      </c>
      <c r="J1258" s="11" t="n">
        <v>122.11</v>
      </c>
      <c r="K1258" s="11" t="n">
        <v>124.38</v>
      </c>
      <c r="L1258" s="11" t="n">
        <v>0.389</v>
      </c>
      <c r="M1258" s="11" t="n">
        <v>0.778</v>
      </c>
      <c r="N1258" s="11" t="n">
        <v>1</v>
      </c>
      <c r="O1258" s="11" t="n">
        <v>4.5</v>
      </c>
      <c r="P1258" s="11" t="n">
        <v>2.28</v>
      </c>
      <c r="Q1258" s="11" t="n">
        <v>17.1</v>
      </c>
      <c r="R1258" s="11" t="n">
        <f aca="false">SUM(K1258:Q1258)</f>
        <v>150.427</v>
      </c>
      <c r="S1258" s="11" t="n">
        <f aca="false">R1258/(1-Resumo!$C$6)</f>
        <v>170.939772727273</v>
      </c>
      <c r="T1258" s="11" t="n">
        <f aca="false">S1258-J1258</f>
        <v>48.8297727272727</v>
      </c>
      <c r="U1258" s="12" t="n">
        <f aca="false">IFERROR(S1258/J1258-1,0)</f>
        <v>0.399883488062179</v>
      </c>
      <c r="V1258" s="2" t="str">
        <f aca="false">IF(S1258&lt;J1258,"SIM","NÃO")</f>
        <v>NÃO</v>
      </c>
      <c r="W1258" s="2" t="n">
        <v>10</v>
      </c>
      <c r="X1258" s="2" t="s">
        <v>156</v>
      </c>
    </row>
    <row r="1259" customFormat="false" ht="15" hidden="false" customHeight="false" outlineLevel="0" collapsed="false">
      <c r="A1259" s="2" t="n">
        <v>379427296</v>
      </c>
      <c r="B1259" s="29" t="n">
        <v>46254.518599537</v>
      </c>
      <c r="C1259" s="2" t="s">
        <v>153</v>
      </c>
      <c r="D1259" s="2" t="s">
        <v>1383</v>
      </c>
      <c r="E1259" s="2" t="s">
        <v>84</v>
      </c>
      <c r="F1259" s="2" t="s">
        <v>109</v>
      </c>
      <c r="G1259" s="30" t="n">
        <v>60</v>
      </c>
      <c r="H1259" s="11" t="n">
        <v>849.99</v>
      </c>
      <c r="I1259" s="11" t="s">
        <v>155</v>
      </c>
      <c r="J1259" s="11" t="n">
        <v>129.35</v>
      </c>
      <c r="K1259" s="11" t="n">
        <v>112.3</v>
      </c>
      <c r="L1259" s="11" t="n">
        <v>0.85</v>
      </c>
      <c r="M1259" s="11" t="n">
        <v>1.7</v>
      </c>
      <c r="N1259" s="11" t="n">
        <v>1</v>
      </c>
      <c r="O1259" s="11" t="n">
        <v>4.5</v>
      </c>
      <c r="P1259" s="11" t="n">
        <v>3.6</v>
      </c>
      <c r="Q1259" s="11" t="n">
        <v>27</v>
      </c>
      <c r="R1259" s="11" t="n">
        <f aca="false">SUM(K1259:Q1259)</f>
        <v>150.95</v>
      </c>
      <c r="S1259" s="11" t="n">
        <f aca="false">R1259/(1-Resumo!$C$6)</f>
        <v>171.534090909091</v>
      </c>
      <c r="T1259" s="11" t="n">
        <f aca="false">S1259-J1259</f>
        <v>42.1840909090909</v>
      </c>
      <c r="U1259" s="12" t="n">
        <f aca="false">IFERROR(S1259/J1259-1,0)</f>
        <v>0.3261236251186</v>
      </c>
      <c r="V1259" s="2" t="str">
        <f aca="false">IF(S1259&lt;J1259,"SIM","NÃO")</f>
        <v>NÃO</v>
      </c>
      <c r="W1259" s="2" t="n">
        <v>5</v>
      </c>
      <c r="X1259" s="2" t="s">
        <v>156</v>
      </c>
    </row>
    <row r="1260" customFormat="false" ht="15" hidden="false" customHeight="false" outlineLevel="0" collapsed="false">
      <c r="A1260" s="2" t="n">
        <v>379453169</v>
      </c>
      <c r="B1260" s="29" t="n">
        <v>46254.5636226852</v>
      </c>
      <c r="C1260" s="2" t="s">
        <v>153</v>
      </c>
      <c r="D1260" s="2" t="s">
        <v>1384</v>
      </c>
      <c r="E1260" s="2" t="s">
        <v>83</v>
      </c>
      <c r="F1260" s="2" t="s">
        <v>108</v>
      </c>
      <c r="G1260" s="30" t="n">
        <v>41</v>
      </c>
      <c r="H1260" s="11" t="n">
        <v>529.99</v>
      </c>
      <c r="I1260" s="11" t="s">
        <v>155</v>
      </c>
      <c r="J1260" s="11" t="n">
        <v>130.7</v>
      </c>
      <c r="K1260" s="11" t="n">
        <v>152.54</v>
      </c>
      <c r="L1260" s="11" t="n">
        <v>0.53</v>
      </c>
      <c r="M1260" s="11" t="n">
        <v>1.06</v>
      </c>
      <c r="N1260" s="11" t="n">
        <v>1</v>
      </c>
      <c r="O1260" s="11" t="n">
        <v>4.5</v>
      </c>
      <c r="P1260" s="11" t="n">
        <v>2.46</v>
      </c>
      <c r="Q1260" s="11" t="n">
        <v>18.45</v>
      </c>
      <c r="R1260" s="11" t="n">
        <f aca="false">SUM(K1260:Q1260)</f>
        <v>180.54</v>
      </c>
      <c r="S1260" s="11" t="n">
        <f aca="false">R1260/(1-Resumo!$C$6)</f>
        <v>205.159090909091</v>
      </c>
      <c r="T1260" s="11" t="n">
        <f aca="false">S1260-J1260</f>
        <v>74.4590909090909</v>
      </c>
      <c r="U1260" s="12" t="n">
        <f aca="false">IFERROR(S1260/J1260-1,0)</f>
        <v>0.569694651178966</v>
      </c>
      <c r="V1260" s="2" t="str">
        <f aca="false">IF(S1260&lt;J1260,"SIM","NÃO")</f>
        <v>NÃO</v>
      </c>
      <c r="W1260" s="2" t="n">
        <v>11</v>
      </c>
      <c r="X1260" s="2" t="s">
        <v>156</v>
      </c>
    </row>
    <row r="1261" customFormat="false" ht="15" hidden="false" customHeight="false" outlineLevel="0" collapsed="false">
      <c r="A1261" s="2" t="n">
        <v>379463827</v>
      </c>
      <c r="B1261" s="29" t="n">
        <v>46254.5819791667</v>
      </c>
      <c r="C1261" s="2" t="s">
        <v>153</v>
      </c>
      <c r="D1261" s="2" t="s">
        <v>1385</v>
      </c>
      <c r="E1261" s="2" t="s">
        <v>160</v>
      </c>
      <c r="F1261" s="2" t="s">
        <v>109</v>
      </c>
      <c r="G1261" s="30" t="n">
        <v>52.3</v>
      </c>
      <c r="H1261" s="11" t="n">
        <v>669.99</v>
      </c>
      <c r="I1261" s="11" t="s">
        <v>155</v>
      </c>
      <c r="J1261" s="11" t="n">
        <v>128.49</v>
      </c>
      <c r="K1261" s="11" t="n">
        <v>112.3</v>
      </c>
      <c r="L1261" s="11" t="n">
        <v>0.67</v>
      </c>
      <c r="M1261" s="11" t="n">
        <v>1.34</v>
      </c>
      <c r="N1261" s="11" t="n">
        <v>1</v>
      </c>
      <c r="O1261" s="11" t="n">
        <v>4.5</v>
      </c>
      <c r="P1261" s="11" t="n">
        <v>3.18</v>
      </c>
      <c r="Q1261" s="11" t="n">
        <v>23.85</v>
      </c>
      <c r="R1261" s="11" t="n">
        <f aca="false">SUM(K1261:Q1261)</f>
        <v>146.84</v>
      </c>
      <c r="S1261" s="11" t="n">
        <f aca="false">R1261/(1-Resumo!$C$6)</f>
        <v>166.863636363636</v>
      </c>
      <c r="T1261" s="11" t="n">
        <f aca="false">S1261-J1261</f>
        <v>38.3736363636364</v>
      </c>
      <c r="U1261" s="12" t="n">
        <f aca="false">IFERROR(S1261/J1261-1,0)</f>
        <v>0.298650761643991</v>
      </c>
      <c r="V1261" s="2" t="str">
        <f aca="false">IF(S1261&lt;J1261,"SIM","NÃO")</f>
        <v>NÃO</v>
      </c>
      <c r="W1261" s="2" t="n">
        <v>5</v>
      </c>
      <c r="X1261" s="2" t="s">
        <v>161</v>
      </c>
    </row>
    <row r="1262" customFormat="false" ht="15" hidden="false" customHeight="false" outlineLevel="0" collapsed="false">
      <c r="A1262" s="2" t="n">
        <v>379542415</v>
      </c>
      <c r="B1262" s="29" t="n">
        <v>46254.5851388889</v>
      </c>
      <c r="C1262" s="2" t="s">
        <v>158</v>
      </c>
      <c r="D1262" s="2" t="s">
        <v>1386</v>
      </c>
      <c r="E1262" s="2" t="s">
        <v>1387</v>
      </c>
      <c r="F1262" s="2" t="s">
        <v>108</v>
      </c>
      <c r="G1262" s="30" t="n">
        <v>43.5</v>
      </c>
      <c r="H1262" s="11" t="n">
        <v>599.55</v>
      </c>
      <c r="I1262" s="11" t="s">
        <v>155</v>
      </c>
      <c r="J1262" s="11" t="n">
        <v>131.03</v>
      </c>
      <c r="K1262" s="11" t="n">
        <v>114.95</v>
      </c>
      <c r="L1262" s="11" t="n">
        <v>0.5995</v>
      </c>
      <c r="M1262" s="11" t="n">
        <v>1.1991</v>
      </c>
      <c r="N1262" s="11" t="n">
        <v>1</v>
      </c>
      <c r="O1262" s="11" t="n">
        <v>4.5</v>
      </c>
      <c r="P1262" s="11" t="n">
        <v>2.64</v>
      </c>
      <c r="Q1262" s="11" t="n">
        <v>19.8</v>
      </c>
      <c r="R1262" s="11" t="n">
        <f aca="false">SUM(K1262:Q1262)</f>
        <v>144.6886</v>
      </c>
      <c r="S1262" s="11" t="n">
        <f aca="false">R1262/(1-Resumo!$C$6)</f>
        <v>164.418863636364</v>
      </c>
      <c r="T1262" s="11" t="n">
        <f aca="false">S1262-J1262</f>
        <v>33.3888636363637</v>
      </c>
      <c r="U1262" s="12" t="n">
        <f aca="false">IFERROR(S1262/J1262-1,0)</f>
        <v>0.254818466277674</v>
      </c>
      <c r="V1262" s="2" t="str">
        <f aca="false">IF(S1262&lt;J1262,"SIM","NÃO")</f>
        <v>NÃO</v>
      </c>
      <c r="W1262" s="2" t="n">
        <v>7</v>
      </c>
      <c r="X1262" s="2" t="s">
        <v>161</v>
      </c>
    </row>
    <row r="1263" customFormat="false" ht="15" hidden="false" customHeight="false" outlineLevel="0" collapsed="false">
      <c r="A1263" s="2" t="n">
        <v>379466347</v>
      </c>
      <c r="B1263" s="29" t="n">
        <v>46254.5868171296</v>
      </c>
      <c r="C1263" s="2" t="s">
        <v>158</v>
      </c>
      <c r="D1263" s="2" t="s">
        <v>1388</v>
      </c>
      <c r="E1263" s="2" t="s">
        <v>78</v>
      </c>
      <c r="F1263" s="2" t="s">
        <v>111</v>
      </c>
      <c r="G1263" s="30" t="n">
        <v>74.4</v>
      </c>
      <c r="H1263" s="11" t="n">
        <v>879.99</v>
      </c>
      <c r="I1263" s="11" t="s">
        <v>155</v>
      </c>
      <c r="J1263" s="11" t="n">
        <v>136.69</v>
      </c>
      <c r="K1263" s="11" t="n">
        <v>134.39</v>
      </c>
      <c r="L1263" s="11" t="n">
        <v>0.88</v>
      </c>
      <c r="M1263" s="11" t="n">
        <v>1.76</v>
      </c>
      <c r="N1263" s="11" t="n">
        <v>1</v>
      </c>
      <c r="O1263" s="11" t="n">
        <v>4.5</v>
      </c>
      <c r="P1263" s="11" t="n">
        <v>4.5</v>
      </c>
      <c r="Q1263" s="11" t="n">
        <v>33.75</v>
      </c>
      <c r="R1263" s="11" t="n">
        <f aca="false">SUM(K1263:Q1263)</f>
        <v>180.78</v>
      </c>
      <c r="S1263" s="11" t="n">
        <f aca="false">R1263/(1-Resumo!$C$6)</f>
        <v>205.431818181818</v>
      </c>
      <c r="T1263" s="11" t="n">
        <f aca="false">S1263-J1263</f>
        <v>68.7418181818182</v>
      </c>
      <c r="U1263" s="12" t="n">
        <f aca="false">IFERROR(S1263/J1263-1,0)</f>
        <v>0.502903052028811</v>
      </c>
      <c r="V1263" s="2" t="str">
        <f aca="false">IF(S1263&lt;J1263,"SIM","NÃO")</f>
        <v>NÃO</v>
      </c>
      <c r="W1263" s="2" t="n">
        <v>5</v>
      </c>
      <c r="X1263" s="2" t="s">
        <v>156</v>
      </c>
    </row>
    <row r="1264" customFormat="false" ht="15" hidden="false" customHeight="false" outlineLevel="0" collapsed="false">
      <c r="A1264" s="2" t="n">
        <v>379466272</v>
      </c>
      <c r="B1264" s="29" t="n">
        <v>46254.586875</v>
      </c>
      <c r="C1264" s="2" t="s">
        <v>153</v>
      </c>
      <c r="D1264" s="2" t="s">
        <v>317</v>
      </c>
      <c r="E1264" s="2" t="s">
        <v>78</v>
      </c>
      <c r="F1264" s="2" t="s">
        <v>108</v>
      </c>
      <c r="G1264" s="30" t="n">
        <v>48.3</v>
      </c>
      <c r="H1264" s="11" t="n">
        <v>449.99</v>
      </c>
      <c r="I1264" s="11" t="s">
        <v>155</v>
      </c>
      <c r="J1264" s="11" t="n">
        <v>102.74</v>
      </c>
      <c r="K1264" s="11" t="n">
        <v>93.97</v>
      </c>
      <c r="L1264" s="11" t="n">
        <v>0.45</v>
      </c>
      <c r="M1264" s="11" t="n">
        <v>0.9</v>
      </c>
      <c r="N1264" s="11" t="n">
        <v>1</v>
      </c>
      <c r="O1264" s="11" t="n">
        <v>4.5</v>
      </c>
      <c r="P1264" s="11" t="n">
        <v>2.94</v>
      </c>
      <c r="Q1264" s="11" t="n">
        <v>22.05</v>
      </c>
      <c r="R1264" s="11" t="n">
        <f aca="false">SUM(K1264:Q1264)</f>
        <v>125.81</v>
      </c>
      <c r="S1264" s="11" t="n">
        <f aca="false">R1264/(1-Resumo!$C$6)</f>
        <v>142.965909090909</v>
      </c>
      <c r="T1264" s="11" t="n">
        <f aca="false">S1264-J1264</f>
        <v>40.2259090909091</v>
      </c>
      <c r="U1264" s="12" t="n">
        <f aca="false">IFERROR(S1264/J1264-1,0)</f>
        <v>0.391531137735148</v>
      </c>
      <c r="V1264" s="2" t="str">
        <f aca="false">IF(S1264&lt;J1264,"SIM","NÃO")</f>
        <v>NÃO</v>
      </c>
      <c r="W1264" s="2" t="n">
        <v>5</v>
      </c>
      <c r="X1264" s="2" t="s">
        <v>156</v>
      </c>
    </row>
    <row r="1265" customFormat="false" ht="15" hidden="false" customHeight="false" outlineLevel="0" collapsed="false">
      <c r="A1265" s="2" t="n">
        <v>379475538</v>
      </c>
      <c r="B1265" s="29" t="n">
        <v>46254.6011805556</v>
      </c>
      <c r="C1265" s="2" t="s">
        <v>153</v>
      </c>
      <c r="D1265" s="2" t="s">
        <v>1389</v>
      </c>
      <c r="E1265" s="2" t="s">
        <v>81</v>
      </c>
      <c r="F1265" s="2" t="s">
        <v>108</v>
      </c>
      <c r="G1265" s="30" t="n">
        <v>48.3</v>
      </c>
      <c r="H1265" s="11" t="n">
        <v>449.99</v>
      </c>
      <c r="I1265" s="11" t="s">
        <v>155</v>
      </c>
      <c r="J1265" s="11" t="n">
        <v>116.23</v>
      </c>
      <c r="K1265" s="11" t="n">
        <v>93.97</v>
      </c>
      <c r="L1265" s="11" t="n">
        <v>0.45</v>
      </c>
      <c r="M1265" s="11" t="n">
        <v>0.9</v>
      </c>
      <c r="N1265" s="11" t="n">
        <v>1</v>
      </c>
      <c r="O1265" s="11" t="n">
        <v>4.5</v>
      </c>
      <c r="P1265" s="11" t="n">
        <v>2.94</v>
      </c>
      <c r="Q1265" s="11" t="n">
        <v>22.05</v>
      </c>
      <c r="R1265" s="11" t="n">
        <f aca="false">SUM(K1265:Q1265)</f>
        <v>125.81</v>
      </c>
      <c r="S1265" s="11" t="n">
        <f aca="false">R1265/(1-Resumo!$C$6)</f>
        <v>142.965909090909</v>
      </c>
      <c r="T1265" s="11" t="n">
        <f aca="false">S1265-J1265</f>
        <v>26.7359090909091</v>
      </c>
      <c r="U1265" s="12" t="n">
        <f aca="false">IFERROR(S1265/J1265-1,0)</f>
        <v>0.230025889107021</v>
      </c>
      <c r="V1265" s="2" t="str">
        <f aca="false">IF(S1265&lt;J1265,"SIM","NÃO")</f>
        <v>NÃO</v>
      </c>
      <c r="W1265" s="2" t="n">
        <v>5</v>
      </c>
      <c r="X1265" s="2" t="s">
        <v>156</v>
      </c>
    </row>
    <row r="1266" customFormat="false" ht="15" hidden="false" customHeight="false" outlineLevel="0" collapsed="false">
      <c r="A1266" s="2" t="n">
        <v>379483261</v>
      </c>
      <c r="B1266" s="29" t="n">
        <v>46254.608587963</v>
      </c>
      <c r="C1266" s="2" t="s">
        <v>191</v>
      </c>
      <c r="D1266" s="2" t="s">
        <v>318</v>
      </c>
      <c r="E1266" s="2" t="s">
        <v>78</v>
      </c>
      <c r="F1266" s="2" t="s">
        <v>108</v>
      </c>
      <c r="G1266" s="30" t="n">
        <v>46.8</v>
      </c>
      <c r="H1266" s="11" t="n">
        <v>499.37</v>
      </c>
      <c r="I1266" s="11" t="s">
        <v>155</v>
      </c>
      <c r="J1266" s="11" t="n">
        <v>102.98</v>
      </c>
      <c r="K1266" s="11" t="n">
        <v>93.97</v>
      </c>
      <c r="L1266" s="11" t="n">
        <v>0.4994</v>
      </c>
      <c r="M1266" s="11" t="n">
        <v>0.9987</v>
      </c>
      <c r="N1266" s="11" t="n">
        <v>1</v>
      </c>
      <c r="O1266" s="11" t="n">
        <v>4.5</v>
      </c>
      <c r="P1266" s="11" t="n">
        <v>2.82</v>
      </c>
      <c r="Q1266" s="11" t="n">
        <v>21.15</v>
      </c>
      <c r="R1266" s="11" t="n">
        <f aca="false">SUM(K1266:Q1266)</f>
        <v>124.9381</v>
      </c>
      <c r="S1266" s="11" t="n">
        <f aca="false">R1266/(1-Resumo!$C$6)</f>
        <v>141.975113636364</v>
      </c>
      <c r="T1266" s="11" t="n">
        <f aca="false">S1266-J1266</f>
        <v>38.9951136363636</v>
      </c>
      <c r="U1266" s="12" t="n">
        <f aca="false">IFERROR(S1266/J1266-1,0)</f>
        <v>0.378666863821748</v>
      </c>
      <c r="V1266" s="2" t="str">
        <f aca="false">IF(S1266&lt;J1266,"SIM","NÃO")</f>
        <v>NÃO</v>
      </c>
      <c r="W1266" s="2" t="n">
        <v>5</v>
      </c>
      <c r="X1266" s="2" t="s">
        <v>156</v>
      </c>
    </row>
    <row r="1267" customFormat="false" ht="15" hidden="false" customHeight="false" outlineLevel="0" collapsed="false">
      <c r="A1267" s="2" t="n">
        <v>379484552</v>
      </c>
      <c r="B1267" s="29" t="n">
        <v>46254.6122685185</v>
      </c>
      <c r="C1267" s="2" t="s">
        <v>153</v>
      </c>
      <c r="D1267" s="2" t="s">
        <v>1390</v>
      </c>
      <c r="E1267" s="2" t="s">
        <v>83</v>
      </c>
      <c r="F1267" s="2" t="s">
        <v>109</v>
      </c>
      <c r="G1267" s="30" t="n">
        <v>52.3</v>
      </c>
      <c r="H1267" s="11" t="n">
        <v>669.99</v>
      </c>
      <c r="I1267" s="11" t="s">
        <v>155</v>
      </c>
      <c r="J1267" s="11" t="n">
        <v>142.87</v>
      </c>
      <c r="K1267" s="11" t="n">
        <v>162.04</v>
      </c>
      <c r="L1267" s="11" t="n">
        <v>0.67</v>
      </c>
      <c r="M1267" s="11" t="n">
        <v>1.34</v>
      </c>
      <c r="N1267" s="11" t="n">
        <v>1</v>
      </c>
      <c r="O1267" s="11" t="n">
        <v>4.5</v>
      </c>
      <c r="P1267" s="11" t="n">
        <v>3.18</v>
      </c>
      <c r="Q1267" s="11" t="n">
        <v>23.85</v>
      </c>
      <c r="R1267" s="11" t="n">
        <f aca="false">SUM(K1267:Q1267)</f>
        <v>196.58</v>
      </c>
      <c r="S1267" s="11" t="n">
        <f aca="false">R1267/(1-Resumo!$C$6)</f>
        <v>223.386363636364</v>
      </c>
      <c r="T1267" s="11" t="n">
        <f aca="false">S1267-J1267</f>
        <v>80.5163636363636</v>
      </c>
      <c r="U1267" s="12" t="n">
        <f aca="false">IFERROR(S1267/J1267-1,0)</f>
        <v>0.563563824710321</v>
      </c>
      <c r="V1267" s="2" t="str">
        <f aca="false">IF(S1267&lt;J1267,"SIM","NÃO")</f>
        <v>NÃO</v>
      </c>
      <c r="W1267" s="2" t="n">
        <v>11</v>
      </c>
      <c r="X1267" s="2" t="s">
        <v>156</v>
      </c>
    </row>
    <row r="1268" customFormat="false" ht="15" hidden="false" customHeight="false" outlineLevel="0" collapsed="false">
      <c r="A1268" s="2" t="n">
        <v>379487360</v>
      </c>
      <c r="B1268" s="29" t="n">
        <v>46254.6159259259</v>
      </c>
      <c r="C1268" s="2" t="s">
        <v>153</v>
      </c>
      <c r="D1268" s="2" t="s">
        <v>990</v>
      </c>
      <c r="E1268" s="2" t="s">
        <v>78</v>
      </c>
      <c r="F1268" s="2" t="s">
        <v>109</v>
      </c>
      <c r="G1268" s="30" t="n">
        <v>52.3</v>
      </c>
      <c r="H1268" s="11" t="n">
        <v>669.99</v>
      </c>
      <c r="I1268" s="11" t="s">
        <v>155</v>
      </c>
      <c r="J1268" s="11" t="n">
        <v>114.36</v>
      </c>
      <c r="K1268" s="11" t="n">
        <v>112.3</v>
      </c>
      <c r="L1268" s="11" t="n">
        <v>0.67</v>
      </c>
      <c r="M1268" s="11" t="n">
        <v>1.34</v>
      </c>
      <c r="N1268" s="11" t="n">
        <v>1</v>
      </c>
      <c r="O1268" s="11" t="n">
        <v>4.5</v>
      </c>
      <c r="P1268" s="11" t="n">
        <v>3.18</v>
      </c>
      <c r="Q1268" s="11" t="n">
        <v>23.85</v>
      </c>
      <c r="R1268" s="11" t="n">
        <f aca="false">SUM(K1268:Q1268)</f>
        <v>146.84</v>
      </c>
      <c r="S1268" s="11" t="n">
        <f aca="false">R1268/(1-Resumo!$C$6)</f>
        <v>166.863636363636</v>
      </c>
      <c r="T1268" s="11" t="n">
        <f aca="false">S1268-J1268</f>
        <v>52.5036363636364</v>
      </c>
      <c r="U1268" s="12" t="n">
        <f aca="false">IFERROR(S1268/J1268-1,0)</f>
        <v>0.459108397723298</v>
      </c>
      <c r="V1268" s="2" t="str">
        <f aca="false">IF(S1268&lt;J1268,"SIM","NÃO")</f>
        <v>NÃO</v>
      </c>
      <c r="W1268" s="2" t="n">
        <v>5</v>
      </c>
      <c r="X1268" s="2" t="s">
        <v>156</v>
      </c>
    </row>
    <row r="1269" customFormat="false" ht="15" hidden="false" customHeight="false" outlineLevel="0" collapsed="false">
      <c r="A1269" s="2" t="n">
        <v>379500061</v>
      </c>
      <c r="B1269" s="29" t="n">
        <v>46254.633125</v>
      </c>
      <c r="C1269" s="2" t="s">
        <v>153</v>
      </c>
      <c r="D1269" s="2" t="s">
        <v>1391</v>
      </c>
      <c r="E1269" s="2" t="s">
        <v>80</v>
      </c>
      <c r="F1269" s="2" t="s">
        <v>110</v>
      </c>
      <c r="G1269" s="30" t="n">
        <v>63.9</v>
      </c>
      <c r="H1269" s="11" t="n">
        <v>730.98</v>
      </c>
      <c r="I1269" s="11" t="s">
        <v>155</v>
      </c>
      <c r="J1269" s="11" t="n">
        <v>139.93</v>
      </c>
      <c r="K1269" s="11" t="n">
        <v>131.02</v>
      </c>
      <c r="L1269" s="11" t="n">
        <v>0.731</v>
      </c>
      <c r="M1269" s="11" t="n">
        <v>1.462</v>
      </c>
      <c r="N1269" s="11" t="n">
        <v>1</v>
      </c>
      <c r="O1269" s="11" t="n">
        <v>4.5</v>
      </c>
      <c r="P1269" s="11" t="n">
        <v>3.84</v>
      </c>
      <c r="Q1269" s="11" t="n">
        <v>28.8</v>
      </c>
      <c r="R1269" s="11" t="n">
        <f aca="false">SUM(K1269:Q1269)</f>
        <v>171.353</v>
      </c>
      <c r="S1269" s="11" t="n">
        <f aca="false">R1269/(1-Resumo!$C$6)</f>
        <v>194.719318181818</v>
      </c>
      <c r="T1269" s="11" t="n">
        <f aca="false">S1269-J1269</f>
        <v>54.7893181818182</v>
      </c>
      <c r="U1269" s="12" t="n">
        <f aca="false">IFERROR(S1269/J1269-1,0)</f>
        <v>0.391548046750648</v>
      </c>
      <c r="V1269" s="2" t="str">
        <f aca="false">IF(S1269&lt;J1269,"SIM","NÃO")</f>
        <v>NÃO</v>
      </c>
      <c r="W1269" s="2" t="n">
        <v>5</v>
      </c>
      <c r="X1269" s="2" t="s">
        <v>156</v>
      </c>
    </row>
    <row r="1270" customFormat="false" ht="15" hidden="false" customHeight="false" outlineLevel="0" collapsed="false">
      <c r="A1270" s="2" t="n">
        <v>379505098</v>
      </c>
      <c r="B1270" s="29" t="n">
        <v>46254.6410648148</v>
      </c>
      <c r="C1270" s="2" t="s">
        <v>153</v>
      </c>
      <c r="D1270" s="2" t="s">
        <v>1392</v>
      </c>
      <c r="E1270" s="2" t="s">
        <v>78</v>
      </c>
      <c r="F1270" s="2" t="s">
        <v>109</v>
      </c>
      <c r="G1270" s="30" t="n">
        <v>52.3</v>
      </c>
      <c r="H1270" s="11" t="n">
        <v>669.99</v>
      </c>
      <c r="I1270" s="11" t="s">
        <v>155</v>
      </c>
      <c r="J1270" s="11" t="n">
        <v>114.36</v>
      </c>
      <c r="K1270" s="11" t="n">
        <v>112.3</v>
      </c>
      <c r="L1270" s="11" t="n">
        <v>0.67</v>
      </c>
      <c r="M1270" s="11" t="n">
        <v>1.34</v>
      </c>
      <c r="N1270" s="11" t="n">
        <v>1</v>
      </c>
      <c r="O1270" s="11" t="n">
        <v>4.5</v>
      </c>
      <c r="P1270" s="11" t="n">
        <v>3.18</v>
      </c>
      <c r="Q1270" s="11" t="n">
        <v>23.85</v>
      </c>
      <c r="R1270" s="11" t="n">
        <f aca="false">SUM(K1270:Q1270)</f>
        <v>146.84</v>
      </c>
      <c r="S1270" s="11" t="n">
        <f aca="false">R1270/(1-Resumo!$C$6)</f>
        <v>166.863636363636</v>
      </c>
      <c r="T1270" s="11" t="n">
        <f aca="false">S1270-J1270</f>
        <v>52.5036363636364</v>
      </c>
      <c r="U1270" s="12" t="n">
        <f aca="false">IFERROR(S1270/J1270-1,0)</f>
        <v>0.459108397723298</v>
      </c>
      <c r="V1270" s="2" t="str">
        <f aca="false">IF(S1270&lt;J1270,"SIM","NÃO")</f>
        <v>NÃO</v>
      </c>
      <c r="W1270" s="2" t="n">
        <v>5</v>
      </c>
      <c r="X1270" s="2" t="s">
        <v>156</v>
      </c>
    </row>
    <row r="1271" customFormat="false" ht="15" hidden="false" customHeight="false" outlineLevel="0" collapsed="false">
      <c r="A1271" s="2" t="n">
        <v>379506040</v>
      </c>
      <c r="B1271" s="29" t="n">
        <v>46254.6428703704</v>
      </c>
      <c r="C1271" s="2" t="s">
        <v>158</v>
      </c>
      <c r="D1271" s="2" t="s">
        <v>1393</v>
      </c>
      <c r="E1271" s="2" t="s">
        <v>78</v>
      </c>
      <c r="F1271" s="2" t="s">
        <v>109</v>
      </c>
      <c r="G1271" s="30" t="n">
        <v>52.3</v>
      </c>
      <c r="H1271" s="11" t="n">
        <v>604.56</v>
      </c>
      <c r="I1271" s="11" t="s">
        <v>155</v>
      </c>
      <c r="J1271" s="11" t="n">
        <v>114.05</v>
      </c>
      <c r="K1271" s="11" t="n">
        <v>112.3</v>
      </c>
      <c r="L1271" s="11" t="n">
        <v>0.6046</v>
      </c>
      <c r="M1271" s="11" t="n">
        <v>1.2091</v>
      </c>
      <c r="N1271" s="11" t="n">
        <v>1</v>
      </c>
      <c r="O1271" s="11" t="n">
        <v>4.5</v>
      </c>
      <c r="P1271" s="11" t="n">
        <v>3.18</v>
      </c>
      <c r="Q1271" s="11" t="n">
        <v>23.85</v>
      </c>
      <c r="R1271" s="11" t="n">
        <f aca="false">SUM(K1271:Q1271)</f>
        <v>146.6437</v>
      </c>
      <c r="S1271" s="11" t="n">
        <f aca="false">R1271/(1-Resumo!$C$6)</f>
        <v>166.640568181818</v>
      </c>
      <c r="T1271" s="11" t="n">
        <f aca="false">S1271-J1271</f>
        <v>52.5905681818182</v>
      </c>
      <c r="U1271" s="12" t="n">
        <f aca="false">IFERROR(S1271/J1271-1,0)</f>
        <v>0.461118528556056</v>
      </c>
      <c r="V1271" s="2" t="str">
        <f aca="false">IF(S1271&lt;J1271,"SIM","NÃO")</f>
        <v>NÃO</v>
      </c>
      <c r="W1271" s="2" t="n">
        <v>5</v>
      </c>
      <c r="X1271" s="2" t="s">
        <v>156</v>
      </c>
    </row>
    <row r="1272" customFormat="false" ht="15" hidden="false" customHeight="false" outlineLevel="0" collapsed="false">
      <c r="A1272" s="2" t="n">
        <v>379517052</v>
      </c>
      <c r="B1272" s="29" t="n">
        <v>46254.6625810185</v>
      </c>
      <c r="C1272" s="2" t="s">
        <v>198</v>
      </c>
      <c r="D1272" s="2" t="s">
        <v>1394</v>
      </c>
      <c r="E1272" s="2" t="s">
        <v>87</v>
      </c>
      <c r="F1272" s="2" t="s">
        <v>106</v>
      </c>
      <c r="G1272" s="30" t="n">
        <v>27.6</v>
      </c>
      <c r="H1272" s="11" t="n">
        <v>593.99</v>
      </c>
      <c r="I1272" s="11" t="s">
        <v>155</v>
      </c>
      <c r="J1272" s="11" t="n">
        <v>110.03</v>
      </c>
      <c r="K1272" s="11" t="n">
        <v>108.83</v>
      </c>
      <c r="L1272" s="11" t="n">
        <v>0.594</v>
      </c>
      <c r="M1272" s="11" t="n">
        <v>1.188</v>
      </c>
      <c r="N1272" s="11" t="n">
        <v>1</v>
      </c>
      <c r="O1272" s="11" t="n">
        <v>4.5</v>
      </c>
      <c r="P1272" s="11" t="n">
        <v>1.68</v>
      </c>
      <c r="Q1272" s="11" t="n">
        <v>12.6</v>
      </c>
      <c r="R1272" s="11" t="n">
        <f aca="false">SUM(K1272:Q1272)</f>
        <v>130.392</v>
      </c>
      <c r="S1272" s="11" t="n">
        <f aca="false">R1272/(1-Resumo!$C$6)</f>
        <v>148.172727272727</v>
      </c>
      <c r="T1272" s="11" t="n">
        <f aca="false">S1272-J1272</f>
        <v>38.1427272727273</v>
      </c>
      <c r="U1272" s="12" t="n">
        <f aca="false">IFERROR(S1272/J1272-1,0)</f>
        <v>0.346657523154842</v>
      </c>
      <c r="V1272" s="2" t="str">
        <f aca="false">IF(S1272&lt;J1272,"SIM","NÃO")</f>
        <v>NÃO</v>
      </c>
      <c r="W1272" s="2" t="n">
        <v>10</v>
      </c>
      <c r="X1272" s="2" t="s">
        <v>156</v>
      </c>
    </row>
    <row r="1273" customFormat="false" ht="15" hidden="false" customHeight="false" outlineLevel="0" collapsed="false">
      <c r="A1273" s="2" t="n">
        <v>379520540</v>
      </c>
      <c r="B1273" s="29" t="n">
        <v>46254.6690509259</v>
      </c>
      <c r="C1273" s="2" t="s">
        <v>153</v>
      </c>
      <c r="D1273" s="2" t="s">
        <v>1395</v>
      </c>
      <c r="E1273" s="2" t="s">
        <v>81</v>
      </c>
      <c r="F1273" s="2" t="s">
        <v>108</v>
      </c>
      <c r="G1273" s="30" t="n">
        <v>49.6</v>
      </c>
      <c r="H1273" s="11" t="n">
        <v>749.99</v>
      </c>
      <c r="I1273" s="11" t="s">
        <v>155</v>
      </c>
      <c r="J1273" s="11" t="n">
        <v>117.67</v>
      </c>
      <c r="K1273" s="11" t="n">
        <v>93.97</v>
      </c>
      <c r="L1273" s="11" t="n">
        <v>0.75</v>
      </c>
      <c r="M1273" s="11" t="n">
        <v>1.5</v>
      </c>
      <c r="N1273" s="11" t="n">
        <v>1</v>
      </c>
      <c r="O1273" s="11" t="n">
        <v>4.5</v>
      </c>
      <c r="P1273" s="11" t="n">
        <v>3</v>
      </c>
      <c r="Q1273" s="11" t="n">
        <v>22.5</v>
      </c>
      <c r="R1273" s="11" t="n">
        <f aca="false">SUM(K1273:Q1273)</f>
        <v>127.22</v>
      </c>
      <c r="S1273" s="11" t="n">
        <f aca="false">R1273/(1-Resumo!$C$6)</f>
        <v>144.568181818182</v>
      </c>
      <c r="T1273" s="11" t="n">
        <f aca="false">S1273-J1273</f>
        <v>26.8981818181818</v>
      </c>
      <c r="U1273" s="12" t="n">
        <f aca="false">IFERROR(S1273/J1273-1,0)</f>
        <v>0.228589970410315</v>
      </c>
      <c r="V1273" s="2" t="str">
        <f aca="false">IF(S1273&lt;J1273,"SIM","NÃO")</f>
        <v>NÃO</v>
      </c>
      <c r="W1273" s="2" t="n">
        <v>5</v>
      </c>
      <c r="X1273" s="2" t="s">
        <v>156</v>
      </c>
    </row>
    <row r="1274" customFormat="false" ht="15" hidden="false" customHeight="false" outlineLevel="0" collapsed="false">
      <c r="A1274" s="2" t="n">
        <v>379531388</v>
      </c>
      <c r="B1274" s="29" t="n">
        <v>46254.6900115741</v>
      </c>
      <c r="C1274" s="2" t="s">
        <v>158</v>
      </c>
      <c r="D1274" s="2" t="s">
        <v>1396</v>
      </c>
      <c r="E1274" s="2" t="s">
        <v>78</v>
      </c>
      <c r="F1274" s="2" t="s">
        <v>109</v>
      </c>
      <c r="G1274" s="30" t="n">
        <v>52.3</v>
      </c>
      <c r="H1274" s="11" t="n">
        <v>616.99</v>
      </c>
      <c r="I1274" s="11" t="s">
        <v>155</v>
      </c>
      <c r="J1274" s="11" t="n">
        <v>114.09</v>
      </c>
      <c r="K1274" s="11" t="n">
        <v>112.3</v>
      </c>
      <c r="L1274" s="11" t="n">
        <v>0.617</v>
      </c>
      <c r="M1274" s="11" t="n">
        <v>1.234</v>
      </c>
      <c r="N1274" s="11" t="n">
        <v>1</v>
      </c>
      <c r="O1274" s="11" t="n">
        <v>4.5</v>
      </c>
      <c r="P1274" s="11" t="n">
        <v>3.18</v>
      </c>
      <c r="Q1274" s="11" t="n">
        <v>23.85</v>
      </c>
      <c r="R1274" s="11" t="n">
        <f aca="false">SUM(K1274:Q1274)</f>
        <v>146.681</v>
      </c>
      <c r="S1274" s="11" t="n">
        <f aca="false">R1274/(1-Resumo!$C$6)</f>
        <v>166.682954545455</v>
      </c>
      <c r="T1274" s="11" t="n">
        <f aca="false">S1274-J1274</f>
        <v>52.5929545454545</v>
      </c>
      <c r="U1274" s="12" t="n">
        <f aca="false">IFERROR(S1274/J1274-1,0)</f>
        <v>0.460977776715352</v>
      </c>
      <c r="V1274" s="2" t="str">
        <f aca="false">IF(S1274&lt;J1274,"SIM","NÃO")</f>
        <v>NÃO</v>
      </c>
      <c r="W1274" s="2" t="n">
        <v>5</v>
      </c>
      <c r="X1274" s="2" t="s">
        <v>156</v>
      </c>
    </row>
    <row r="1275" customFormat="false" ht="15" hidden="false" customHeight="false" outlineLevel="0" collapsed="false">
      <c r="A1275" s="2" t="n">
        <v>379559166</v>
      </c>
      <c r="B1275" s="29" t="n">
        <v>46254.7420601852</v>
      </c>
      <c r="C1275" s="2" t="s">
        <v>158</v>
      </c>
      <c r="D1275" s="2" t="s">
        <v>1397</v>
      </c>
      <c r="E1275" s="2" t="s">
        <v>78</v>
      </c>
      <c r="F1275" s="2" t="s">
        <v>109</v>
      </c>
      <c r="G1275" s="30" t="n">
        <v>55</v>
      </c>
      <c r="H1275" s="11" t="n">
        <v>799.96</v>
      </c>
      <c r="I1275" s="11" t="s">
        <v>155</v>
      </c>
      <c r="J1275" s="11" t="n">
        <v>114.99</v>
      </c>
      <c r="K1275" s="11" t="n">
        <v>112.3</v>
      </c>
      <c r="L1275" s="11" t="n">
        <v>0.8</v>
      </c>
      <c r="M1275" s="11" t="n">
        <v>1.5999</v>
      </c>
      <c r="N1275" s="11" t="n">
        <v>1</v>
      </c>
      <c r="O1275" s="11" t="n">
        <v>4.5</v>
      </c>
      <c r="P1275" s="11" t="n">
        <v>3.3</v>
      </c>
      <c r="Q1275" s="11" t="n">
        <v>24.75</v>
      </c>
      <c r="R1275" s="11" t="n">
        <f aca="false">SUM(K1275:Q1275)</f>
        <v>148.2499</v>
      </c>
      <c r="S1275" s="11" t="n">
        <f aca="false">R1275/(1-Resumo!$C$6)</f>
        <v>168.465795454545</v>
      </c>
      <c r="T1275" s="11" t="n">
        <f aca="false">S1275-J1275</f>
        <v>53.4757954545455</v>
      </c>
      <c r="U1275" s="12" t="n">
        <f aca="false">IFERROR(S1275/J1275-1,0)</f>
        <v>0.46504735589656</v>
      </c>
      <c r="V1275" s="2" t="str">
        <f aca="false">IF(S1275&lt;J1275,"SIM","NÃO")</f>
        <v>NÃO</v>
      </c>
      <c r="W1275" s="2" t="n">
        <v>5</v>
      </c>
      <c r="X1275" s="2" t="s">
        <v>156</v>
      </c>
    </row>
    <row r="1276" customFormat="false" ht="15" hidden="false" customHeight="false" outlineLevel="0" collapsed="false">
      <c r="A1276" s="2" t="n">
        <v>379565278</v>
      </c>
      <c r="B1276" s="29" t="n">
        <v>46254.7513541667</v>
      </c>
      <c r="C1276" s="2" t="s">
        <v>191</v>
      </c>
      <c r="D1276" s="2" t="s">
        <v>1398</v>
      </c>
      <c r="E1276" s="2" t="s">
        <v>78</v>
      </c>
      <c r="F1276" s="2" t="s">
        <v>106</v>
      </c>
      <c r="G1276" s="30" t="n">
        <v>22.4</v>
      </c>
      <c r="H1276" s="11" t="n">
        <v>495.99</v>
      </c>
      <c r="I1276" s="11" t="s">
        <v>155</v>
      </c>
      <c r="J1276" s="11" t="n">
        <v>82.69</v>
      </c>
      <c r="K1276" s="11" t="n">
        <v>82.21</v>
      </c>
      <c r="L1276" s="11" t="n">
        <v>0.496</v>
      </c>
      <c r="M1276" s="11" t="n">
        <v>0.992</v>
      </c>
      <c r="N1276" s="11" t="n">
        <v>1</v>
      </c>
      <c r="O1276" s="11" t="n">
        <v>4.5</v>
      </c>
      <c r="P1276" s="11" t="n">
        <v>1.38</v>
      </c>
      <c r="Q1276" s="11" t="n">
        <v>10.35</v>
      </c>
      <c r="R1276" s="11" t="n">
        <f aca="false">SUM(K1276:Q1276)</f>
        <v>100.928</v>
      </c>
      <c r="S1276" s="11" t="n">
        <f aca="false">R1276/(1-Resumo!$C$6)</f>
        <v>114.690909090909</v>
      </c>
      <c r="T1276" s="11" t="n">
        <f aca="false">S1276-J1276</f>
        <v>32.0009090909091</v>
      </c>
      <c r="U1276" s="12" t="n">
        <f aca="false">IFERROR(S1276/J1276-1,0)</f>
        <v>0.386998537802746</v>
      </c>
      <c r="V1276" s="2" t="str">
        <f aca="false">IF(S1276&lt;J1276,"SIM","NÃO")</f>
        <v>NÃO</v>
      </c>
      <c r="W1276" s="2" t="n">
        <v>5</v>
      </c>
      <c r="X1276" s="2" t="s">
        <v>156</v>
      </c>
    </row>
    <row r="1277" customFormat="false" ht="15" hidden="false" customHeight="false" outlineLevel="0" collapsed="false">
      <c r="A1277" s="2" t="n">
        <v>379575951</v>
      </c>
      <c r="B1277" s="29" t="n">
        <v>46254.7682291667</v>
      </c>
      <c r="C1277" s="2" t="s">
        <v>153</v>
      </c>
      <c r="D1277" s="2" t="s">
        <v>1399</v>
      </c>
      <c r="E1277" s="2" t="s">
        <v>650</v>
      </c>
      <c r="F1277" s="2" t="s">
        <v>110</v>
      </c>
      <c r="G1277" s="30" t="n">
        <v>63.9</v>
      </c>
      <c r="H1277" s="11" t="n">
        <v>730.98</v>
      </c>
      <c r="I1277" s="11" t="s">
        <v>155</v>
      </c>
      <c r="J1277" s="11" t="n">
        <v>155.51</v>
      </c>
      <c r="K1277" s="11" t="n">
        <v>166.05</v>
      </c>
      <c r="L1277" s="11" t="n">
        <v>0.731</v>
      </c>
      <c r="M1277" s="11" t="n">
        <v>1.462</v>
      </c>
      <c r="N1277" s="11" t="n">
        <v>1</v>
      </c>
      <c r="O1277" s="11" t="n">
        <v>4.5</v>
      </c>
      <c r="P1277" s="11" t="n">
        <v>3.84</v>
      </c>
      <c r="Q1277" s="11" t="n">
        <v>28.8</v>
      </c>
      <c r="R1277" s="11" t="n">
        <f aca="false">SUM(K1277:Q1277)</f>
        <v>206.383</v>
      </c>
      <c r="S1277" s="11" t="n">
        <f aca="false">R1277/(1-Resumo!$C$6)</f>
        <v>234.526136363636</v>
      </c>
      <c r="T1277" s="11" t="n">
        <f aca="false">S1277-J1277</f>
        <v>79.0161363636364</v>
      </c>
      <c r="U1277" s="12" t="n">
        <f aca="false">IFERROR(S1277/J1277-1,0)</f>
        <v>0.50810968017257</v>
      </c>
      <c r="V1277" s="2" t="str">
        <f aca="false">IF(S1277&lt;J1277,"SIM","NÃO")</f>
        <v>NÃO</v>
      </c>
      <c r="W1277" s="2" t="n">
        <v>10</v>
      </c>
      <c r="X1277" s="2" t="s">
        <v>161</v>
      </c>
    </row>
    <row r="1278" customFormat="false" ht="15" hidden="false" customHeight="false" outlineLevel="0" collapsed="false">
      <c r="A1278" s="2" t="n">
        <v>379595131</v>
      </c>
      <c r="B1278" s="29" t="n">
        <v>46254.7933680556</v>
      </c>
      <c r="C1278" s="2" t="s">
        <v>153</v>
      </c>
      <c r="D1278" s="2" t="s">
        <v>1400</v>
      </c>
      <c r="E1278" s="2" t="s">
        <v>81</v>
      </c>
      <c r="F1278" s="2" t="s">
        <v>107</v>
      </c>
      <c r="G1278" s="30" t="n">
        <v>37.2</v>
      </c>
      <c r="H1278" s="11" t="n">
        <v>399.99</v>
      </c>
      <c r="I1278" s="11" t="s">
        <v>155</v>
      </c>
      <c r="J1278" s="11" t="n">
        <v>112.88</v>
      </c>
      <c r="K1278" s="11" t="n">
        <v>93.97</v>
      </c>
      <c r="L1278" s="11" t="n">
        <v>0.4</v>
      </c>
      <c r="M1278" s="11" t="n">
        <v>0.8</v>
      </c>
      <c r="N1278" s="11" t="n">
        <v>1</v>
      </c>
      <c r="O1278" s="11" t="n">
        <v>4.5</v>
      </c>
      <c r="P1278" s="11" t="n">
        <v>2.28</v>
      </c>
      <c r="Q1278" s="11" t="n">
        <v>17.1</v>
      </c>
      <c r="R1278" s="11" t="n">
        <f aca="false">SUM(K1278:Q1278)</f>
        <v>120.05</v>
      </c>
      <c r="S1278" s="11" t="n">
        <f aca="false">R1278/(1-Resumo!$C$6)</f>
        <v>136.420454545455</v>
      </c>
      <c r="T1278" s="11" t="n">
        <f aca="false">S1278-J1278</f>
        <v>23.5404545454546</v>
      </c>
      <c r="U1278" s="12" t="n">
        <f aca="false">IFERROR(S1278/J1278-1,0)</f>
        <v>0.20854406932543</v>
      </c>
      <c r="V1278" s="2" t="str">
        <f aca="false">IF(S1278&lt;J1278,"SIM","NÃO")</f>
        <v>NÃO</v>
      </c>
      <c r="W1278" s="2" t="n">
        <v>5</v>
      </c>
      <c r="X1278" s="2" t="s">
        <v>156</v>
      </c>
    </row>
    <row r="1279" customFormat="false" ht="15" hidden="false" customHeight="false" outlineLevel="0" collapsed="false">
      <c r="A1279" s="2" t="n">
        <v>379602282</v>
      </c>
      <c r="B1279" s="29" t="n">
        <v>46254.8034953704</v>
      </c>
      <c r="C1279" s="2" t="s">
        <v>153</v>
      </c>
      <c r="D1279" s="2" t="s">
        <v>1401</v>
      </c>
      <c r="E1279" s="2" t="s">
        <v>212</v>
      </c>
      <c r="F1279" s="2" t="s">
        <v>108</v>
      </c>
      <c r="G1279" s="30" t="n">
        <v>45</v>
      </c>
      <c r="H1279" s="11" t="n">
        <v>599.99</v>
      </c>
      <c r="I1279" s="11" t="s">
        <v>155</v>
      </c>
      <c r="J1279" s="11" t="n">
        <v>131.03</v>
      </c>
      <c r="K1279" s="11" t="n">
        <v>103.97</v>
      </c>
      <c r="L1279" s="11" t="n">
        <v>0.6</v>
      </c>
      <c r="M1279" s="11" t="n">
        <v>1.2</v>
      </c>
      <c r="N1279" s="11" t="n">
        <v>1</v>
      </c>
      <c r="O1279" s="11" t="n">
        <v>4.5</v>
      </c>
      <c r="P1279" s="11" t="n">
        <v>2.7</v>
      </c>
      <c r="Q1279" s="11" t="n">
        <v>20.25</v>
      </c>
      <c r="R1279" s="11" t="n">
        <f aca="false">SUM(K1279:Q1279)</f>
        <v>134.22</v>
      </c>
      <c r="S1279" s="11" t="n">
        <f aca="false">R1279/(1-Resumo!$C$6)</f>
        <v>152.522727272727</v>
      </c>
      <c r="T1279" s="11" t="n">
        <f aca="false">S1279-J1279</f>
        <v>21.4927272727273</v>
      </c>
      <c r="U1279" s="12" t="n">
        <f aca="false">IFERROR(S1279/J1279-1,0)</f>
        <v>0.16402905649643</v>
      </c>
      <c r="V1279" s="2" t="str">
        <f aca="false">IF(S1279&lt;J1279,"SIM","NÃO")</f>
        <v>NÃO</v>
      </c>
      <c r="W1279" s="2" t="n">
        <v>5</v>
      </c>
      <c r="X1279" s="2" t="s">
        <v>161</v>
      </c>
    </row>
    <row r="1280" customFormat="false" ht="15" hidden="false" customHeight="false" outlineLevel="0" collapsed="false">
      <c r="A1280" s="2" t="n">
        <v>379603182</v>
      </c>
      <c r="B1280" s="29" t="n">
        <v>46254.8053356482</v>
      </c>
      <c r="C1280" s="2" t="s">
        <v>158</v>
      </c>
      <c r="D1280" s="2" t="s">
        <v>1402</v>
      </c>
      <c r="E1280" s="2" t="s">
        <v>78</v>
      </c>
      <c r="F1280" s="2" t="s">
        <v>112</v>
      </c>
      <c r="G1280" s="30" t="n">
        <v>81.7</v>
      </c>
      <c r="H1280" s="11" t="n">
        <v>623</v>
      </c>
      <c r="I1280" s="11" t="s">
        <v>155</v>
      </c>
      <c r="J1280" s="11" t="n">
        <v>162.09</v>
      </c>
      <c r="K1280" s="11" t="n">
        <v>167.99</v>
      </c>
      <c r="L1280" s="11" t="n">
        <v>0.623</v>
      </c>
      <c r="M1280" s="11" t="n">
        <v>1.246</v>
      </c>
      <c r="N1280" s="11" t="n">
        <v>1</v>
      </c>
      <c r="O1280" s="11" t="n">
        <v>4.5</v>
      </c>
      <c r="P1280" s="11" t="n">
        <v>4.92</v>
      </c>
      <c r="Q1280" s="11" t="n">
        <v>36.9</v>
      </c>
      <c r="R1280" s="11" t="n">
        <f aca="false">SUM(K1280:Q1280)</f>
        <v>217.179</v>
      </c>
      <c r="S1280" s="11" t="n">
        <f aca="false">R1280/(1-Resumo!$C$6)</f>
        <v>246.794318181818</v>
      </c>
      <c r="T1280" s="11" t="n">
        <f aca="false">S1280-J1280</f>
        <v>84.7043181818182</v>
      </c>
      <c r="U1280" s="12" t="n">
        <f aca="false">IFERROR(S1280/J1280-1,0)</f>
        <v>0.522575841704104</v>
      </c>
      <c r="V1280" s="2" t="str">
        <f aca="false">IF(S1280&lt;J1280,"SIM","NÃO")</f>
        <v>NÃO</v>
      </c>
      <c r="W1280" s="2" t="n">
        <v>5</v>
      </c>
      <c r="X1280" s="2" t="s">
        <v>156</v>
      </c>
    </row>
    <row r="1281" customFormat="false" ht="15" hidden="false" customHeight="false" outlineLevel="0" collapsed="false">
      <c r="A1281" s="2" t="n">
        <v>379606766</v>
      </c>
      <c r="B1281" s="29" t="n">
        <v>46254.8145833333</v>
      </c>
      <c r="C1281" s="2" t="s">
        <v>191</v>
      </c>
      <c r="D1281" s="2" t="s">
        <v>1403</v>
      </c>
      <c r="E1281" s="2" t="s">
        <v>85</v>
      </c>
      <c r="F1281" s="2" t="s">
        <v>114</v>
      </c>
      <c r="G1281" s="30" t="n">
        <v>124.2</v>
      </c>
      <c r="H1281" s="11" t="n">
        <v>1999.99</v>
      </c>
      <c r="I1281" s="11" t="s">
        <v>155</v>
      </c>
      <c r="J1281" s="11" t="n">
        <v>262.87</v>
      </c>
      <c r="K1281" s="11" t="n">
        <v>264.84</v>
      </c>
      <c r="L1281" s="11" t="n">
        <v>2</v>
      </c>
      <c r="M1281" s="11" t="n">
        <v>4</v>
      </c>
      <c r="N1281" s="11" t="n">
        <v>1</v>
      </c>
      <c r="O1281" s="11" t="n">
        <v>9</v>
      </c>
      <c r="P1281" s="11" t="n">
        <v>7.5</v>
      </c>
      <c r="Q1281" s="11" t="n">
        <v>56.25</v>
      </c>
      <c r="R1281" s="11" t="n">
        <f aca="false">SUM(K1281:Q1281)</f>
        <v>344.59</v>
      </c>
      <c r="S1281" s="11" t="n">
        <f aca="false">R1281/(1-Resumo!$C$6)</f>
        <v>391.579545454545</v>
      </c>
      <c r="T1281" s="11" t="n">
        <f aca="false">S1281-J1281</f>
        <v>128.709545454545</v>
      </c>
      <c r="U1281" s="12" t="n">
        <f aca="false">IFERROR(S1281/J1281-1,0)</f>
        <v>0.489631930058757</v>
      </c>
      <c r="V1281" s="2" t="str">
        <f aca="false">IF(S1281&lt;J1281,"SIM","NÃO")</f>
        <v>NÃO</v>
      </c>
      <c r="W1281" s="2" t="n">
        <v>11</v>
      </c>
      <c r="X1281" s="2" t="s">
        <v>156</v>
      </c>
    </row>
    <row r="1282" customFormat="false" ht="15" hidden="false" customHeight="false" outlineLevel="0" collapsed="false">
      <c r="A1282" s="2" t="n">
        <v>379612717</v>
      </c>
      <c r="B1282" s="29" t="n">
        <v>46254.824212963</v>
      </c>
      <c r="C1282" s="2" t="s">
        <v>191</v>
      </c>
      <c r="D1282" s="2" t="s">
        <v>1404</v>
      </c>
      <c r="E1282" s="2" t="s">
        <v>82</v>
      </c>
      <c r="F1282" s="2" t="s">
        <v>108</v>
      </c>
      <c r="G1282" s="30" t="n">
        <v>41</v>
      </c>
      <c r="H1282" s="11" t="n">
        <v>475.99</v>
      </c>
      <c r="I1282" s="11" t="s">
        <v>155</v>
      </c>
      <c r="J1282" s="11" t="n">
        <v>116.35</v>
      </c>
      <c r="K1282" s="11" t="n">
        <v>114.95</v>
      </c>
      <c r="L1282" s="11" t="n">
        <v>0.476</v>
      </c>
      <c r="M1282" s="11" t="n">
        <v>0.952</v>
      </c>
      <c r="N1282" s="11" t="n">
        <v>1</v>
      </c>
      <c r="O1282" s="11" t="n">
        <v>4.5</v>
      </c>
      <c r="P1282" s="11" t="n">
        <v>2.46</v>
      </c>
      <c r="Q1282" s="11" t="n">
        <v>18.45</v>
      </c>
      <c r="R1282" s="11" t="n">
        <f aca="false">SUM(K1282:Q1282)</f>
        <v>142.788</v>
      </c>
      <c r="S1282" s="11" t="n">
        <f aca="false">R1282/(1-Resumo!$C$6)</f>
        <v>162.259090909091</v>
      </c>
      <c r="T1282" s="11" t="n">
        <f aca="false">S1282-J1282</f>
        <v>45.9090909090909</v>
      </c>
      <c r="U1282" s="12" t="n">
        <f aca="false">IFERROR(S1282/J1282-1,0)</f>
        <v>0.394577489549557</v>
      </c>
      <c r="V1282" s="2" t="str">
        <f aca="false">IF(S1282&lt;J1282,"SIM","NÃO")</f>
        <v>NÃO</v>
      </c>
      <c r="W1282" s="2" t="n">
        <v>7</v>
      </c>
      <c r="X1282" s="2" t="s">
        <v>156</v>
      </c>
    </row>
    <row r="1283" customFormat="false" ht="15" hidden="false" customHeight="false" outlineLevel="0" collapsed="false">
      <c r="A1283" s="2" t="n">
        <v>379636311</v>
      </c>
      <c r="B1283" s="29" t="n">
        <v>46254.8656597222</v>
      </c>
      <c r="C1283" s="2" t="s">
        <v>158</v>
      </c>
      <c r="D1283" s="2" t="s">
        <v>1405</v>
      </c>
      <c r="E1283" s="2" t="s">
        <v>83</v>
      </c>
      <c r="F1283" s="2" t="s">
        <v>112</v>
      </c>
      <c r="G1283" s="30" t="n">
        <v>81.7</v>
      </c>
      <c r="H1283" s="11" t="n">
        <v>669.99</v>
      </c>
      <c r="I1283" s="11" t="s">
        <v>155</v>
      </c>
      <c r="J1283" s="11" t="n">
        <v>191.81</v>
      </c>
      <c r="K1283" s="11" t="n">
        <v>200.04</v>
      </c>
      <c r="L1283" s="11" t="n">
        <v>0.67</v>
      </c>
      <c r="M1283" s="11" t="n">
        <v>1.34</v>
      </c>
      <c r="N1283" s="11" t="n">
        <v>1</v>
      </c>
      <c r="O1283" s="11" t="n">
        <v>4.5</v>
      </c>
      <c r="P1283" s="11" t="n">
        <v>4.92</v>
      </c>
      <c r="Q1283" s="11" t="n">
        <v>36.9</v>
      </c>
      <c r="R1283" s="11" t="n">
        <f aca="false">SUM(K1283:Q1283)</f>
        <v>249.37</v>
      </c>
      <c r="S1283" s="11" t="n">
        <f aca="false">R1283/(1-Resumo!$C$6)</f>
        <v>283.375</v>
      </c>
      <c r="T1283" s="11" t="n">
        <f aca="false">S1283-J1283</f>
        <v>91.565</v>
      </c>
      <c r="U1283" s="12" t="n">
        <f aca="false">IFERROR(S1283/J1283-1,0)</f>
        <v>0.47737344246911</v>
      </c>
      <c r="V1283" s="2" t="str">
        <f aca="false">IF(S1283&lt;J1283,"SIM","NÃO")</f>
        <v>NÃO</v>
      </c>
      <c r="W1283" s="2" t="n">
        <v>11</v>
      </c>
      <c r="X1283" s="2" t="s">
        <v>156</v>
      </c>
    </row>
    <row r="1284" customFormat="false" ht="15" hidden="false" customHeight="false" outlineLevel="0" collapsed="false">
      <c r="A1284" s="2" t="n">
        <v>379662374</v>
      </c>
      <c r="B1284" s="29" t="n">
        <v>46254.9103819444</v>
      </c>
      <c r="C1284" s="2" t="s">
        <v>153</v>
      </c>
      <c r="D1284" s="2" t="s">
        <v>1406</v>
      </c>
      <c r="E1284" s="2" t="s">
        <v>78</v>
      </c>
      <c r="F1284" s="2" t="s">
        <v>108</v>
      </c>
      <c r="G1284" s="30" t="n">
        <v>48.3</v>
      </c>
      <c r="H1284" s="11" t="n">
        <v>439.99</v>
      </c>
      <c r="I1284" s="11" t="s">
        <v>155</v>
      </c>
      <c r="J1284" s="11" t="n">
        <v>102.69</v>
      </c>
      <c r="K1284" s="11" t="n">
        <v>93.97</v>
      </c>
      <c r="L1284" s="11" t="n">
        <v>0.44</v>
      </c>
      <c r="M1284" s="11" t="n">
        <v>0.88</v>
      </c>
      <c r="N1284" s="11" t="n">
        <v>1</v>
      </c>
      <c r="O1284" s="11" t="n">
        <v>4.5</v>
      </c>
      <c r="P1284" s="11" t="n">
        <v>2.94</v>
      </c>
      <c r="Q1284" s="11" t="n">
        <v>22.05</v>
      </c>
      <c r="R1284" s="11" t="n">
        <f aca="false">SUM(K1284:Q1284)</f>
        <v>125.78</v>
      </c>
      <c r="S1284" s="11" t="n">
        <f aca="false">R1284/(1-Resumo!$C$6)</f>
        <v>142.931818181818</v>
      </c>
      <c r="T1284" s="11" t="n">
        <f aca="false">S1284-J1284</f>
        <v>40.2418181818182</v>
      </c>
      <c r="U1284" s="12" t="n">
        <f aca="false">IFERROR(S1284/J1284-1,0)</f>
        <v>0.391876698625165</v>
      </c>
      <c r="V1284" s="2" t="str">
        <f aca="false">IF(S1284&lt;J1284,"SIM","NÃO")</f>
        <v>NÃO</v>
      </c>
      <c r="W1284" s="2" t="n">
        <v>5</v>
      </c>
      <c r="X1284" s="2" t="s">
        <v>156</v>
      </c>
    </row>
    <row r="1285" customFormat="false" ht="15" hidden="false" customHeight="false" outlineLevel="0" collapsed="false">
      <c r="A1285" s="2" t="n">
        <v>379667573</v>
      </c>
      <c r="B1285" s="29" t="n">
        <v>46254.9159027778</v>
      </c>
      <c r="C1285" s="2" t="s">
        <v>153</v>
      </c>
      <c r="D1285" s="2" t="s">
        <v>1407</v>
      </c>
      <c r="E1285" s="2" t="s">
        <v>96</v>
      </c>
      <c r="F1285" s="2" t="s">
        <v>109</v>
      </c>
      <c r="G1285" s="30" t="n">
        <v>55</v>
      </c>
      <c r="H1285" s="11" t="n">
        <v>739.98</v>
      </c>
      <c r="I1285" s="11" t="s">
        <v>155</v>
      </c>
      <c r="J1285" s="11" t="n">
        <v>143.22</v>
      </c>
      <c r="K1285" s="11" t="n">
        <v>144.53</v>
      </c>
      <c r="L1285" s="11" t="n">
        <v>0.74</v>
      </c>
      <c r="M1285" s="11" t="n">
        <v>1.48</v>
      </c>
      <c r="N1285" s="11" t="n">
        <v>1</v>
      </c>
      <c r="O1285" s="11" t="n">
        <v>4.5</v>
      </c>
      <c r="P1285" s="11" t="n">
        <v>3.3</v>
      </c>
      <c r="Q1285" s="11" t="n">
        <v>24.75</v>
      </c>
      <c r="R1285" s="11" t="n">
        <f aca="false">SUM(K1285:Q1285)</f>
        <v>180.3</v>
      </c>
      <c r="S1285" s="11" t="n">
        <f aca="false">R1285/(1-Resumo!$C$6)</f>
        <v>204.886363636364</v>
      </c>
      <c r="T1285" s="11" t="n">
        <f aca="false">S1285-J1285</f>
        <v>61.6663636363637</v>
      </c>
      <c r="U1285" s="12" t="n">
        <f aca="false">IFERROR(S1285/J1285-1,0)</f>
        <v>0.43057089538028</v>
      </c>
      <c r="V1285" s="2" t="str">
        <f aca="false">IF(S1285&lt;J1285,"SIM","NÃO")</f>
        <v>NÃO</v>
      </c>
      <c r="W1285" s="2" t="n">
        <v>10</v>
      </c>
      <c r="X1285" s="2" t="s">
        <v>156</v>
      </c>
    </row>
    <row r="1286" customFormat="false" ht="15" hidden="false" customHeight="false" outlineLevel="0" collapsed="false">
      <c r="A1286" s="2" t="n">
        <v>379674329</v>
      </c>
      <c r="B1286" s="29" t="n">
        <v>46254.9231828704</v>
      </c>
      <c r="C1286" s="2" t="s">
        <v>153</v>
      </c>
      <c r="D1286" s="2" t="s">
        <v>466</v>
      </c>
      <c r="E1286" s="2" t="s">
        <v>78</v>
      </c>
      <c r="F1286" s="2" t="s">
        <v>105</v>
      </c>
      <c r="G1286" s="30" t="n">
        <v>17</v>
      </c>
      <c r="H1286" s="11" t="n">
        <v>249.99</v>
      </c>
      <c r="I1286" s="11" t="s">
        <v>155</v>
      </c>
      <c r="J1286" s="11" t="n">
        <v>64.42</v>
      </c>
      <c r="K1286" s="11" t="n">
        <v>46.98</v>
      </c>
      <c r="L1286" s="11" t="n">
        <v>0.25</v>
      </c>
      <c r="M1286" s="11" t="n">
        <v>0.5</v>
      </c>
      <c r="N1286" s="11" t="n">
        <v>1</v>
      </c>
      <c r="O1286" s="11" t="n">
        <v>4.5</v>
      </c>
      <c r="P1286" s="11" t="n">
        <v>1.02</v>
      </c>
      <c r="Q1286" s="11" t="n">
        <v>7.65</v>
      </c>
      <c r="R1286" s="11" t="n">
        <f aca="false">SUM(K1286:Q1286)</f>
        <v>61.9</v>
      </c>
      <c r="S1286" s="11" t="n">
        <f aca="false">R1286/(1-Resumo!$C$6)</f>
        <v>70.3409090909091</v>
      </c>
      <c r="T1286" s="11" t="n">
        <f aca="false">S1286-J1286</f>
        <v>5.92090909090909</v>
      </c>
      <c r="U1286" s="12" t="n">
        <f aca="false">IFERROR(S1286/J1286-1,0)</f>
        <v>0.0919110383562418</v>
      </c>
      <c r="V1286" s="2" t="str">
        <f aca="false">IF(S1286&lt;J1286,"SIM","NÃO")</f>
        <v>NÃO</v>
      </c>
      <c r="W1286" s="2" t="n">
        <v>5</v>
      </c>
      <c r="X1286" s="2" t="s">
        <v>156</v>
      </c>
    </row>
    <row r="1287" customFormat="false" ht="15" hidden="false" customHeight="false" outlineLevel="0" collapsed="false">
      <c r="A1287" s="2" t="n">
        <v>379685148</v>
      </c>
      <c r="B1287" s="29" t="n">
        <v>46254.9397916667</v>
      </c>
      <c r="C1287" s="2" t="s">
        <v>153</v>
      </c>
      <c r="D1287" s="2" t="s">
        <v>1408</v>
      </c>
      <c r="E1287" s="2" t="s">
        <v>95</v>
      </c>
      <c r="F1287" s="2" t="s">
        <v>107</v>
      </c>
      <c r="G1287" s="30" t="n">
        <v>39</v>
      </c>
      <c r="H1287" s="11" t="n">
        <v>529.99</v>
      </c>
      <c r="I1287" s="11" t="s">
        <v>155</v>
      </c>
      <c r="J1287" s="11" t="n">
        <v>122.78</v>
      </c>
      <c r="K1287" s="11" t="n">
        <v>108.03</v>
      </c>
      <c r="L1287" s="11" t="n">
        <v>0.53</v>
      </c>
      <c r="M1287" s="11" t="n">
        <v>1.06</v>
      </c>
      <c r="N1287" s="11" t="n">
        <v>1</v>
      </c>
      <c r="O1287" s="11" t="n">
        <v>4.5</v>
      </c>
      <c r="P1287" s="11" t="n">
        <v>2.34</v>
      </c>
      <c r="Q1287" s="11" t="n">
        <v>17.55</v>
      </c>
      <c r="R1287" s="11" t="n">
        <f aca="false">SUM(K1287:Q1287)</f>
        <v>135.01</v>
      </c>
      <c r="S1287" s="11" t="n">
        <f aca="false">R1287/(1-Resumo!$C$6)</f>
        <v>153.420454545455</v>
      </c>
      <c r="T1287" s="11" t="n">
        <f aca="false">S1287-J1287</f>
        <v>30.6404545454546</v>
      </c>
      <c r="U1287" s="12" t="n">
        <f aca="false">IFERROR(S1287/J1287-1,0)</f>
        <v>0.249555746420057</v>
      </c>
      <c r="V1287" s="2" t="str">
        <f aca="false">IF(S1287&lt;J1287,"SIM","NÃO")</f>
        <v>NÃO</v>
      </c>
      <c r="W1287" s="2" t="n">
        <v>6</v>
      </c>
      <c r="X1287" s="2" t="s">
        <v>156</v>
      </c>
    </row>
    <row r="1288" customFormat="false" ht="15" hidden="false" customHeight="false" outlineLevel="0" collapsed="false">
      <c r="A1288" s="2" t="n">
        <v>379687834</v>
      </c>
      <c r="B1288" s="29" t="n">
        <v>46254.9446064815</v>
      </c>
      <c r="C1288" s="2" t="s">
        <v>153</v>
      </c>
      <c r="D1288" s="2" t="s">
        <v>1409</v>
      </c>
      <c r="E1288" s="2" t="s">
        <v>81</v>
      </c>
      <c r="F1288" s="2" t="s">
        <v>107</v>
      </c>
      <c r="G1288" s="30" t="n">
        <v>36.8</v>
      </c>
      <c r="H1288" s="11" t="n">
        <v>439.99</v>
      </c>
      <c r="I1288" s="11" t="s">
        <v>155</v>
      </c>
      <c r="J1288" s="11" t="n">
        <v>113.07</v>
      </c>
      <c r="K1288" s="11" t="n">
        <v>93.97</v>
      </c>
      <c r="L1288" s="11" t="n">
        <v>0.44</v>
      </c>
      <c r="M1288" s="11" t="n">
        <v>0.88</v>
      </c>
      <c r="N1288" s="11" t="n">
        <v>1</v>
      </c>
      <c r="O1288" s="11" t="n">
        <v>4.5</v>
      </c>
      <c r="P1288" s="11" t="n">
        <v>2.22</v>
      </c>
      <c r="Q1288" s="11" t="n">
        <v>16.65</v>
      </c>
      <c r="R1288" s="11" t="n">
        <f aca="false">SUM(K1288:Q1288)</f>
        <v>119.66</v>
      </c>
      <c r="S1288" s="11" t="n">
        <f aca="false">R1288/(1-Resumo!$C$6)</f>
        <v>135.977272727273</v>
      </c>
      <c r="T1288" s="11" t="n">
        <f aca="false">S1288-J1288</f>
        <v>22.9072727272727</v>
      </c>
      <c r="U1288" s="12" t="n">
        <f aca="false">IFERROR(S1288/J1288-1,0)</f>
        <v>0.202593727136046</v>
      </c>
      <c r="V1288" s="2" t="str">
        <f aca="false">IF(S1288&lt;J1288,"SIM","NÃO")</f>
        <v>NÃO</v>
      </c>
      <c r="W1288" s="2" t="n">
        <v>5</v>
      </c>
      <c r="X1288" s="2" t="s">
        <v>156</v>
      </c>
    </row>
    <row r="1289" customFormat="false" ht="15" hidden="false" customHeight="false" outlineLevel="0" collapsed="false">
      <c r="A1289" s="2" t="n">
        <v>379687841</v>
      </c>
      <c r="B1289" s="29" t="n">
        <v>46254.9446064815</v>
      </c>
      <c r="C1289" s="2" t="s">
        <v>153</v>
      </c>
      <c r="D1289" s="2" t="s">
        <v>1409</v>
      </c>
      <c r="E1289" s="2" t="s">
        <v>81</v>
      </c>
      <c r="F1289" s="2" t="s">
        <v>114</v>
      </c>
      <c r="G1289" s="30" t="n">
        <v>141.5</v>
      </c>
      <c r="H1289" s="11" t="n">
        <v>1549.99</v>
      </c>
      <c r="I1289" s="11" t="s">
        <v>155</v>
      </c>
      <c r="J1289" s="11" t="n">
        <v>244.03</v>
      </c>
      <c r="K1289" s="11" t="n">
        <v>239.25</v>
      </c>
      <c r="L1289" s="11" t="n">
        <v>1.55</v>
      </c>
      <c r="M1289" s="11" t="n">
        <v>3.1</v>
      </c>
      <c r="N1289" s="11" t="n">
        <v>1</v>
      </c>
      <c r="O1289" s="11" t="n">
        <v>9</v>
      </c>
      <c r="P1289" s="11" t="n">
        <v>8.52</v>
      </c>
      <c r="Q1289" s="11" t="n">
        <v>63.9</v>
      </c>
      <c r="R1289" s="11" t="n">
        <f aca="false">SUM(K1289:Q1289)</f>
        <v>326.32</v>
      </c>
      <c r="S1289" s="11" t="n">
        <f aca="false">R1289/(1-Resumo!$C$6)</f>
        <v>370.818181818182</v>
      </c>
      <c r="T1289" s="11" t="n">
        <f aca="false">S1289-J1289</f>
        <v>126.788181818182</v>
      </c>
      <c r="U1289" s="12" t="n">
        <f aca="false">IFERROR(S1289/J1289-1,0)</f>
        <v>0.51955981567095</v>
      </c>
      <c r="V1289" s="2" t="str">
        <f aca="false">IF(S1289&lt;J1289,"SIM","NÃO")</f>
        <v>NÃO</v>
      </c>
      <c r="W1289" s="2" t="n">
        <v>5</v>
      </c>
      <c r="X1289" s="2" t="s">
        <v>156</v>
      </c>
    </row>
    <row r="1290" customFormat="false" ht="15" hidden="false" customHeight="false" outlineLevel="0" collapsed="false">
      <c r="A1290" s="2" t="n">
        <v>379731384</v>
      </c>
      <c r="B1290" s="29" t="n">
        <v>46255.0257291667</v>
      </c>
      <c r="C1290" s="2" t="s">
        <v>153</v>
      </c>
      <c r="D1290" s="2" t="s">
        <v>1410</v>
      </c>
      <c r="E1290" s="2" t="s">
        <v>84</v>
      </c>
      <c r="F1290" s="2" t="s">
        <v>112</v>
      </c>
      <c r="G1290" s="30" t="n">
        <v>89.3</v>
      </c>
      <c r="H1290" s="11" t="n">
        <v>1149.99</v>
      </c>
      <c r="I1290" s="11" t="s">
        <v>155</v>
      </c>
      <c r="J1290" s="11" t="n">
        <v>174.34</v>
      </c>
      <c r="K1290" s="11" t="n">
        <v>167.99</v>
      </c>
      <c r="L1290" s="11" t="n">
        <v>1.15</v>
      </c>
      <c r="M1290" s="11" t="n">
        <v>2.3</v>
      </c>
      <c r="N1290" s="11" t="n">
        <v>1</v>
      </c>
      <c r="O1290" s="11" t="n">
        <v>4.5</v>
      </c>
      <c r="P1290" s="11" t="n">
        <v>5.4</v>
      </c>
      <c r="Q1290" s="11" t="n">
        <v>40.5</v>
      </c>
      <c r="R1290" s="11" t="n">
        <f aca="false">SUM(K1290:Q1290)</f>
        <v>222.84</v>
      </c>
      <c r="S1290" s="11" t="n">
        <f aca="false">R1290/(1-Resumo!$C$6)</f>
        <v>253.227272727273</v>
      </c>
      <c r="T1290" s="11" t="n">
        <f aca="false">S1290-J1290</f>
        <v>78.8872727272727</v>
      </c>
      <c r="U1290" s="12" t="n">
        <f aca="false">IFERROR(S1290/J1290-1,0)</f>
        <v>0.452490952892467</v>
      </c>
      <c r="V1290" s="2" t="str">
        <f aca="false">IF(S1290&lt;J1290,"SIM","NÃO")</f>
        <v>NÃO</v>
      </c>
      <c r="W1290" s="2" t="n">
        <v>5</v>
      </c>
      <c r="X1290" s="2" t="s">
        <v>156</v>
      </c>
    </row>
    <row r="1291" customFormat="false" ht="15" hidden="false" customHeight="false" outlineLevel="0" collapsed="false">
      <c r="A1291" s="2" t="n">
        <v>379903388</v>
      </c>
      <c r="B1291" s="29" t="n">
        <v>46255.2978356482</v>
      </c>
      <c r="C1291" s="2" t="s">
        <v>158</v>
      </c>
      <c r="D1291" s="2" t="s">
        <v>1084</v>
      </c>
      <c r="E1291" s="2" t="s">
        <v>88</v>
      </c>
      <c r="F1291" s="2" t="s">
        <v>109</v>
      </c>
      <c r="G1291" s="30" t="n">
        <v>52.3</v>
      </c>
      <c r="H1291" s="11" t="n">
        <v>620</v>
      </c>
      <c r="I1291" s="11" t="s">
        <v>155</v>
      </c>
      <c r="J1291" s="11" t="n">
        <v>142.64</v>
      </c>
      <c r="K1291" s="11" t="n">
        <v>142.32</v>
      </c>
      <c r="L1291" s="11" t="n">
        <v>0.62</v>
      </c>
      <c r="M1291" s="11" t="n">
        <v>1.24</v>
      </c>
      <c r="N1291" s="11" t="n">
        <v>1</v>
      </c>
      <c r="O1291" s="11" t="n">
        <v>4.5</v>
      </c>
      <c r="P1291" s="11" t="n">
        <v>3.18</v>
      </c>
      <c r="Q1291" s="11" t="n">
        <v>23.85</v>
      </c>
      <c r="R1291" s="11" t="n">
        <f aca="false">SUM(K1291:Q1291)</f>
        <v>176.71</v>
      </c>
      <c r="S1291" s="11" t="n">
        <f aca="false">R1291/(1-Resumo!$C$6)</f>
        <v>200.806818181818</v>
      </c>
      <c r="T1291" s="11" t="n">
        <f aca="false">S1291-J1291</f>
        <v>58.1668181818182</v>
      </c>
      <c r="U1291" s="12" t="n">
        <f aca="false">IFERROR(S1291/J1291-1,0)</f>
        <v>0.407787564370571</v>
      </c>
      <c r="V1291" s="2" t="str">
        <f aca="false">IF(S1291&lt;J1291,"SIM","NÃO")</f>
        <v>NÃO</v>
      </c>
      <c r="W1291" s="2" t="n">
        <v>10</v>
      </c>
      <c r="X1291" s="2" t="s">
        <v>156</v>
      </c>
    </row>
    <row r="1292" customFormat="false" ht="15" hidden="false" customHeight="false" outlineLevel="0" collapsed="false">
      <c r="A1292" s="2" t="n">
        <v>379903457</v>
      </c>
      <c r="B1292" s="29" t="n">
        <v>46255.2983564815</v>
      </c>
      <c r="C1292" s="2" t="s">
        <v>158</v>
      </c>
      <c r="D1292" s="2" t="s">
        <v>1084</v>
      </c>
      <c r="E1292" s="2" t="s">
        <v>88</v>
      </c>
      <c r="F1292" s="2" t="s">
        <v>109</v>
      </c>
      <c r="G1292" s="30" t="n">
        <v>52.3</v>
      </c>
      <c r="H1292" s="11" t="n">
        <v>640.18</v>
      </c>
      <c r="I1292" s="11" t="s">
        <v>155</v>
      </c>
      <c r="J1292" s="11" t="n">
        <v>142.74</v>
      </c>
      <c r="K1292" s="11" t="n">
        <v>142.32</v>
      </c>
      <c r="L1292" s="11" t="n">
        <v>0.6402</v>
      </c>
      <c r="M1292" s="11" t="n">
        <v>1.2804</v>
      </c>
      <c r="N1292" s="11" t="n">
        <v>1</v>
      </c>
      <c r="O1292" s="11" t="n">
        <v>4.5</v>
      </c>
      <c r="P1292" s="11" t="n">
        <v>3.18</v>
      </c>
      <c r="Q1292" s="11" t="n">
        <v>23.85</v>
      </c>
      <c r="R1292" s="11" t="n">
        <f aca="false">SUM(K1292:Q1292)</f>
        <v>176.7706</v>
      </c>
      <c r="S1292" s="11" t="n">
        <f aca="false">R1292/(1-Resumo!$C$6)</f>
        <v>200.875681818182</v>
      </c>
      <c r="T1292" s="11" t="n">
        <f aca="false">S1292-J1292</f>
        <v>58.1356818181818</v>
      </c>
      <c r="U1292" s="12" t="n">
        <f aca="false">IFERROR(S1292/J1292-1,0)</f>
        <v>0.407283745398499</v>
      </c>
      <c r="V1292" s="2" t="str">
        <f aca="false">IF(S1292&lt;J1292,"SIM","NÃO")</f>
        <v>NÃO</v>
      </c>
      <c r="W1292" s="2" t="n">
        <v>10</v>
      </c>
      <c r="X1292" s="2" t="s">
        <v>156</v>
      </c>
    </row>
    <row r="1293" customFormat="false" ht="15" hidden="false" customHeight="false" outlineLevel="0" collapsed="false">
      <c r="A1293" s="2" t="n">
        <v>379853829</v>
      </c>
      <c r="B1293" s="29" t="n">
        <v>46255.333287037</v>
      </c>
      <c r="C1293" s="2" t="s">
        <v>153</v>
      </c>
      <c r="D1293" s="2" t="s">
        <v>1411</v>
      </c>
      <c r="E1293" s="2" t="s">
        <v>84</v>
      </c>
      <c r="F1293" s="2" t="s">
        <v>107</v>
      </c>
      <c r="G1293" s="30" t="n">
        <v>39</v>
      </c>
      <c r="H1293" s="11" t="n">
        <v>519.99</v>
      </c>
      <c r="I1293" s="11" t="s">
        <v>155</v>
      </c>
      <c r="J1293" s="11" t="n">
        <v>113.44</v>
      </c>
      <c r="K1293" s="11" t="n">
        <v>93.97</v>
      </c>
      <c r="L1293" s="11" t="n">
        <v>0.52</v>
      </c>
      <c r="M1293" s="11" t="n">
        <v>1.04</v>
      </c>
      <c r="N1293" s="11" t="n">
        <v>1</v>
      </c>
      <c r="O1293" s="11" t="n">
        <v>4.5</v>
      </c>
      <c r="P1293" s="11" t="n">
        <v>2.34</v>
      </c>
      <c r="Q1293" s="11" t="n">
        <v>17.55</v>
      </c>
      <c r="R1293" s="11" t="n">
        <f aca="false">SUM(K1293:Q1293)</f>
        <v>120.92</v>
      </c>
      <c r="S1293" s="11" t="n">
        <f aca="false">R1293/(1-Resumo!$C$6)</f>
        <v>137.409090909091</v>
      </c>
      <c r="T1293" s="11" t="n">
        <f aca="false">S1293-J1293</f>
        <v>23.9690909090909</v>
      </c>
      <c r="U1293" s="12" t="n">
        <f aca="false">IFERROR(S1293/J1293-1,0)</f>
        <v>0.211293114501859</v>
      </c>
      <c r="V1293" s="2" t="str">
        <f aca="false">IF(S1293&lt;J1293,"SIM","NÃO")</f>
        <v>NÃO</v>
      </c>
      <c r="W1293" s="2" t="n">
        <v>5</v>
      </c>
      <c r="X1293" s="2" t="s">
        <v>156</v>
      </c>
    </row>
    <row r="1294" customFormat="false" ht="15" hidden="false" customHeight="false" outlineLevel="0" collapsed="false">
      <c r="A1294" s="2" t="n">
        <v>379875700</v>
      </c>
      <c r="B1294" s="29" t="n">
        <v>46255.3768634259</v>
      </c>
      <c r="C1294" s="2" t="s">
        <v>153</v>
      </c>
      <c r="D1294" s="2" t="s">
        <v>1412</v>
      </c>
      <c r="E1294" s="2" t="s">
        <v>81</v>
      </c>
      <c r="F1294" s="2" t="s">
        <v>108</v>
      </c>
      <c r="G1294" s="30" t="n">
        <v>48.3</v>
      </c>
      <c r="H1294" s="11" t="n">
        <v>449.99</v>
      </c>
      <c r="I1294" s="11" t="s">
        <v>155</v>
      </c>
      <c r="J1294" s="11" t="n">
        <v>116.23</v>
      </c>
      <c r="K1294" s="11" t="n">
        <v>93.97</v>
      </c>
      <c r="L1294" s="11" t="n">
        <v>0.45</v>
      </c>
      <c r="M1294" s="11" t="n">
        <v>0.9</v>
      </c>
      <c r="N1294" s="11" t="n">
        <v>1</v>
      </c>
      <c r="O1294" s="11" t="n">
        <v>4.5</v>
      </c>
      <c r="P1294" s="11" t="n">
        <v>2.94</v>
      </c>
      <c r="Q1294" s="11" t="n">
        <v>22.05</v>
      </c>
      <c r="R1294" s="11" t="n">
        <f aca="false">SUM(K1294:Q1294)</f>
        <v>125.81</v>
      </c>
      <c r="S1294" s="11" t="n">
        <f aca="false">R1294/(1-Resumo!$C$6)</f>
        <v>142.965909090909</v>
      </c>
      <c r="T1294" s="11" t="n">
        <f aca="false">S1294-J1294</f>
        <v>26.7359090909091</v>
      </c>
      <c r="U1294" s="12" t="n">
        <f aca="false">IFERROR(S1294/J1294-1,0)</f>
        <v>0.230025889107021</v>
      </c>
      <c r="V1294" s="2" t="str">
        <f aca="false">IF(S1294&lt;J1294,"SIM","NÃO")</f>
        <v>NÃO</v>
      </c>
      <c r="W1294" s="2" t="n">
        <v>5</v>
      </c>
      <c r="X1294" s="2" t="s">
        <v>156</v>
      </c>
    </row>
    <row r="1295" customFormat="false" ht="15" hidden="false" customHeight="false" outlineLevel="0" collapsed="false">
      <c r="A1295" s="2" t="n">
        <v>379876251</v>
      </c>
      <c r="B1295" s="29" t="n">
        <v>46255.377962963</v>
      </c>
      <c r="C1295" s="2" t="s">
        <v>153</v>
      </c>
      <c r="D1295" s="2" t="s">
        <v>1413</v>
      </c>
      <c r="E1295" s="2" t="s">
        <v>78</v>
      </c>
      <c r="F1295" s="2" t="s">
        <v>107</v>
      </c>
      <c r="G1295" s="30" t="n">
        <v>40</v>
      </c>
      <c r="H1295" s="11" t="n">
        <v>529.99</v>
      </c>
      <c r="I1295" s="11" t="s">
        <v>155</v>
      </c>
      <c r="J1295" s="11" t="n">
        <v>92.4</v>
      </c>
      <c r="K1295" s="11" t="n">
        <v>93.97</v>
      </c>
      <c r="L1295" s="11" t="n">
        <v>0.53</v>
      </c>
      <c r="M1295" s="11" t="n">
        <v>1.06</v>
      </c>
      <c r="N1295" s="11" t="n">
        <v>1</v>
      </c>
      <c r="O1295" s="11" t="n">
        <v>4.5</v>
      </c>
      <c r="P1295" s="11" t="n">
        <v>2.4</v>
      </c>
      <c r="Q1295" s="11" t="n">
        <v>18</v>
      </c>
      <c r="R1295" s="11" t="n">
        <f aca="false">SUM(K1295:Q1295)</f>
        <v>121.46</v>
      </c>
      <c r="S1295" s="11" t="n">
        <f aca="false">R1295/(1-Resumo!$C$6)</f>
        <v>138.022727272727</v>
      </c>
      <c r="T1295" s="11" t="n">
        <f aca="false">S1295-J1295</f>
        <v>45.6227272727272</v>
      </c>
      <c r="U1295" s="12" t="n">
        <f aca="false">IFERROR(S1295/J1295-1,0)</f>
        <v>0.49375245966155</v>
      </c>
      <c r="V1295" s="2" t="str">
        <f aca="false">IF(S1295&lt;J1295,"SIM","NÃO")</f>
        <v>NÃO</v>
      </c>
      <c r="W1295" s="2" t="n">
        <v>5</v>
      </c>
      <c r="X1295" s="2" t="s">
        <v>156</v>
      </c>
    </row>
    <row r="1296" customFormat="false" ht="15" hidden="false" customHeight="false" outlineLevel="0" collapsed="false">
      <c r="A1296" s="2" t="n">
        <v>379878949</v>
      </c>
      <c r="B1296" s="29" t="n">
        <v>46255.3830439815</v>
      </c>
      <c r="C1296" s="2" t="s">
        <v>158</v>
      </c>
      <c r="D1296" s="2" t="s">
        <v>1130</v>
      </c>
      <c r="E1296" s="2" t="s">
        <v>78</v>
      </c>
      <c r="F1296" s="2" t="s">
        <v>109</v>
      </c>
      <c r="G1296" s="30" t="n">
        <v>58.5</v>
      </c>
      <c r="H1296" s="11" t="n">
        <v>855.95</v>
      </c>
      <c r="I1296" s="11" t="s">
        <v>155</v>
      </c>
      <c r="J1296" s="11" t="n">
        <v>115.25</v>
      </c>
      <c r="K1296" s="11" t="n">
        <v>112.3</v>
      </c>
      <c r="L1296" s="11" t="n">
        <v>0.856</v>
      </c>
      <c r="M1296" s="11" t="n">
        <v>1.7119</v>
      </c>
      <c r="N1296" s="11" t="n">
        <v>1</v>
      </c>
      <c r="O1296" s="11" t="n">
        <v>4.5</v>
      </c>
      <c r="P1296" s="11" t="n">
        <v>3.54</v>
      </c>
      <c r="Q1296" s="11" t="n">
        <v>26.55</v>
      </c>
      <c r="R1296" s="11" t="n">
        <f aca="false">SUM(K1296:Q1296)</f>
        <v>150.4579</v>
      </c>
      <c r="S1296" s="11" t="n">
        <f aca="false">R1296/(1-Resumo!$C$6)</f>
        <v>170.974886363636</v>
      </c>
      <c r="T1296" s="11" t="n">
        <f aca="false">S1296-J1296</f>
        <v>55.7248863636364</v>
      </c>
      <c r="U1296" s="12" t="n">
        <f aca="false">IFERROR(S1296/J1296-1,0)</f>
        <v>0.483513113784263</v>
      </c>
      <c r="V1296" s="2" t="str">
        <f aca="false">IF(S1296&lt;J1296,"SIM","NÃO")</f>
        <v>NÃO</v>
      </c>
      <c r="W1296" s="2" t="n">
        <v>5</v>
      </c>
      <c r="X1296" s="2" t="s">
        <v>156</v>
      </c>
    </row>
    <row r="1297" customFormat="false" ht="15" hidden="false" customHeight="false" outlineLevel="0" collapsed="false">
      <c r="A1297" s="2" t="n">
        <v>379905804</v>
      </c>
      <c r="B1297" s="29" t="n">
        <v>46255.4273263889</v>
      </c>
      <c r="C1297" s="2" t="s">
        <v>158</v>
      </c>
      <c r="D1297" s="2" t="s">
        <v>1414</v>
      </c>
      <c r="E1297" s="2" t="s">
        <v>80</v>
      </c>
      <c r="F1297" s="2" t="s">
        <v>108</v>
      </c>
      <c r="G1297" s="30" t="n">
        <v>43.5</v>
      </c>
      <c r="H1297" s="11" t="n">
        <v>604.3</v>
      </c>
      <c r="I1297" s="11" t="s">
        <v>155</v>
      </c>
      <c r="J1297" s="11" t="n">
        <v>116.98</v>
      </c>
      <c r="K1297" s="11" t="n">
        <v>93.97</v>
      </c>
      <c r="L1297" s="11" t="n">
        <v>0.6043</v>
      </c>
      <c r="M1297" s="11" t="n">
        <v>1.2086</v>
      </c>
      <c r="N1297" s="11" t="n">
        <v>1</v>
      </c>
      <c r="O1297" s="11" t="n">
        <v>4.5</v>
      </c>
      <c r="P1297" s="11" t="n">
        <v>2.64</v>
      </c>
      <c r="Q1297" s="11" t="n">
        <v>19.8</v>
      </c>
      <c r="R1297" s="11" t="n">
        <f aca="false">SUM(K1297:Q1297)</f>
        <v>123.7229</v>
      </c>
      <c r="S1297" s="11" t="n">
        <f aca="false">R1297/(1-Resumo!$C$6)</f>
        <v>140.594204545455</v>
      </c>
      <c r="T1297" s="11" t="n">
        <f aca="false">S1297-J1297</f>
        <v>23.6142045454545</v>
      </c>
      <c r="U1297" s="12" t="n">
        <f aca="false">IFERROR(S1297/J1297-1,0)</f>
        <v>0.201865314972256</v>
      </c>
      <c r="V1297" s="2" t="str">
        <f aca="false">IF(S1297&lt;J1297,"SIM","NÃO")</f>
        <v>NÃO</v>
      </c>
      <c r="W1297" s="2" t="n">
        <v>5</v>
      </c>
      <c r="X1297" s="2" t="s">
        <v>156</v>
      </c>
    </row>
    <row r="1298" customFormat="false" ht="15" hidden="false" customHeight="false" outlineLevel="0" collapsed="false">
      <c r="A1298" s="2" t="n">
        <v>379916375</v>
      </c>
      <c r="B1298" s="29" t="n">
        <v>46255.4436111111</v>
      </c>
      <c r="C1298" s="2" t="s">
        <v>158</v>
      </c>
      <c r="D1298" s="2" t="s">
        <v>1415</v>
      </c>
      <c r="E1298" s="2" t="s">
        <v>97</v>
      </c>
      <c r="F1298" s="2" t="s">
        <v>112</v>
      </c>
      <c r="G1298" s="30" t="n">
        <v>81.7</v>
      </c>
      <c r="H1298" s="11" t="n">
        <v>639.76</v>
      </c>
      <c r="I1298" s="11" t="s">
        <v>155</v>
      </c>
      <c r="J1298" s="11" t="n">
        <v>191.66</v>
      </c>
      <c r="K1298" s="11" t="n">
        <v>197.35</v>
      </c>
      <c r="L1298" s="11" t="n">
        <v>0.6398</v>
      </c>
      <c r="M1298" s="11" t="n">
        <v>1.2795</v>
      </c>
      <c r="N1298" s="11" t="n">
        <v>1</v>
      </c>
      <c r="O1298" s="11" t="n">
        <v>4.5</v>
      </c>
      <c r="P1298" s="11" t="n">
        <v>4.92</v>
      </c>
      <c r="Q1298" s="11" t="n">
        <v>36.9</v>
      </c>
      <c r="R1298" s="11" t="n">
        <f aca="false">SUM(K1298:Q1298)</f>
        <v>246.5893</v>
      </c>
      <c r="S1298" s="11" t="n">
        <f aca="false">R1298/(1-Resumo!$C$6)</f>
        <v>280.215113636364</v>
      </c>
      <c r="T1298" s="11" t="n">
        <f aca="false">S1298-J1298</f>
        <v>88.5551136363636</v>
      </c>
      <c r="U1298" s="12" t="n">
        <f aca="false">IFERROR(S1298/J1298-1,0)</f>
        <v>0.462042750894102</v>
      </c>
      <c r="V1298" s="2" t="str">
        <f aca="false">IF(S1298&lt;J1298,"SIM","NÃO")</f>
        <v>NÃO</v>
      </c>
      <c r="W1298" s="2" t="n">
        <v>10</v>
      </c>
      <c r="X1298" s="2" t="s">
        <v>156</v>
      </c>
    </row>
    <row r="1299" customFormat="false" ht="15" hidden="false" customHeight="false" outlineLevel="0" collapsed="false">
      <c r="A1299" s="2" t="n">
        <v>379916994</v>
      </c>
      <c r="B1299" s="29" t="n">
        <v>46255.4446412037</v>
      </c>
      <c r="C1299" s="2" t="s">
        <v>153</v>
      </c>
      <c r="D1299" s="2" t="s">
        <v>1416</v>
      </c>
      <c r="E1299" s="2" t="s">
        <v>78</v>
      </c>
      <c r="F1299" s="2" t="s">
        <v>105</v>
      </c>
      <c r="G1299" s="30" t="n">
        <v>17.2</v>
      </c>
      <c r="H1299" s="11" t="n">
        <v>243.21</v>
      </c>
      <c r="I1299" s="11" t="s">
        <v>155</v>
      </c>
      <c r="J1299" s="11" t="n">
        <v>64.39</v>
      </c>
      <c r="K1299" s="11" t="n">
        <v>46.98</v>
      </c>
      <c r="L1299" s="11" t="n">
        <v>0.2432</v>
      </c>
      <c r="M1299" s="11" t="n">
        <v>0.4864</v>
      </c>
      <c r="N1299" s="11" t="n">
        <v>1</v>
      </c>
      <c r="O1299" s="11" t="n">
        <v>4.5</v>
      </c>
      <c r="P1299" s="11" t="n">
        <v>1.08</v>
      </c>
      <c r="Q1299" s="11" t="n">
        <v>8.1</v>
      </c>
      <c r="R1299" s="11" t="n">
        <f aca="false">SUM(K1299:Q1299)</f>
        <v>62.3896</v>
      </c>
      <c r="S1299" s="11" t="n">
        <f aca="false">R1299/(1-Resumo!$C$6)</f>
        <v>70.8972727272727</v>
      </c>
      <c r="T1299" s="11" t="n">
        <f aca="false">S1299-J1299</f>
        <v>6.50727272727274</v>
      </c>
      <c r="U1299" s="12" t="n">
        <f aca="false">IFERROR(S1299/J1299-1,0)</f>
        <v>0.101060300159539</v>
      </c>
      <c r="V1299" s="2" t="str">
        <f aca="false">IF(S1299&lt;J1299,"SIM","NÃO")</f>
        <v>NÃO</v>
      </c>
      <c r="W1299" s="2" t="n">
        <v>5</v>
      </c>
      <c r="X1299" s="2" t="s">
        <v>156</v>
      </c>
    </row>
    <row r="1300" customFormat="false" ht="15" hidden="false" customHeight="false" outlineLevel="0" collapsed="false">
      <c r="A1300" s="2" t="n">
        <v>379923507</v>
      </c>
      <c r="B1300" s="29" t="n">
        <v>46255.4545717593</v>
      </c>
      <c r="C1300" s="2" t="s">
        <v>158</v>
      </c>
      <c r="D1300" s="2" t="s">
        <v>1417</v>
      </c>
      <c r="E1300" s="2" t="s">
        <v>81</v>
      </c>
      <c r="F1300" s="2" t="s">
        <v>114</v>
      </c>
      <c r="G1300" s="30" t="n">
        <v>124.2</v>
      </c>
      <c r="H1300" s="11" t="n">
        <v>1526.91</v>
      </c>
      <c r="I1300" s="11" t="s">
        <v>155</v>
      </c>
      <c r="J1300" s="11" t="n">
        <v>243.91</v>
      </c>
      <c r="K1300" s="11" t="n">
        <v>239.25</v>
      </c>
      <c r="L1300" s="11" t="n">
        <v>1.5269</v>
      </c>
      <c r="M1300" s="11" t="n">
        <v>3.0538</v>
      </c>
      <c r="N1300" s="11" t="n">
        <v>1</v>
      </c>
      <c r="O1300" s="11" t="n">
        <v>9</v>
      </c>
      <c r="P1300" s="11" t="n">
        <v>7.5</v>
      </c>
      <c r="Q1300" s="11" t="n">
        <v>56.25</v>
      </c>
      <c r="R1300" s="11" t="n">
        <f aca="false">SUM(K1300:Q1300)</f>
        <v>317.5807</v>
      </c>
      <c r="S1300" s="11" t="n">
        <f aca="false">R1300/(1-Resumo!$C$6)</f>
        <v>360.887159090909</v>
      </c>
      <c r="T1300" s="11" t="n">
        <f aca="false">S1300-J1300</f>
        <v>116.977159090909</v>
      </c>
      <c r="U1300" s="12" t="n">
        <f aca="false">IFERROR(S1300/J1300-1,0)</f>
        <v>0.479591484936694</v>
      </c>
      <c r="V1300" s="2" t="str">
        <f aca="false">IF(S1300&lt;J1300,"SIM","NÃO")</f>
        <v>NÃO</v>
      </c>
      <c r="W1300" s="2" t="n">
        <v>5</v>
      </c>
      <c r="X1300" s="2" t="s">
        <v>156</v>
      </c>
    </row>
    <row r="1301" customFormat="false" ht="15" hidden="false" customHeight="false" outlineLevel="0" collapsed="false">
      <c r="A1301" s="2" t="n">
        <v>379950170</v>
      </c>
      <c r="B1301" s="29" t="n">
        <v>46255.4953472222</v>
      </c>
      <c r="C1301" s="2" t="s">
        <v>153</v>
      </c>
      <c r="D1301" s="2" t="s">
        <v>1418</v>
      </c>
      <c r="E1301" s="2" t="s">
        <v>78</v>
      </c>
      <c r="F1301" s="2" t="s">
        <v>110</v>
      </c>
      <c r="G1301" s="30" t="n">
        <v>67.03</v>
      </c>
      <c r="H1301" s="11" t="n">
        <v>729.99</v>
      </c>
      <c r="I1301" s="11" t="s">
        <v>155</v>
      </c>
      <c r="J1301" s="11" t="n">
        <v>124.7</v>
      </c>
      <c r="K1301" s="11" t="n">
        <v>131.02</v>
      </c>
      <c r="L1301" s="11" t="n">
        <v>0.73</v>
      </c>
      <c r="M1301" s="11" t="n">
        <v>1.46</v>
      </c>
      <c r="N1301" s="11" t="n">
        <v>1</v>
      </c>
      <c r="O1301" s="11" t="n">
        <v>4.5</v>
      </c>
      <c r="P1301" s="11" t="n">
        <v>4.08</v>
      </c>
      <c r="Q1301" s="11" t="n">
        <v>30.6</v>
      </c>
      <c r="R1301" s="11" t="n">
        <f aca="false">SUM(K1301:Q1301)</f>
        <v>173.39</v>
      </c>
      <c r="S1301" s="11" t="n">
        <f aca="false">R1301/(1-Resumo!$C$6)</f>
        <v>197.034090909091</v>
      </c>
      <c r="T1301" s="11" t="n">
        <f aca="false">S1301-J1301</f>
        <v>72.3340909090909</v>
      </c>
      <c r="U1301" s="12" t="n">
        <f aca="false">IFERROR(S1301/J1301-1,0)</f>
        <v>0.580064882991908</v>
      </c>
      <c r="V1301" s="2" t="str">
        <f aca="false">IF(S1301&lt;J1301,"SIM","NÃO")</f>
        <v>NÃO</v>
      </c>
      <c r="W1301" s="2" t="n">
        <v>5</v>
      </c>
      <c r="X1301" s="2" t="s">
        <v>156</v>
      </c>
    </row>
    <row r="1302" customFormat="false" ht="15" hidden="false" customHeight="false" outlineLevel="0" collapsed="false">
      <c r="A1302" s="2" t="n">
        <v>379955288</v>
      </c>
      <c r="B1302" s="29" t="n">
        <v>46255.5027083333</v>
      </c>
      <c r="C1302" s="2" t="s">
        <v>153</v>
      </c>
      <c r="D1302" s="2" t="s">
        <v>1419</v>
      </c>
      <c r="E1302" s="2" t="s">
        <v>78</v>
      </c>
      <c r="F1302" s="2" t="s">
        <v>109</v>
      </c>
      <c r="G1302" s="30" t="n">
        <v>52.3</v>
      </c>
      <c r="H1302" s="11" t="n">
        <v>669.99</v>
      </c>
      <c r="I1302" s="11" t="s">
        <v>155</v>
      </c>
      <c r="J1302" s="11" t="n">
        <v>114.36</v>
      </c>
      <c r="K1302" s="11" t="n">
        <v>112.3</v>
      </c>
      <c r="L1302" s="11" t="n">
        <v>0.67</v>
      </c>
      <c r="M1302" s="11" t="n">
        <v>1.34</v>
      </c>
      <c r="N1302" s="11" t="n">
        <v>1</v>
      </c>
      <c r="O1302" s="11" t="n">
        <v>4.5</v>
      </c>
      <c r="P1302" s="11" t="n">
        <v>3.18</v>
      </c>
      <c r="Q1302" s="11" t="n">
        <v>23.85</v>
      </c>
      <c r="R1302" s="11" t="n">
        <f aca="false">SUM(K1302:Q1302)</f>
        <v>146.84</v>
      </c>
      <c r="S1302" s="11" t="n">
        <f aca="false">R1302/(1-Resumo!$C$6)</f>
        <v>166.863636363636</v>
      </c>
      <c r="T1302" s="11" t="n">
        <f aca="false">S1302-J1302</f>
        <v>52.5036363636364</v>
      </c>
      <c r="U1302" s="12" t="n">
        <f aca="false">IFERROR(S1302/J1302-1,0)</f>
        <v>0.459108397723298</v>
      </c>
      <c r="V1302" s="2" t="str">
        <f aca="false">IF(S1302&lt;J1302,"SIM","NÃO")</f>
        <v>NÃO</v>
      </c>
      <c r="W1302" s="2" t="n">
        <v>5</v>
      </c>
      <c r="X1302" s="2" t="s">
        <v>156</v>
      </c>
    </row>
    <row r="1303" customFormat="false" ht="15" hidden="false" customHeight="false" outlineLevel="0" collapsed="false">
      <c r="A1303" s="2" t="n">
        <v>379956030</v>
      </c>
      <c r="B1303" s="29" t="n">
        <v>46255.5040972222</v>
      </c>
      <c r="C1303" s="2" t="s">
        <v>153</v>
      </c>
      <c r="D1303" s="2" t="s">
        <v>1420</v>
      </c>
      <c r="E1303" s="2" t="s">
        <v>86</v>
      </c>
      <c r="F1303" s="2" t="s">
        <v>107</v>
      </c>
      <c r="G1303" s="30" t="n">
        <v>36.8</v>
      </c>
      <c r="H1303" s="11" t="n">
        <v>439.99</v>
      </c>
      <c r="I1303" s="11" t="s">
        <v>155</v>
      </c>
      <c r="J1303" s="11" t="n">
        <v>113.07</v>
      </c>
      <c r="K1303" s="11" t="n">
        <v>93.97</v>
      </c>
      <c r="L1303" s="11" t="n">
        <v>0.44</v>
      </c>
      <c r="M1303" s="11" t="n">
        <v>0.88</v>
      </c>
      <c r="N1303" s="11" t="n">
        <v>1</v>
      </c>
      <c r="O1303" s="11" t="n">
        <v>4.5</v>
      </c>
      <c r="P1303" s="11" t="n">
        <v>2.22</v>
      </c>
      <c r="Q1303" s="11" t="n">
        <v>16.65</v>
      </c>
      <c r="R1303" s="11" t="n">
        <f aca="false">SUM(K1303:Q1303)</f>
        <v>119.66</v>
      </c>
      <c r="S1303" s="11" t="n">
        <f aca="false">R1303/(1-Resumo!$C$6)</f>
        <v>135.977272727273</v>
      </c>
      <c r="T1303" s="11" t="n">
        <f aca="false">S1303-J1303</f>
        <v>22.9072727272727</v>
      </c>
      <c r="U1303" s="12" t="n">
        <f aca="false">IFERROR(S1303/J1303-1,0)</f>
        <v>0.202593727136046</v>
      </c>
      <c r="V1303" s="2" t="str">
        <f aca="false">IF(S1303&lt;J1303,"SIM","NÃO")</f>
        <v>NÃO</v>
      </c>
      <c r="W1303" s="2" t="n">
        <v>5</v>
      </c>
      <c r="X1303" s="2" t="s">
        <v>156</v>
      </c>
    </row>
    <row r="1304" customFormat="false" ht="15" hidden="false" customHeight="false" outlineLevel="0" collapsed="false">
      <c r="A1304" s="2" t="n">
        <v>379971236</v>
      </c>
      <c r="B1304" s="29" t="n">
        <v>46255.5226388889</v>
      </c>
      <c r="C1304" s="2" t="s">
        <v>153</v>
      </c>
      <c r="D1304" s="2" t="s">
        <v>1421</v>
      </c>
      <c r="E1304" s="2" t="s">
        <v>96</v>
      </c>
      <c r="F1304" s="2" t="s">
        <v>112</v>
      </c>
      <c r="G1304" s="30" t="n">
        <v>82</v>
      </c>
      <c r="H1304" s="11" t="n">
        <v>1059.98</v>
      </c>
      <c r="I1304" s="11" t="s">
        <v>155</v>
      </c>
      <c r="J1304" s="11" t="n">
        <v>193.68</v>
      </c>
      <c r="K1304" s="11" t="n">
        <v>197.35</v>
      </c>
      <c r="L1304" s="11" t="n">
        <v>1.06</v>
      </c>
      <c r="M1304" s="11" t="n">
        <v>2.12</v>
      </c>
      <c r="N1304" s="11" t="n">
        <v>1</v>
      </c>
      <c r="O1304" s="11" t="n">
        <v>4.5</v>
      </c>
      <c r="P1304" s="11" t="n">
        <v>4.92</v>
      </c>
      <c r="Q1304" s="11" t="n">
        <v>36.9</v>
      </c>
      <c r="R1304" s="11" t="n">
        <f aca="false">SUM(K1304:Q1304)</f>
        <v>247.85</v>
      </c>
      <c r="S1304" s="11" t="n">
        <f aca="false">R1304/(1-Resumo!$C$6)</f>
        <v>281.647727272727</v>
      </c>
      <c r="T1304" s="11" t="n">
        <f aca="false">S1304-J1304</f>
        <v>87.9677272727273</v>
      </c>
      <c r="U1304" s="12" t="n">
        <f aca="false">IFERROR(S1304/J1304-1,0)</f>
        <v>0.454191074311892</v>
      </c>
      <c r="V1304" s="2" t="str">
        <f aca="false">IF(S1304&lt;J1304,"SIM","NÃO")</f>
        <v>NÃO</v>
      </c>
      <c r="W1304" s="2" t="n">
        <v>10</v>
      </c>
      <c r="X1304" s="2" t="s">
        <v>156</v>
      </c>
    </row>
    <row r="1305" customFormat="false" ht="15" hidden="false" customHeight="false" outlineLevel="0" collapsed="false">
      <c r="A1305" s="2" t="n">
        <v>379972305</v>
      </c>
      <c r="B1305" s="29" t="n">
        <v>46255.5236342593</v>
      </c>
      <c r="C1305" s="2" t="s">
        <v>158</v>
      </c>
      <c r="D1305" s="2" t="s">
        <v>1422</v>
      </c>
      <c r="E1305" s="2" t="s">
        <v>78</v>
      </c>
      <c r="F1305" s="2" t="s">
        <v>112</v>
      </c>
      <c r="G1305" s="30" t="n">
        <v>81.7</v>
      </c>
      <c r="H1305" s="11" t="n">
        <v>639.76</v>
      </c>
      <c r="I1305" s="11" t="s">
        <v>155</v>
      </c>
      <c r="J1305" s="11" t="n">
        <v>162.16</v>
      </c>
      <c r="K1305" s="11" t="n">
        <v>167.99</v>
      </c>
      <c r="L1305" s="11" t="n">
        <v>0.6398</v>
      </c>
      <c r="M1305" s="11" t="n">
        <v>1.2795</v>
      </c>
      <c r="N1305" s="11" t="n">
        <v>1</v>
      </c>
      <c r="O1305" s="11" t="n">
        <v>4.5</v>
      </c>
      <c r="P1305" s="11" t="n">
        <v>4.92</v>
      </c>
      <c r="Q1305" s="11" t="n">
        <v>36.9</v>
      </c>
      <c r="R1305" s="11" t="n">
        <f aca="false">SUM(K1305:Q1305)</f>
        <v>217.2293</v>
      </c>
      <c r="S1305" s="11" t="n">
        <f aca="false">R1305/(1-Resumo!$C$6)</f>
        <v>246.851477272727</v>
      </c>
      <c r="T1305" s="11" t="n">
        <f aca="false">S1305-J1305</f>
        <v>84.6914772727273</v>
      </c>
      <c r="U1305" s="12" t="n">
        <f aca="false">IFERROR(S1305/J1305-1,0)</f>
        <v>0.522271073462798</v>
      </c>
      <c r="V1305" s="2" t="str">
        <f aca="false">IF(S1305&lt;J1305,"SIM","NÃO")</f>
        <v>NÃO</v>
      </c>
      <c r="W1305" s="2" t="n">
        <v>5</v>
      </c>
      <c r="X1305" s="2" t="s">
        <v>156</v>
      </c>
    </row>
    <row r="1306" customFormat="false" ht="15" hidden="false" customHeight="false" outlineLevel="0" collapsed="false">
      <c r="A1306" s="2" t="n">
        <v>379983076</v>
      </c>
      <c r="B1306" s="29" t="n">
        <v>46255.536412037</v>
      </c>
      <c r="C1306" s="2" t="s">
        <v>153</v>
      </c>
      <c r="D1306" s="2" t="s">
        <v>1423</v>
      </c>
      <c r="E1306" s="2" t="s">
        <v>79</v>
      </c>
      <c r="F1306" s="2" t="s">
        <v>108</v>
      </c>
      <c r="G1306" s="30" t="n">
        <v>46.8</v>
      </c>
      <c r="H1306" s="11" t="n">
        <v>506.56</v>
      </c>
      <c r="I1306" s="11" t="s">
        <v>155</v>
      </c>
      <c r="J1306" s="11" t="n">
        <v>116.49</v>
      </c>
      <c r="K1306" s="11" t="n">
        <v>114.95</v>
      </c>
      <c r="L1306" s="11" t="n">
        <v>0.5066</v>
      </c>
      <c r="M1306" s="11" t="n">
        <v>1.0131</v>
      </c>
      <c r="N1306" s="11" t="n">
        <v>1</v>
      </c>
      <c r="O1306" s="11" t="n">
        <v>4.5</v>
      </c>
      <c r="P1306" s="11" t="n">
        <v>2.82</v>
      </c>
      <c r="Q1306" s="11" t="n">
        <v>21.15</v>
      </c>
      <c r="R1306" s="11" t="n">
        <f aca="false">SUM(K1306:Q1306)</f>
        <v>145.9397</v>
      </c>
      <c r="S1306" s="11" t="n">
        <f aca="false">R1306/(1-Resumo!$C$6)</f>
        <v>165.840568181818</v>
      </c>
      <c r="T1306" s="11" t="n">
        <f aca="false">S1306-J1306</f>
        <v>49.3505681818182</v>
      </c>
      <c r="U1306" s="12" t="n">
        <f aca="false">IFERROR(S1306/J1306-1,0)</f>
        <v>0.423646391808895</v>
      </c>
      <c r="V1306" s="2" t="str">
        <f aca="false">IF(S1306&lt;J1306,"SIM","NÃO")</f>
        <v>NÃO</v>
      </c>
      <c r="W1306" s="2" t="n">
        <v>7</v>
      </c>
      <c r="X1306" s="2" t="s">
        <v>156</v>
      </c>
    </row>
    <row r="1307" customFormat="false" ht="15" hidden="false" customHeight="false" outlineLevel="0" collapsed="false">
      <c r="A1307" s="2" t="n">
        <v>380003751</v>
      </c>
      <c r="B1307" s="29" t="n">
        <v>46255.5615393519</v>
      </c>
      <c r="C1307" s="2" t="s">
        <v>153</v>
      </c>
      <c r="D1307" s="2" t="s">
        <v>1424</v>
      </c>
      <c r="E1307" s="2" t="s">
        <v>79</v>
      </c>
      <c r="F1307" s="2" t="s">
        <v>109</v>
      </c>
      <c r="G1307" s="30" t="n">
        <v>52.3</v>
      </c>
      <c r="H1307" s="11" t="n">
        <v>669.99</v>
      </c>
      <c r="I1307" s="11" t="s">
        <v>155</v>
      </c>
      <c r="J1307" s="11" t="n">
        <v>128.49</v>
      </c>
      <c r="K1307" s="11" t="n">
        <v>128.14</v>
      </c>
      <c r="L1307" s="11" t="n">
        <v>0.67</v>
      </c>
      <c r="M1307" s="11" t="n">
        <v>1.34</v>
      </c>
      <c r="N1307" s="11" t="n">
        <v>1</v>
      </c>
      <c r="O1307" s="11" t="n">
        <v>4.5</v>
      </c>
      <c r="P1307" s="11" t="n">
        <v>3.18</v>
      </c>
      <c r="Q1307" s="11" t="n">
        <v>23.85</v>
      </c>
      <c r="R1307" s="11" t="n">
        <f aca="false">SUM(K1307:Q1307)</f>
        <v>162.68</v>
      </c>
      <c r="S1307" s="11" t="n">
        <f aca="false">R1307/(1-Resumo!$C$6)</f>
        <v>184.863636363636</v>
      </c>
      <c r="T1307" s="11" t="n">
        <f aca="false">S1307-J1307</f>
        <v>56.3736363636363</v>
      </c>
      <c r="U1307" s="12" t="n">
        <f aca="false">IFERROR(S1307/J1307-1,0)</f>
        <v>0.4387394845018</v>
      </c>
      <c r="V1307" s="2" t="str">
        <f aca="false">IF(S1307&lt;J1307,"SIM","NÃO")</f>
        <v>NÃO</v>
      </c>
      <c r="W1307" s="2" t="n">
        <v>7</v>
      </c>
      <c r="X1307" s="2" t="s">
        <v>156</v>
      </c>
    </row>
    <row r="1308" customFormat="false" ht="15" hidden="false" customHeight="false" outlineLevel="0" collapsed="false">
      <c r="A1308" s="2" t="n">
        <v>380004316</v>
      </c>
      <c r="B1308" s="29" t="n">
        <v>46255.5623958333</v>
      </c>
      <c r="C1308" s="2" t="s">
        <v>153</v>
      </c>
      <c r="D1308" s="2" t="s">
        <v>1425</v>
      </c>
      <c r="E1308" s="2" t="s">
        <v>81</v>
      </c>
      <c r="F1308" s="2" t="s">
        <v>110</v>
      </c>
      <c r="G1308" s="30" t="n">
        <v>68.8</v>
      </c>
      <c r="H1308" s="11" t="n">
        <v>879.98</v>
      </c>
      <c r="I1308" s="11" t="s">
        <v>155</v>
      </c>
      <c r="J1308" s="11" t="n">
        <v>140.65</v>
      </c>
      <c r="K1308" s="11" t="n">
        <v>131.02</v>
      </c>
      <c r="L1308" s="11" t="n">
        <v>0.88</v>
      </c>
      <c r="M1308" s="11" t="n">
        <v>1.76</v>
      </c>
      <c r="N1308" s="11" t="n">
        <v>1</v>
      </c>
      <c r="O1308" s="11" t="n">
        <v>4.5</v>
      </c>
      <c r="P1308" s="11" t="n">
        <v>4.14</v>
      </c>
      <c r="Q1308" s="11" t="n">
        <v>31.05</v>
      </c>
      <c r="R1308" s="11" t="n">
        <f aca="false">SUM(K1308:Q1308)</f>
        <v>174.35</v>
      </c>
      <c r="S1308" s="11" t="n">
        <f aca="false">R1308/(1-Resumo!$C$6)</f>
        <v>198.125</v>
      </c>
      <c r="T1308" s="11" t="n">
        <f aca="false">S1308-J1308</f>
        <v>57.475</v>
      </c>
      <c r="U1308" s="12" t="n">
        <f aca="false">IFERROR(S1308/J1308-1,0)</f>
        <v>0.408638464273018</v>
      </c>
      <c r="V1308" s="2" t="str">
        <f aca="false">IF(S1308&lt;J1308,"SIM","NÃO")</f>
        <v>NÃO</v>
      </c>
      <c r="W1308" s="2" t="n">
        <v>5</v>
      </c>
      <c r="X1308" s="2" t="s">
        <v>156</v>
      </c>
    </row>
    <row r="1309" customFormat="false" ht="15" hidden="false" customHeight="false" outlineLevel="0" collapsed="false">
      <c r="A1309" s="2" t="n">
        <v>380098807</v>
      </c>
      <c r="B1309" s="29" t="n">
        <v>46255.5630555556</v>
      </c>
      <c r="C1309" s="2" t="s">
        <v>158</v>
      </c>
      <c r="D1309" s="2" t="s">
        <v>670</v>
      </c>
      <c r="E1309" s="2" t="s">
        <v>78</v>
      </c>
      <c r="F1309" s="2" t="s">
        <v>112</v>
      </c>
      <c r="G1309" s="30" t="n">
        <v>94.8</v>
      </c>
      <c r="H1309" s="11" t="n">
        <v>1056.2</v>
      </c>
      <c r="I1309" s="11" t="s">
        <v>155</v>
      </c>
      <c r="J1309" s="11" t="n">
        <v>164.15</v>
      </c>
      <c r="K1309" s="11" t="n">
        <v>167.99</v>
      </c>
      <c r="L1309" s="11" t="n">
        <v>1.0562</v>
      </c>
      <c r="M1309" s="11" t="n">
        <v>2.1124</v>
      </c>
      <c r="N1309" s="11" t="n">
        <v>1</v>
      </c>
      <c r="O1309" s="11" t="n">
        <v>4.5</v>
      </c>
      <c r="P1309" s="11" t="n">
        <v>5.7</v>
      </c>
      <c r="Q1309" s="11" t="n">
        <v>42.75</v>
      </c>
      <c r="R1309" s="11" t="n">
        <f aca="false">SUM(K1309:Q1309)</f>
        <v>225.1086</v>
      </c>
      <c r="S1309" s="11" t="n">
        <f aca="false">R1309/(1-Resumo!$C$6)</f>
        <v>255.805227272727</v>
      </c>
      <c r="T1309" s="11" t="n">
        <f aca="false">S1309-J1309</f>
        <v>91.6552272727273</v>
      </c>
      <c r="U1309" s="12" t="n">
        <f aca="false">IFERROR(S1309/J1309-1,0)</f>
        <v>0.558362639492704</v>
      </c>
      <c r="V1309" s="2" t="str">
        <f aca="false">IF(S1309&lt;J1309,"SIM","NÃO")</f>
        <v>NÃO</v>
      </c>
      <c r="W1309" s="2" t="n">
        <v>5</v>
      </c>
      <c r="X1309" s="2" t="s">
        <v>156</v>
      </c>
    </row>
    <row r="1310" customFormat="false" ht="15" hidden="false" customHeight="false" outlineLevel="0" collapsed="false">
      <c r="A1310" s="2" t="n">
        <v>380027413</v>
      </c>
      <c r="B1310" s="29" t="n">
        <v>46255.5907638889</v>
      </c>
      <c r="C1310" s="2" t="s">
        <v>153</v>
      </c>
      <c r="D1310" s="2" t="s">
        <v>1426</v>
      </c>
      <c r="E1310" s="2" t="s">
        <v>91</v>
      </c>
      <c r="F1310" s="2" t="s">
        <v>107</v>
      </c>
      <c r="G1310" s="30" t="n">
        <v>37.2</v>
      </c>
      <c r="H1310" s="11" t="n">
        <v>399.99</v>
      </c>
      <c r="I1310" s="11" t="s">
        <v>155</v>
      </c>
      <c r="J1310" s="11" t="n">
        <v>122.16</v>
      </c>
      <c r="K1310" s="11" t="n">
        <v>124.38</v>
      </c>
      <c r="L1310" s="11" t="n">
        <v>0.4</v>
      </c>
      <c r="M1310" s="11" t="n">
        <v>0.8</v>
      </c>
      <c r="N1310" s="11" t="n">
        <v>1</v>
      </c>
      <c r="O1310" s="11" t="n">
        <v>4.5</v>
      </c>
      <c r="P1310" s="11" t="n">
        <v>2.28</v>
      </c>
      <c r="Q1310" s="11" t="n">
        <v>17.1</v>
      </c>
      <c r="R1310" s="11" t="n">
        <f aca="false">SUM(K1310:Q1310)</f>
        <v>150.46</v>
      </c>
      <c r="S1310" s="11" t="n">
        <f aca="false">R1310/(1-Resumo!$C$6)</f>
        <v>170.977272727273</v>
      </c>
      <c r="T1310" s="11" t="n">
        <f aca="false">S1310-J1310</f>
        <v>48.8172727272727</v>
      </c>
      <c r="U1310" s="12" t="n">
        <f aca="false">IFERROR(S1310/J1310-1,0)</f>
        <v>0.39961749121867</v>
      </c>
      <c r="V1310" s="2" t="str">
        <f aca="false">IF(S1310&lt;J1310,"SIM","NÃO")</f>
        <v>NÃO</v>
      </c>
      <c r="W1310" s="2" t="n">
        <v>10</v>
      </c>
      <c r="X1310" s="2" t="s">
        <v>156</v>
      </c>
    </row>
    <row r="1311" customFormat="false" ht="15" hidden="false" customHeight="false" outlineLevel="0" collapsed="false">
      <c r="A1311" s="2" t="n">
        <v>380031038</v>
      </c>
      <c r="B1311" s="29" t="n">
        <v>46255.5972106482</v>
      </c>
      <c r="C1311" s="2" t="s">
        <v>153</v>
      </c>
      <c r="D1311" s="2" t="s">
        <v>1427</v>
      </c>
      <c r="E1311" s="2" t="s">
        <v>1428</v>
      </c>
      <c r="F1311" s="2" t="s">
        <v>107</v>
      </c>
      <c r="G1311" s="30" t="n">
        <v>37.2</v>
      </c>
      <c r="H1311" s="11" t="n">
        <v>366.49</v>
      </c>
      <c r="I1311" s="11" t="s">
        <v>155</v>
      </c>
      <c r="J1311" s="11" t="n">
        <v>122</v>
      </c>
      <c r="K1311" s="11" t="n">
        <v>143.04</v>
      </c>
      <c r="L1311" s="11" t="n">
        <v>0.3665</v>
      </c>
      <c r="M1311" s="11" t="n">
        <v>0.733</v>
      </c>
      <c r="N1311" s="11" t="n">
        <v>1</v>
      </c>
      <c r="O1311" s="11" t="n">
        <v>4.5</v>
      </c>
      <c r="P1311" s="11" t="n">
        <v>2.28</v>
      </c>
      <c r="Q1311" s="11" t="n">
        <v>17.1</v>
      </c>
      <c r="R1311" s="11" t="n">
        <f aca="false">SUM(K1311:Q1311)</f>
        <v>169.0195</v>
      </c>
      <c r="S1311" s="11" t="n">
        <f aca="false">R1311/(1-Resumo!$C$6)</f>
        <v>192.067613636364</v>
      </c>
      <c r="T1311" s="11" t="n">
        <f aca="false">S1311-J1311</f>
        <v>70.0676136363636</v>
      </c>
      <c r="U1311" s="12" t="n">
        <f aca="false">IFERROR(S1311/J1311-1,0)</f>
        <v>0.574324701937407</v>
      </c>
      <c r="V1311" s="2" t="str">
        <f aca="false">IF(S1311&lt;J1311,"SIM","NÃO")</f>
        <v>NÃO</v>
      </c>
      <c r="W1311" s="2" t="n">
        <v>11</v>
      </c>
      <c r="X1311" s="2" t="s">
        <v>161</v>
      </c>
    </row>
    <row r="1312" customFormat="false" ht="15" hidden="false" customHeight="false" outlineLevel="0" collapsed="false">
      <c r="A1312" s="2" t="n">
        <v>380031983</v>
      </c>
      <c r="B1312" s="29" t="n">
        <v>46255.5985069444</v>
      </c>
      <c r="C1312" s="2" t="s">
        <v>153</v>
      </c>
      <c r="D1312" s="2" t="s">
        <v>470</v>
      </c>
      <c r="E1312" s="2" t="s">
        <v>78</v>
      </c>
      <c r="F1312" s="2" t="s">
        <v>112</v>
      </c>
      <c r="G1312" s="30" t="n">
        <v>81.7</v>
      </c>
      <c r="H1312" s="11" t="n">
        <v>759.99</v>
      </c>
      <c r="I1312" s="11" t="s">
        <v>155</v>
      </c>
      <c r="J1312" s="11" t="n">
        <v>162.74</v>
      </c>
      <c r="K1312" s="11" t="n">
        <v>167.99</v>
      </c>
      <c r="L1312" s="11" t="n">
        <v>0.76</v>
      </c>
      <c r="M1312" s="11" t="n">
        <v>1.52</v>
      </c>
      <c r="N1312" s="11" t="n">
        <v>1</v>
      </c>
      <c r="O1312" s="11" t="n">
        <v>4.5</v>
      </c>
      <c r="P1312" s="11" t="n">
        <v>4.92</v>
      </c>
      <c r="Q1312" s="11" t="n">
        <v>36.9</v>
      </c>
      <c r="R1312" s="11" t="n">
        <f aca="false">SUM(K1312:Q1312)</f>
        <v>217.59</v>
      </c>
      <c r="S1312" s="11" t="n">
        <f aca="false">R1312/(1-Resumo!$C$6)</f>
        <v>247.261363636364</v>
      </c>
      <c r="T1312" s="11" t="n">
        <f aca="false">S1312-J1312</f>
        <v>84.5213636363636</v>
      </c>
      <c r="U1312" s="12" t="n">
        <f aca="false">IFERROR(S1312/J1312-1,0)</f>
        <v>0.519364407253064</v>
      </c>
      <c r="V1312" s="2" t="str">
        <f aca="false">IF(S1312&lt;J1312,"SIM","NÃO")</f>
        <v>NÃO</v>
      </c>
      <c r="W1312" s="2" t="n">
        <v>5</v>
      </c>
      <c r="X1312" s="2" t="s">
        <v>156</v>
      </c>
    </row>
    <row r="1313" customFormat="false" ht="15" hidden="false" customHeight="false" outlineLevel="0" collapsed="false">
      <c r="A1313" s="2" t="n">
        <v>380040768</v>
      </c>
      <c r="B1313" s="29" t="n">
        <v>46255.6113773148</v>
      </c>
      <c r="C1313" s="2" t="s">
        <v>153</v>
      </c>
      <c r="D1313" s="2" t="s">
        <v>738</v>
      </c>
      <c r="E1313" s="2" t="s">
        <v>739</v>
      </c>
      <c r="F1313" s="2" t="s">
        <v>107</v>
      </c>
      <c r="G1313" s="30" t="n">
        <v>37.2</v>
      </c>
      <c r="H1313" s="11" t="n">
        <v>366.49</v>
      </c>
      <c r="I1313" s="11" t="s">
        <v>155</v>
      </c>
      <c r="J1313" s="11" t="n">
        <v>122</v>
      </c>
      <c r="K1313" s="11" t="n">
        <v>143.04</v>
      </c>
      <c r="L1313" s="11" t="n">
        <v>0.3665</v>
      </c>
      <c r="M1313" s="11" t="n">
        <v>0.733</v>
      </c>
      <c r="N1313" s="11" t="n">
        <v>1</v>
      </c>
      <c r="O1313" s="11" t="n">
        <v>4.5</v>
      </c>
      <c r="P1313" s="11" t="n">
        <v>2.28</v>
      </c>
      <c r="Q1313" s="11" t="n">
        <v>17.1</v>
      </c>
      <c r="R1313" s="11" t="n">
        <f aca="false">SUM(K1313:Q1313)</f>
        <v>169.0195</v>
      </c>
      <c r="S1313" s="11" t="n">
        <f aca="false">R1313/(1-Resumo!$C$6)</f>
        <v>192.067613636364</v>
      </c>
      <c r="T1313" s="11" t="n">
        <f aca="false">S1313-J1313</f>
        <v>70.0676136363636</v>
      </c>
      <c r="U1313" s="12" t="n">
        <f aca="false">IFERROR(S1313/J1313-1,0)</f>
        <v>0.574324701937407</v>
      </c>
      <c r="V1313" s="2" t="str">
        <f aca="false">IF(S1313&lt;J1313,"SIM","NÃO")</f>
        <v>NÃO</v>
      </c>
      <c r="W1313" s="2" t="n">
        <v>11</v>
      </c>
      <c r="X1313" s="2" t="s">
        <v>161</v>
      </c>
    </row>
    <row r="1314" customFormat="false" ht="15" hidden="false" customHeight="false" outlineLevel="0" collapsed="false">
      <c r="A1314" s="2" t="n">
        <v>380041057</v>
      </c>
      <c r="B1314" s="29" t="n">
        <v>46255.6145717593</v>
      </c>
      <c r="C1314" s="2" t="s">
        <v>191</v>
      </c>
      <c r="D1314" s="2" t="s">
        <v>1429</v>
      </c>
      <c r="E1314" s="2" t="s">
        <v>78</v>
      </c>
      <c r="F1314" s="2" t="s">
        <v>110</v>
      </c>
      <c r="G1314" s="30" t="n">
        <v>63</v>
      </c>
      <c r="H1314" s="11" t="n">
        <v>839.99</v>
      </c>
      <c r="I1314" s="11" t="s">
        <v>155</v>
      </c>
      <c r="J1314" s="11" t="n">
        <v>125.24</v>
      </c>
      <c r="K1314" s="11" t="n">
        <v>131.02</v>
      </c>
      <c r="L1314" s="11" t="n">
        <v>0.84</v>
      </c>
      <c r="M1314" s="11" t="n">
        <v>1.68</v>
      </c>
      <c r="N1314" s="11" t="n">
        <v>1</v>
      </c>
      <c r="O1314" s="11" t="n">
        <v>4.5</v>
      </c>
      <c r="P1314" s="11" t="n">
        <v>3.78</v>
      </c>
      <c r="Q1314" s="11" t="n">
        <v>28.35</v>
      </c>
      <c r="R1314" s="11" t="n">
        <f aca="false">SUM(K1314:Q1314)</f>
        <v>171.17</v>
      </c>
      <c r="S1314" s="11" t="n">
        <f aca="false">R1314/(1-Resumo!$C$6)</f>
        <v>194.511363636364</v>
      </c>
      <c r="T1314" s="11" t="n">
        <f aca="false">S1314-J1314</f>
        <v>69.2713636363637</v>
      </c>
      <c r="U1314" s="12" t="n">
        <f aca="false">IFERROR(S1314/J1314-1,0)</f>
        <v>0.553108939926251</v>
      </c>
      <c r="V1314" s="2" t="str">
        <f aca="false">IF(S1314&lt;J1314,"SIM","NÃO")</f>
        <v>NÃO</v>
      </c>
      <c r="W1314" s="2" t="n">
        <v>5</v>
      </c>
      <c r="X1314" s="2" t="s">
        <v>156</v>
      </c>
    </row>
    <row r="1315" customFormat="false" ht="15" hidden="false" customHeight="false" outlineLevel="0" collapsed="false">
      <c r="A1315" s="2" t="n">
        <v>380125752</v>
      </c>
      <c r="B1315" s="29" t="n">
        <v>46255.7231944444</v>
      </c>
      <c r="C1315" s="2" t="s">
        <v>153</v>
      </c>
      <c r="D1315" s="2" t="s">
        <v>1430</v>
      </c>
      <c r="E1315" s="2" t="s">
        <v>82</v>
      </c>
      <c r="F1315" s="2" t="s">
        <v>108</v>
      </c>
      <c r="G1315" s="30" t="n">
        <v>41</v>
      </c>
      <c r="H1315" s="11" t="n">
        <v>529.99</v>
      </c>
      <c r="I1315" s="11" t="s">
        <v>155</v>
      </c>
      <c r="J1315" s="11" t="n">
        <v>116.61</v>
      </c>
      <c r="K1315" s="11" t="n">
        <v>114.95</v>
      </c>
      <c r="L1315" s="11" t="n">
        <v>0.53</v>
      </c>
      <c r="M1315" s="11" t="n">
        <v>1.06</v>
      </c>
      <c r="N1315" s="11" t="n">
        <v>1</v>
      </c>
      <c r="O1315" s="11" t="n">
        <v>4.5</v>
      </c>
      <c r="P1315" s="11" t="n">
        <v>2.46</v>
      </c>
      <c r="Q1315" s="11" t="n">
        <v>18.45</v>
      </c>
      <c r="R1315" s="11" t="n">
        <f aca="false">SUM(K1315:Q1315)</f>
        <v>142.95</v>
      </c>
      <c r="S1315" s="11" t="n">
        <f aca="false">R1315/(1-Resumo!$C$6)</f>
        <v>162.443181818182</v>
      </c>
      <c r="T1315" s="11" t="n">
        <f aca="false">S1315-J1315</f>
        <v>45.8331818181818</v>
      </c>
      <c r="U1315" s="12" t="n">
        <f aca="false">IFERROR(S1315/J1315-1,0)</f>
        <v>0.393046752578525</v>
      </c>
      <c r="V1315" s="2" t="str">
        <f aca="false">IF(S1315&lt;J1315,"SIM","NÃO")</f>
        <v>NÃO</v>
      </c>
      <c r="W1315" s="2" t="n">
        <v>7</v>
      </c>
      <c r="X1315" s="2" t="s">
        <v>156</v>
      </c>
    </row>
    <row r="1316" customFormat="false" ht="15" hidden="false" customHeight="false" outlineLevel="0" collapsed="false">
      <c r="A1316" s="2" t="n">
        <v>380190648</v>
      </c>
      <c r="B1316" s="29" t="n">
        <v>46255.8125694445</v>
      </c>
      <c r="C1316" s="2" t="s">
        <v>191</v>
      </c>
      <c r="D1316" s="2" t="s">
        <v>1431</v>
      </c>
      <c r="E1316" s="2" t="s">
        <v>78</v>
      </c>
      <c r="F1316" s="2" t="s">
        <v>112</v>
      </c>
      <c r="G1316" s="30" t="n">
        <v>82</v>
      </c>
      <c r="H1316" s="11" t="n">
        <v>909.98</v>
      </c>
      <c r="I1316" s="11" t="s">
        <v>155</v>
      </c>
      <c r="J1316" s="11" t="n">
        <v>163.45</v>
      </c>
      <c r="K1316" s="11" t="n">
        <v>167.99</v>
      </c>
      <c r="L1316" s="11" t="n">
        <v>0.91</v>
      </c>
      <c r="M1316" s="11" t="n">
        <v>1.82</v>
      </c>
      <c r="N1316" s="11" t="n">
        <v>1</v>
      </c>
      <c r="O1316" s="11" t="n">
        <v>4.5</v>
      </c>
      <c r="P1316" s="11" t="n">
        <v>4.92</v>
      </c>
      <c r="Q1316" s="11" t="n">
        <v>36.9</v>
      </c>
      <c r="R1316" s="11" t="n">
        <f aca="false">SUM(K1316:Q1316)</f>
        <v>218.04</v>
      </c>
      <c r="S1316" s="11" t="n">
        <f aca="false">R1316/(1-Resumo!$C$6)</f>
        <v>247.772727272727</v>
      </c>
      <c r="T1316" s="11" t="n">
        <f aca="false">S1316-J1316</f>
        <v>84.3227272727273</v>
      </c>
      <c r="U1316" s="12" t="n">
        <f aca="false">IFERROR(S1316/J1316-1,0)</f>
        <v>0.515893100475542</v>
      </c>
      <c r="V1316" s="2" t="str">
        <f aca="false">IF(S1316&lt;J1316,"SIM","NÃO")</f>
        <v>NÃO</v>
      </c>
      <c r="W1316" s="2" t="n">
        <v>5</v>
      </c>
      <c r="X1316" s="2" t="s">
        <v>156</v>
      </c>
    </row>
    <row r="1317" customFormat="false" ht="15" hidden="false" customHeight="false" outlineLevel="0" collapsed="false">
      <c r="A1317" s="2" t="n">
        <v>380203552</v>
      </c>
      <c r="B1317" s="29" t="n">
        <v>46255.8262037037</v>
      </c>
      <c r="C1317" s="2" t="s">
        <v>158</v>
      </c>
      <c r="D1317" s="2" t="s">
        <v>1432</v>
      </c>
      <c r="E1317" s="2" t="s">
        <v>81</v>
      </c>
      <c r="F1317" s="2" t="s">
        <v>109</v>
      </c>
      <c r="G1317" s="30" t="n">
        <v>52.3</v>
      </c>
      <c r="H1317" s="11" t="n">
        <v>640.44</v>
      </c>
      <c r="I1317" s="11" t="s">
        <v>155</v>
      </c>
      <c r="J1317" s="11" t="n">
        <v>128.35</v>
      </c>
      <c r="K1317" s="11" t="n">
        <v>112.3</v>
      </c>
      <c r="L1317" s="11" t="n">
        <v>0.6404</v>
      </c>
      <c r="M1317" s="11" t="n">
        <v>1.2809</v>
      </c>
      <c r="N1317" s="11" t="n">
        <v>1</v>
      </c>
      <c r="O1317" s="11" t="n">
        <v>4.5</v>
      </c>
      <c r="P1317" s="11" t="n">
        <v>3.18</v>
      </c>
      <c r="Q1317" s="11" t="n">
        <v>23.85</v>
      </c>
      <c r="R1317" s="11" t="n">
        <f aca="false">SUM(K1317:Q1317)</f>
        <v>146.7513</v>
      </c>
      <c r="S1317" s="11" t="n">
        <f aca="false">R1317/(1-Resumo!$C$6)</f>
        <v>166.762840909091</v>
      </c>
      <c r="T1317" s="11" t="n">
        <f aca="false">S1317-J1317</f>
        <v>38.4128409090909</v>
      </c>
      <c r="U1317" s="12" t="n">
        <f aca="false">IFERROR(S1317/J1317-1,0)</f>
        <v>0.299281970464284</v>
      </c>
      <c r="V1317" s="2" t="str">
        <f aca="false">IF(S1317&lt;J1317,"SIM","NÃO")</f>
        <v>NÃO</v>
      </c>
      <c r="W1317" s="2" t="n">
        <v>5</v>
      </c>
      <c r="X1317" s="2" t="s">
        <v>156</v>
      </c>
    </row>
    <row r="1318" customFormat="false" ht="15" hidden="false" customHeight="false" outlineLevel="0" collapsed="false">
      <c r="A1318" s="2" t="n">
        <v>380210046</v>
      </c>
      <c r="B1318" s="29" t="n">
        <v>46255.8344328704</v>
      </c>
      <c r="C1318" s="2" t="s">
        <v>153</v>
      </c>
      <c r="D1318" s="2" t="s">
        <v>1433</v>
      </c>
      <c r="E1318" s="2" t="s">
        <v>89</v>
      </c>
      <c r="F1318" s="2" t="s">
        <v>107</v>
      </c>
      <c r="G1318" s="30" t="n">
        <v>39.9</v>
      </c>
      <c r="H1318" s="11" t="n">
        <v>599.99</v>
      </c>
      <c r="I1318" s="11" t="s">
        <v>155</v>
      </c>
      <c r="J1318" s="11" t="n">
        <v>123.13</v>
      </c>
      <c r="K1318" s="11" t="n">
        <v>124.38</v>
      </c>
      <c r="L1318" s="11" t="n">
        <v>0.6</v>
      </c>
      <c r="M1318" s="11" t="n">
        <v>1.2</v>
      </c>
      <c r="N1318" s="11" t="n">
        <v>1</v>
      </c>
      <c r="O1318" s="11" t="n">
        <v>4.5</v>
      </c>
      <c r="P1318" s="11" t="n">
        <v>2.4</v>
      </c>
      <c r="Q1318" s="11" t="n">
        <v>18</v>
      </c>
      <c r="R1318" s="11" t="n">
        <f aca="false">SUM(K1318:Q1318)</f>
        <v>152.08</v>
      </c>
      <c r="S1318" s="11" t="n">
        <f aca="false">R1318/(1-Resumo!$C$6)</f>
        <v>172.818181818182</v>
      </c>
      <c r="T1318" s="11" t="n">
        <f aca="false">S1318-J1318</f>
        <v>49.6881818181818</v>
      </c>
      <c r="U1318" s="12" t="n">
        <f aca="false">IFERROR(S1318/J1318-1,0)</f>
        <v>0.403542449591341</v>
      </c>
      <c r="V1318" s="2" t="str">
        <f aca="false">IF(S1318&lt;J1318,"SIM","NÃO")</f>
        <v>NÃO</v>
      </c>
      <c r="W1318" s="2" t="n">
        <v>8</v>
      </c>
      <c r="X1318" s="2" t="s">
        <v>156</v>
      </c>
    </row>
    <row r="1319" customFormat="false" ht="15" hidden="false" customHeight="false" outlineLevel="0" collapsed="false">
      <c r="A1319" s="2" t="n">
        <v>380207274</v>
      </c>
      <c r="B1319" s="29" t="n">
        <v>46255.837037037</v>
      </c>
      <c r="C1319" s="2" t="s">
        <v>194</v>
      </c>
      <c r="D1319" s="2" t="s">
        <v>1434</v>
      </c>
      <c r="E1319" s="2" t="s">
        <v>79</v>
      </c>
      <c r="F1319" s="2" t="s">
        <v>108</v>
      </c>
      <c r="G1319" s="30" t="n">
        <v>48.45</v>
      </c>
      <c r="H1319" s="11" t="n">
        <v>549.99</v>
      </c>
      <c r="I1319" s="11" t="s">
        <v>155</v>
      </c>
      <c r="J1319" s="11" t="n">
        <v>116.7</v>
      </c>
      <c r="K1319" s="11" t="n">
        <v>114.95</v>
      </c>
      <c r="L1319" s="11" t="n">
        <v>0.55</v>
      </c>
      <c r="M1319" s="11" t="n">
        <v>1.1</v>
      </c>
      <c r="N1319" s="11" t="n">
        <v>1</v>
      </c>
      <c r="O1319" s="11" t="n">
        <v>4.5</v>
      </c>
      <c r="P1319" s="11" t="n">
        <v>2.94</v>
      </c>
      <c r="Q1319" s="11" t="n">
        <v>22.05</v>
      </c>
      <c r="R1319" s="11" t="n">
        <f aca="false">SUM(K1319:Q1319)</f>
        <v>147.09</v>
      </c>
      <c r="S1319" s="11" t="n">
        <f aca="false">R1319/(1-Resumo!$C$6)</f>
        <v>167.147727272727</v>
      </c>
      <c r="T1319" s="11" t="n">
        <f aca="false">S1319-J1319</f>
        <v>50.4477272727273</v>
      </c>
      <c r="U1319" s="12" t="n">
        <f aca="false">IFERROR(S1319/J1319-1,0)</f>
        <v>0.432285580743164</v>
      </c>
      <c r="V1319" s="2" t="str">
        <f aca="false">IF(S1319&lt;J1319,"SIM","NÃO")</f>
        <v>NÃO</v>
      </c>
      <c r="W1319" s="2" t="n">
        <v>7</v>
      </c>
      <c r="X1319" s="2" t="s">
        <v>156</v>
      </c>
    </row>
    <row r="1320" customFormat="false" ht="15" hidden="false" customHeight="false" outlineLevel="0" collapsed="false">
      <c r="A1320" s="2" t="n">
        <v>380222426</v>
      </c>
      <c r="B1320" s="29" t="n">
        <v>46255.8530092593</v>
      </c>
      <c r="C1320" s="2" t="s">
        <v>191</v>
      </c>
      <c r="D1320" s="2" t="s">
        <v>1435</v>
      </c>
      <c r="E1320" s="2" t="s">
        <v>78</v>
      </c>
      <c r="F1320" s="2" t="s">
        <v>112</v>
      </c>
      <c r="G1320" s="30" t="n">
        <v>81.7</v>
      </c>
      <c r="H1320" s="11" t="n">
        <v>769.99</v>
      </c>
      <c r="I1320" s="11" t="s">
        <v>155</v>
      </c>
      <c r="J1320" s="11" t="n">
        <v>162.78</v>
      </c>
      <c r="K1320" s="11" t="n">
        <v>167.99</v>
      </c>
      <c r="L1320" s="11" t="n">
        <v>0.77</v>
      </c>
      <c r="M1320" s="11" t="n">
        <v>1.54</v>
      </c>
      <c r="N1320" s="11" t="n">
        <v>1</v>
      </c>
      <c r="O1320" s="11" t="n">
        <v>4.5</v>
      </c>
      <c r="P1320" s="11" t="n">
        <v>4.92</v>
      </c>
      <c r="Q1320" s="11" t="n">
        <v>36.9</v>
      </c>
      <c r="R1320" s="11" t="n">
        <f aca="false">SUM(K1320:Q1320)</f>
        <v>217.62</v>
      </c>
      <c r="S1320" s="11" t="n">
        <f aca="false">R1320/(1-Resumo!$C$6)</f>
        <v>247.295454545455</v>
      </c>
      <c r="T1320" s="11" t="n">
        <f aca="false">S1320-J1320</f>
        <v>84.5154545454546</v>
      </c>
      <c r="U1320" s="12" t="n">
        <f aca="false">IFERROR(S1320/J1320-1,0)</f>
        <v>0.519200482525215</v>
      </c>
      <c r="V1320" s="2" t="str">
        <f aca="false">IF(S1320&lt;J1320,"SIM","NÃO")</f>
        <v>NÃO</v>
      </c>
      <c r="W1320" s="2" t="n">
        <v>5</v>
      </c>
      <c r="X1320" s="2" t="s">
        <v>156</v>
      </c>
    </row>
    <row r="1321" customFormat="false" ht="15" hidden="false" customHeight="false" outlineLevel="0" collapsed="false">
      <c r="A1321" s="2" t="n">
        <v>380276234</v>
      </c>
      <c r="B1321" s="29" t="n">
        <v>46255.9127083333</v>
      </c>
      <c r="C1321" s="2" t="s">
        <v>153</v>
      </c>
      <c r="D1321" s="2" t="s">
        <v>1436</v>
      </c>
      <c r="E1321" s="2" t="s">
        <v>87</v>
      </c>
      <c r="F1321" s="2" t="s">
        <v>107</v>
      </c>
      <c r="G1321" s="30" t="n">
        <v>36.8</v>
      </c>
      <c r="H1321" s="11" t="n">
        <v>439.99</v>
      </c>
      <c r="I1321" s="11" t="s">
        <v>155</v>
      </c>
      <c r="J1321" s="11" t="n">
        <v>122.35</v>
      </c>
      <c r="K1321" s="11" t="n">
        <v>124.38</v>
      </c>
      <c r="L1321" s="11" t="n">
        <v>0.44</v>
      </c>
      <c r="M1321" s="11" t="n">
        <v>0.88</v>
      </c>
      <c r="N1321" s="11" t="n">
        <v>1</v>
      </c>
      <c r="O1321" s="11" t="n">
        <v>4.5</v>
      </c>
      <c r="P1321" s="11" t="n">
        <v>2.22</v>
      </c>
      <c r="Q1321" s="11" t="n">
        <v>16.65</v>
      </c>
      <c r="R1321" s="11" t="n">
        <f aca="false">SUM(K1321:Q1321)</f>
        <v>150.07</v>
      </c>
      <c r="S1321" s="11" t="n">
        <f aca="false">R1321/(1-Resumo!$C$6)</f>
        <v>170.534090909091</v>
      </c>
      <c r="T1321" s="11" t="n">
        <f aca="false">S1321-J1321</f>
        <v>48.1840909090909</v>
      </c>
      <c r="U1321" s="12" t="n">
        <f aca="false">IFERROR(S1321/J1321-1,0)</f>
        <v>0.393821748337482</v>
      </c>
      <c r="V1321" s="2" t="str">
        <f aca="false">IF(S1321&lt;J1321,"SIM","NÃO")</f>
        <v>NÃO</v>
      </c>
      <c r="W1321" s="2" t="n">
        <v>10</v>
      </c>
      <c r="X1321" s="2" t="s">
        <v>156</v>
      </c>
    </row>
    <row r="1322" customFormat="false" ht="15" hidden="false" customHeight="false" outlineLevel="0" collapsed="false">
      <c r="A1322" s="2" t="n">
        <v>380276233</v>
      </c>
      <c r="B1322" s="29" t="n">
        <v>46255.9127083333</v>
      </c>
      <c r="C1322" s="2" t="s">
        <v>153</v>
      </c>
      <c r="D1322" s="2" t="s">
        <v>1436</v>
      </c>
      <c r="E1322" s="2" t="s">
        <v>87</v>
      </c>
      <c r="F1322" s="2" t="s">
        <v>109</v>
      </c>
      <c r="G1322" s="30" t="n">
        <v>58.6</v>
      </c>
      <c r="H1322" s="11" t="n">
        <v>645.7</v>
      </c>
      <c r="I1322" s="11" t="s">
        <v>155</v>
      </c>
      <c r="J1322" s="11" t="n">
        <v>142.76</v>
      </c>
      <c r="K1322" s="11" t="n">
        <v>142.32</v>
      </c>
      <c r="L1322" s="11" t="n">
        <v>0.6457</v>
      </c>
      <c r="M1322" s="11" t="n">
        <v>1.2914</v>
      </c>
      <c r="N1322" s="11" t="n">
        <v>1</v>
      </c>
      <c r="O1322" s="11" t="n">
        <v>4.5</v>
      </c>
      <c r="P1322" s="11" t="n">
        <v>3.54</v>
      </c>
      <c r="Q1322" s="11" t="n">
        <v>26.55</v>
      </c>
      <c r="R1322" s="11" t="n">
        <f aca="false">SUM(K1322:Q1322)</f>
        <v>179.8471</v>
      </c>
      <c r="S1322" s="11" t="n">
        <f aca="false">R1322/(1-Resumo!$C$6)</f>
        <v>204.371704545455</v>
      </c>
      <c r="T1322" s="11" t="n">
        <f aca="false">S1322-J1322</f>
        <v>61.6117045454546</v>
      </c>
      <c r="U1322" s="12" t="n">
        <f aca="false">IFERROR(S1322/J1322-1,0)</f>
        <v>0.431575403092285</v>
      </c>
      <c r="V1322" s="2" t="str">
        <f aca="false">IF(S1322&lt;J1322,"SIM","NÃO")</f>
        <v>NÃO</v>
      </c>
      <c r="W1322" s="2" t="n">
        <v>10</v>
      </c>
      <c r="X1322" s="2" t="s">
        <v>156</v>
      </c>
    </row>
    <row r="1323" customFormat="false" ht="15" hidden="false" customHeight="false" outlineLevel="0" collapsed="false">
      <c r="A1323" s="2" t="n">
        <v>380288539</v>
      </c>
      <c r="B1323" s="29" t="n">
        <v>46255.9264351852</v>
      </c>
      <c r="C1323" s="2" t="s">
        <v>158</v>
      </c>
      <c r="D1323" s="2" t="s">
        <v>1437</v>
      </c>
      <c r="E1323" s="2" t="s">
        <v>342</v>
      </c>
      <c r="F1323" s="2" t="s">
        <v>109</v>
      </c>
      <c r="G1323" s="30" t="n">
        <v>58.5</v>
      </c>
      <c r="H1323" s="11" t="n">
        <v>855.95</v>
      </c>
      <c r="I1323" s="11" t="s">
        <v>155</v>
      </c>
      <c r="J1323" s="11" t="n">
        <v>143.77</v>
      </c>
      <c r="K1323" s="11" t="n">
        <v>142.32</v>
      </c>
      <c r="L1323" s="11" t="n">
        <v>0.856</v>
      </c>
      <c r="M1323" s="11" t="n">
        <v>1.7119</v>
      </c>
      <c r="N1323" s="11" t="n">
        <v>1</v>
      </c>
      <c r="O1323" s="11" t="n">
        <v>4.5</v>
      </c>
      <c r="P1323" s="11" t="n">
        <v>3.54</v>
      </c>
      <c r="Q1323" s="11" t="n">
        <v>26.55</v>
      </c>
      <c r="R1323" s="11" t="n">
        <f aca="false">SUM(K1323:Q1323)</f>
        <v>180.4779</v>
      </c>
      <c r="S1323" s="11" t="n">
        <f aca="false">R1323/(1-Resumo!$C$6)</f>
        <v>205.088522727273</v>
      </c>
      <c r="T1323" s="11" t="n">
        <f aca="false">S1323-J1323</f>
        <v>61.3185227272727</v>
      </c>
      <c r="U1323" s="12" t="n">
        <f aca="false">IFERROR(S1323/J1323-1,0)</f>
        <v>0.426504296635409</v>
      </c>
      <c r="V1323" s="2" t="str">
        <f aca="false">IF(S1323&lt;J1323,"SIM","NÃO")</f>
        <v>NÃO</v>
      </c>
      <c r="W1323" s="2" t="n">
        <v>10</v>
      </c>
      <c r="X1323" s="2" t="s">
        <v>161</v>
      </c>
    </row>
    <row r="1324" customFormat="false" ht="15" hidden="false" customHeight="false" outlineLevel="0" collapsed="false">
      <c r="A1324" s="2" t="n">
        <v>380304737</v>
      </c>
      <c r="B1324" s="29" t="n">
        <v>46255.9441898148</v>
      </c>
      <c r="C1324" s="2" t="s">
        <v>153</v>
      </c>
      <c r="D1324" s="2" t="s">
        <v>1438</v>
      </c>
      <c r="E1324" s="2" t="s">
        <v>85</v>
      </c>
      <c r="F1324" s="2" t="s">
        <v>112</v>
      </c>
      <c r="G1324" s="30" t="n">
        <v>82.7</v>
      </c>
      <c r="H1324" s="11" t="n">
        <v>979.99</v>
      </c>
      <c r="I1324" s="11" t="s">
        <v>155</v>
      </c>
      <c r="J1324" s="11" t="n">
        <v>193.3</v>
      </c>
      <c r="K1324" s="11" t="n">
        <v>200.04</v>
      </c>
      <c r="L1324" s="11" t="n">
        <v>0.98</v>
      </c>
      <c r="M1324" s="11" t="n">
        <v>1.96</v>
      </c>
      <c r="N1324" s="11" t="n">
        <v>1</v>
      </c>
      <c r="O1324" s="11" t="n">
        <v>4.5</v>
      </c>
      <c r="P1324" s="11" t="n">
        <v>4.98</v>
      </c>
      <c r="Q1324" s="11" t="n">
        <v>37.35</v>
      </c>
      <c r="R1324" s="11" t="n">
        <f aca="false">SUM(K1324:Q1324)</f>
        <v>250.81</v>
      </c>
      <c r="S1324" s="11" t="n">
        <f aca="false">R1324/(1-Resumo!$C$6)</f>
        <v>285.011363636364</v>
      </c>
      <c r="T1324" s="11" t="n">
        <f aca="false">S1324-J1324</f>
        <v>91.7113636363636</v>
      </c>
      <c r="U1324" s="12" t="n">
        <f aca="false">IFERROR(S1324/J1324-1,0)</f>
        <v>0.474450924140526</v>
      </c>
      <c r="V1324" s="2" t="str">
        <f aca="false">IF(S1324&lt;J1324,"SIM","NÃO")</f>
        <v>NÃO</v>
      </c>
      <c r="W1324" s="2" t="n">
        <v>11</v>
      </c>
      <c r="X1324" s="2" t="s">
        <v>156</v>
      </c>
    </row>
    <row r="1325" customFormat="false" ht="15" hidden="false" customHeight="false" outlineLevel="0" collapsed="false">
      <c r="A1325" s="2" t="n">
        <v>380351316</v>
      </c>
      <c r="B1325" s="29" t="n">
        <v>46256.0080324074</v>
      </c>
      <c r="C1325" s="2" t="s">
        <v>178</v>
      </c>
      <c r="D1325" s="2" t="s">
        <v>1439</v>
      </c>
      <c r="E1325" s="2" t="s">
        <v>88</v>
      </c>
      <c r="F1325" s="2" t="s">
        <v>107</v>
      </c>
      <c r="G1325" s="30" t="n">
        <v>36.8</v>
      </c>
      <c r="H1325" s="11" t="n">
        <v>475.99</v>
      </c>
      <c r="I1325" s="11" t="s">
        <v>155</v>
      </c>
      <c r="J1325" s="11" t="n">
        <v>122.52</v>
      </c>
      <c r="K1325" s="11" t="n">
        <v>124.38</v>
      </c>
      <c r="L1325" s="11" t="n">
        <v>0.476</v>
      </c>
      <c r="M1325" s="11" t="n">
        <v>0.952</v>
      </c>
      <c r="N1325" s="11" t="n">
        <v>1</v>
      </c>
      <c r="O1325" s="11" t="n">
        <v>4.5</v>
      </c>
      <c r="P1325" s="11" t="n">
        <v>2.22</v>
      </c>
      <c r="Q1325" s="11" t="n">
        <v>16.65</v>
      </c>
      <c r="R1325" s="11" t="n">
        <f aca="false">SUM(K1325:Q1325)</f>
        <v>150.178</v>
      </c>
      <c r="S1325" s="11" t="n">
        <f aca="false">R1325/(1-Resumo!$C$6)</f>
        <v>170.656818181818</v>
      </c>
      <c r="T1325" s="11" t="n">
        <f aca="false">S1325-J1325</f>
        <v>48.1368181818182</v>
      </c>
      <c r="U1325" s="12" t="n">
        <f aca="false">IFERROR(S1325/J1325-1,0)</f>
        <v>0.392889472590746</v>
      </c>
      <c r="V1325" s="2" t="str">
        <f aca="false">IF(S1325&lt;J1325,"SIM","NÃO")</f>
        <v>NÃO</v>
      </c>
      <c r="W1325" s="2" t="n">
        <v>10</v>
      </c>
      <c r="X1325" s="2" t="s">
        <v>156</v>
      </c>
    </row>
    <row r="1326" customFormat="false" ht="15" hidden="false" customHeight="false" outlineLevel="0" collapsed="false">
      <c r="A1326" s="2" t="n">
        <v>380372914</v>
      </c>
      <c r="B1326" s="29" t="n">
        <v>46256.0241203704</v>
      </c>
      <c r="C1326" s="2" t="s">
        <v>153</v>
      </c>
      <c r="D1326" s="2" t="s">
        <v>1440</v>
      </c>
      <c r="E1326" s="2" t="s">
        <v>89</v>
      </c>
      <c r="F1326" s="2" t="s">
        <v>109</v>
      </c>
      <c r="G1326" s="30" t="n">
        <v>52.3</v>
      </c>
      <c r="H1326" s="11" t="n">
        <v>669.99</v>
      </c>
      <c r="I1326" s="11" t="s">
        <v>155</v>
      </c>
      <c r="J1326" s="11" t="n">
        <v>142.87</v>
      </c>
      <c r="K1326" s="11" t="n">
        <v>142.32</v>
      </c>
      <c r="L1326" s="11" t="n">
        <v>0.67</v>
      </c>
      <c r="M1326" s="11" t="n">
        <v>1.34</v>
      </c>
      <c r="N1326" s="11" t="n">
        <v>1</v>
      </c>
      <c r="O1326" s="11" t="n">
        <v>4.5</v>
      </c>
      <c r="P1326" s="11" t="n">
        <v>3.18</v>
      </c>
      <c r="Q1326" s="11" t="n">
        <v>23.85</v>
      </c>
      <c r="R1326" s="11" t="n">
        <f aca="false">SUM(K1326:Q1326)</f>
        <v>176.86</v>
      </c>
      <c r="S1326" s="11" t="n">
        <f aca="false">R1326/(1-Resumo!$C$6)</f>
        <v>200.977272727273</v>
      </c>
      <c r="T1326" s="11" t="n">
        <f aca="false">S1326-J1326</f>
        <v>58.1072727272727</v>
      </c>
      <c r="U1326" s="12" t="n">
        <f aca="false">IFERROR(S1326/J1326-1,0)</f>
        <v>0.406714304803477</v>
      </c>
      <c r="V1326" s="2" t="str">
        <f aca="false">IF(S1326&lt;J1326,"SIM","NÃO")</f>
        <v>NÃO</v>
      </c>
      <c r="W1326" s="2" t="n">
        <v>8</v>
      </c>
      <c r="X1326" s="2" t="s">
        <v>156</v>
      </c>
    </row>
    <row r="1327" customFormat="false" ht="15" hidden="false" customHeight="false" outlineLevel="0" collapsed="false">
      <c r="A1327" s="2" t="n">
        <v>380506346</v>
      </c>
      <c r="B1327" s="29" t="n">
        <v>46256.246712963</v>
      </c>
      <c r="C1327" s="2" t="s">
        <v>153</v>
      </c>
      <c r="D1327" s="2" t="s">
        <v>592</v>
      </c>
      <c r="E1327" s="2" t="s">
        <v>78</v>
      </c>
      <c r="F1327" s="2" t="s">
        <v>109</v>
      </c>
      <c r="G1327" s="30" t="n">
        <v>60</v>
      </c>
      <c r="H1327" s="11" t="n">
        <v>793.29</v>
      </c>
      <c r="I1327" s="11" t="s">
        <v>155</v>
      </c>
      <c r="J1327" s="11" t="n">
        <v>114.95</v>
      </c>
      <c r="K1327" s="11" t="n">
        <v>112.3</v>
      </c>
      <c r="L1327" s="11" t="n">
        <v>0.7933</v>
      </c>
      <c r="M1327" s="11" t="n">
        <v>1.5866</v>
      </c>
      <c r="N1327" s="11" t="n">
        <v>1</v>
      </c>
      <c r="O1327" s="11" t="n">
        <v>4.5</v>
      </c>
      <c r="P1327" s="11" t="n">
        <v>3.6</v>
      </c>
      <c r="Q1327" s="11" t="n">
        <v>27</v>
      </c>
      <c r="R1327" s="11" t="n">
        <f aca="false">SUM(K1327:Q1327)</f>
        <v>150.7799</v>
      </c>
      <c r="S1327" s="11" t="n">
        <f aca="false">R1327/(1-Resumo!$C$6)</f>
        <v>171.340795454545</v>
      </c>
      <c r="T1327" s="11" t="n">
        <f aca="false">S1327-J1327</f>
        <v>56.3907954545455</v>
      </c>
      <c r="U1327" s="12" t="n">
        <f aca="false">IFERROR(S1327/J1327-1,0)</f>
        <v>0.490568033532366</v>
      </c>
      <c r="V1327" s="2" t="str">
        <f aca="false">IF(S1327&lt;J1327,"SIM","NÃO")</f>
        <v>NÃO</v>
      </c>
      <c r="W1327" s="2" t="n">
        <v>5</v>
      </c>
      <c r="X1327" s="2" t="s">
        <v>156</v>
      </c>
    </row>
    <row r="1328" customFormat="false" ht="15" hidden="false" customHeight="false" outlineLevel="0" collapsed="false">
      <c r="A1328" s="2" t="n">
        <v>380552275</v>
      </c>
      <c r="B1328" s="29" t="n">
        <v>46256.335775463</v>
      </c>
      <c r="C1328" s="2" t="s">
        <v>178</v>
      </c>
      <c r="D1328" s="2" t="s">
        <v>1441</v>
      </c>
      <c r="E1328" s="2" t="s">
        <v>80</v>
      </c>
      <c r="F1328" s="2" t="s">
        <v>108</v>
      </c>
      <c r="G1328" s="30" t="n">
        <v>46.8</v>
      </c>
      <c r="H1328" s="11" t="n">
        <v>535.49</v>
      </c>
      <c r="I1328" s="11" t="s">
        <v>155</v>
      </c>
      <c r="J1328" s="11" t="n">
        <v>116.64</v>
      </c>
      <c r="K1328" s="11" t="n">
        <v>93.97</v>
      </c>
      <c r="L1328" s="11" t="n">
        <v>0.5355</v>
      </c>
      <c r="M1328" s="11" t="n">
        <v>1.071</v>
      </c>
      <c r="N1328" s="11" t="n">
        <v>1</v>
      </c>
      <c r="O1328" s="11" t="n">
        <v>4.5</v>
      </c>
      <c r="P1328" s="11" t="n">
        <v>2.82</v>
      </c>
      <c r="Q1328" s="11" t="n">
        <v>21.15</v>
      </c>
      <c r="R1328" s="11" t="n">
        <f aca="false">SUM(K1328:Q1328)</f>
        <v>125.0465</v>
      </c>
      <c r="S1328" s="11" t="n">
        <f aca="false">R1328/(1-Resumo!$C$6)</f>
        <v>142.098295454545</v>
      </c>
      <c r="T1328" s="11" t="n">
        <f aca="false">S1328-J1328</f>
        <v>25.4582954545455</v>
      </c>
      <c r="U1328" s="12" t="n">
        <f aca="false">IFERROR(S1328/J1328-1,0)</f>
        <v>0.218263849918942</v>
      </c>
      <c r="V1328" s="2" t="str">
        <f aca="false">IF(S1328&lt;J1328,"SIM","NÃO")</f>
        <v>NÃO</v>
      </c>
      <c r="W1328" s="2" t="n">
        <v>5</v>
      </c>
      <c r="X1328" s="2" t="s">
        <v>156</v>
      </c>
    </row>
    <row r="1329" customFormat="false" ht="15" hidden="false" customHeight="false" outlineLevel="0" collapsed="false">
      <c r="A1329" s="2" t="n">
        <v>380583142</v>
      </c>
      <c r="B1329" s="29" t="n">
        <v>46256.3650810185</v>
      </c>
      <c r="C1329" s="2" t="s">
        <v>153</v>
      </c>
      <c r="D1329" s="2" t="s">
        <v>1442</v>
      </c>
      <c r="E1329" s="2" t="s">
        <v>186</v>
      </c>
      <c r="F1329" s="2" t="s">
        <v>109</v>
      </c>
      <c r="G1329" s="30" t="n">
        <v>52.3</v>
      </c>
      <c r="H1329" s="11" t="n">
        <v>669.99</v>
      </c>
      <c r="I1329" s="11" t="s">
        <v>155</v>
      </c>
      <c r="J1329" s="11" t="n">
        <v>142.87</v>
      </c>
      <c r="K1329" s="11" t="n">
        <v>112.3</v>
      </c>
      <c r="L1329" s="11" t="n">
        <v>0.67</v>
      </c>
      <c r="M1329" s="11" t="n">
        <v>1.34</v>
      </c>
      <c r="N1329" s="11" t="n">
        <v>1</v>
      </c>
      <c r="O1329" s="11" t="n">
        <v>4.5</v>
      </c>
      <c r="P1329" s="11" t="n">
        <v>3.18</v>
      </c>
      <c r="Q1329" s="11" t="n">
        <v>23.85</v>
      </c>
      <c r="R1329" s="11" t="n">
        <f aca="false">SUM(K1329:Q1329)</f>
        <v>146.84</v>
      </c>
      <c r="S1329" s="11" t="n">
        <f aca="false">R1329/(1-Resumo!$C$6)</f>
        <v>166.863636363636</v>
      </c>
      <c r="T1329" s="11" t="n">
        <f aca="false">S1329-J1329</f>
        <v>23.9936363636364</v>
      </c>
      <c r="U1329" s="12" t="n">
        <f aca="false">IFERROR(S1329/J1329-1,0)</f>
        <v>0.167940339914862</v>
      </c>
      <c r="V1329" s="2" t="str">
        <f aca="false">IF(S1329&lt;J1329,"SIM","NÃO")</f>
        <v>NÃO</v>
      </c>
      <c r="W1329" s="2" t="n">
        <v>5</v>
      </c>
      <c r="X1329" s="2" t="s">
        <v>161</v>
      </c>
    </row>
    <row r="1330" customFormat="false" ht="15" hidden="false" customHeight="false" outlineLevel="0" collapsed="false">
      <c r="A1330" s="2" t="n">
        <v>380636156</v>
      </c>
      <c r="B1330" s="29" t="n">
        <v>46256.4240625</v>
      </c>
      <c r="C1330" s="2" t="s">
        <v>153</v>
      </c>
      <c r="D1330" s="2" t="s">
        <v>1443</v>
      </c>
      <c r="E1330" s="2" t="s">
        <v>81</v>
      </c>
      <c r="F1330" s="2" t="s">
        <v>106</v>
      </c>
      <c r="G1330" s="30" t="n">
        <v>33</v>
      </c>
      <c r="H1330" s="11" t="n">
        <v>1249.99</v>
      </c>
      <c r="I1330" s="11" t="s">
        <v>155</v>
      </c>
      <c r="J1330" s="11" t="n">
        <v>105.37</v>
      </c>
      <c r="K1330" s="11" t="n">
        <v>82.21</v>
      </c>
      <c r="L1330" s="11" t="n">
        <v>1.25</v>
      </c>
      <c r="M1330" s="11" t="n">
        <v>2.5</v>
      </c>
      <c r="N1330" s="11" t="n">
        <v>1</v>
      </c>
      <c r="O1330" s="11" t="n">
        <v>4.5</v>
      </c>
      <c r="P1330" s="11" t="n">
        <v>1.98</v>
      </c>
      <c r="Q1330" s="11" t="n">
        <v>14.85</v>
      </c>
      <c r="R1330" s="11" t="n">
        <f aca="false">SUM(K1330:Q1330)</f>
        <v>108.29</v>
      </c>
      <c r="S1330" s="11" t="n">
        <f aca="false">R1330/(1-Resumo!$C$6)</f>
        <v>123.056818181818</v>
      </c>
      <c r="T1330" s="11" t="n">
        <f aca="false">S1330-J1330</f>
        <v>17.6868181818182</v>
      </c>
      <c r="U1330" s="12" t="n">
        <f aca="false">IFERROR(S1330/J1330-1,0)</f>
        <v>0.167854400510754</v>
      </c>
      <c r="V1330" s="2" t="str">
        <f aca="false">IF(S1330&lt;J1330,"SIM","NÃO")</f>
        <v>NÃO</v>
      </c>
      <c r="W1330" s="2" t="n">
        <v>5</v>
      </c>
      <c r="X1330" s="2" t="s">
        <v>156</v>
      </c>
    </row>
    <row r="1331" customFormat="false" ht="15" hidden="false" customHeight="false" outlineLevel="0" collapsed="false">
      <c r="A1331" s="2" t="n">
        <v>380653909</v>
      </c>
      <c r="B1331" s="29" t="n">
        <v>46256.4431597222</v>
      </c>
      <c r="C1331" s="2" t="s">
        <v>153</v>
      </c>
      <c r="D1331" s="2" t="s">
        <v>1323</v>
      </c>
      <c r="E1331" s="2" t="s">
        <v>78</v>
      </c>
      <c r="F1331" s="2" t="s">
        <v>109</v>
      </c>
      <c r="G1331" s="30" t="n">
        <v>53.5</v>
      </c>
      <c r="H1331" s="11" t="n">
        <v>579.85</v>
      </c>
      <c r="I1331" s="11" t="s">
        <v>155</v>
      </c>
      <c r="J1331" s="11" t="n">
        <v>113.93</v>
      </c>
      <c r="K1331" s="11" t="n">
        <v>112.3</v>
      </c>
      <c r="L1331" s="11" t="n">
        <v>0.5799</v>
      </c>
      <c r="M1331" s="11" t="n">
        <v>1.1597</v>
      </c>
      <c r="N1331" s="11" t="n">
        <v>1</v>
      </c>
      <c r="O1331" s="11" t="n">
        <v>4.5</v>
      </c>
      <c r="P1331" s="11" t="n">
        <v>3.24</v>
      </c>
      <c r="Q1331" s="11" t="n">
        <v>24.3</v>
      </c>
      <c r="R1331" s="11" t="n">
        <f aca="false">SUM(K1331:Q1331)</f>
        <v>147.0796</v>
      </c>
      <c r="S1331" s="11" t="n">
        <f aca="false">R1331/(1-Resumo!$C$6)</f>
        <v>167.135909090909</v>
      </c>
      <c r="T1331" s="11" t="n">
        <f aca="false">S1331-J1331</f>
        <v>53.2059090909091</v>
      </c>
      <c r="U1331" s="12" t="n">
        <f aca="false">IFERROR(S1331/J1331-1,0)</f>
        <v>0.467005258412263</v>
      </c>
      <c r="V1331" s="2" t="str">
        <f aca="false">IF(S1331&lt;J1331,"SIM","NÃO")</f>
        <v>NÃO</v>
      </c>
      <c r="W1331" s="2" t="n">
        <v>5</v>
      </c>
      <c r="X1331" s="2" t="s">
        <v>156</v>
      </c>
    </row>
    <row r="1332" customFormat="false" ht="15" hidden="false" customHeight="false" outlineLevel="0" collapsed="false">
      <c r="A1332" s="2" t="n">
        <v>380669212</v>
      </c>
      <c r="B1332" s="29" t="n">
        <v>46256.4595486111</v>
      </c>
      <c r="C1332" s="2" t="s">
        <v>158</v>
      </c>
      <c r="D1332" s="2" t="s">
        <v>1444</v>
      </c>
      <c r="E1332" s="2" t="s">
        <v>78</v>
      </c>
      <c r="F1332" s="2" t="s">
        <v>114</v>
      </c>
      <c r="G1332" s="30" t="n">
        <v>124.2</v>
      </c>
      <c r="H1332" s="11" t="n">
        <v>1526.91</v>
      </c>
      <c r="I1332" s="11" t="s">
        <v>155</v>
      </c>
      <c r="J1332" s="11" t="n">
        <v>233.6</v>
      </c>
      <c r="K1332" s="11" t="n">
        <v>239.25</v>
      </c>
      <c r="L1332" s="11" t="n">
        <v>1.5269</v>
      </c>
      <c r="M1332" s="11" t="n">
        <v>3.0538</v>
      </c>
      <c r="N1332" s="11" t="n">
        <v>1</v>
      </c>
      <c r="O1332" s="11" t="n">
        <v>9</v>
      </c>
      <c r="P1332" s="11" t="n">
        <v>7.5</v>
      </c>
      <c r="Q1332" s="11" t="n">
        <v>56.25</v>
      </c>
      <c r="R1332" s="11" t="n">
        <f aca="false">SUM(K1332:Q1332)</f>
        <v>317.5807</v>
      </c>
      <c r="S1332" s="11" t="n">
        <f aca="false">R1332/(1-Resumo!$C$6)</f>
        <v>360.887159090909</v>
      </c>
      <c r="T1332" s="11" t="n">
        <f aca="false">S1332-J1332</f>
        <v>127.287159090909</v>
      </c>
      <c r="U1332" s="12" t="n">
        <f aca="false">IFERROR(S1332/J1332-1,0)</f>
        <v>0.544893660491905</v>
      </c>
      <c r="V1332" s="2" t="str">
        <f aca="false">IF(S1332&lt;J1332,"SIM","NÃO")</f>
        <v>NÃO</v>
      </c>
      <c r="W1332" s="2" t="n">
        <v>5</v>
      </c>
      <c r="X1332" s="2" t="s">
        <v>156</v>
      </c>
    </row>
    <row r="1333" customFormat="false" ht="15" hidden="false" customHeight="false" outlineLevel="0" collapsed="false">
      <c r="A1333" s="2" t="n">
        <v>380770116</v>
      </c>
      <c r="B1333" s="29" t="n">
        <v>46256.4829513889</v>
      </c>
      <c r="C1333" s="2" t="s">
        <v>158</v>
      </c>
      <c r="D1333" s="2" t="s">
        <v>1445</v>
      </c>
      <c r="E1333" s="2" t="s">
        <v>87</v>
      </c>
      <c r="F1333" s="2" t="s">
        <v>107</v>
      </c>
      <c r="G1333" s="30" t="n">
        <v>35.3</v>
      </c>
      <c r="H1333" s="11" t="n">
        <v>443.95</v>
      </c>
      <c r="I1333" s="11" t="s">
        <v>155</v>
      </c>
      <c r="J1333" s="11" t="n">
        <v>122.38</v>
      </c>
      <c r="K1333" s="11" t="n">
        <v>124.38</v>
      </c>
      <c r="L1333" s="11" t="n">
        <v>0.444</v>
      </c>
      <c r="M1333" s="11" t="n">
        <v>0.8879</v>
      </c>
      <c r="N1333" s="11" t="n">
        <v>1</v>
      </c>
      <c r="O1333" s="11" t="n">
        <v>4.5</v>
      </c>
      <c r="P1333" s="11" t="n">
        <v>2.16</v>
      </c>
      <c r="Q1333" s="11" t="n">
        <v>16.2</v>
      </c>
      <c r="R1333" s="11" t="n">
        <f aca="false">SUM(K1333:Q1333)</f>
        <v>149.5719</v>
      </c>
      <c r="S1333" s="11" t="n">
        <f aca="false">R1333/(1-Resumo!$C$6)</f>
        <v>169.968068181818</v>
      </c>
      <c r="T1333" s="11" t="n">
        <f aca="false">S1333-J1333</f>
        <v>47.5880681818182</v>
      </c>
      <c r="U1333" s="12" t="n">
        <f aca="false">IFERROR(S1333/J1333-1,0)</f>
        <v>0.388854945103924</v>
      </c>
      <c r="V1333" s="2" t="str">
        <f aca="false">IF(S1333&lt;J1333,"SIM","NÃO")</f>
        <v>NÃO</v>
      </c>
      <c r="W1333" s="2" t="n">
        <v>10</v>
      </c>
      <c r="X1333" s="2" t="s">
        <v>156</v>
      </c>
    </row>
    <row r="1334" customFormat="false" ht="15" hidden="false" customHeight="false" outlineLevel="0" collapsed="false">
      <c r="A1334" s="2" t="n">
        <v>379960014</v>
      </c>
      <c r="B1334" s="29" t="n">
        <v>46256.4954861111</v>
      </c>
      <c r="C1334" s="2" t="s">
        <v>178</v>
      </c>
      <c r="D1334" s="2" t="s">
        <v>1446</v>
      </c>
      <c r="E1334" s="2" t="s">
        <v>78</v>
      </c>
      <c r="F1334" s="2" t="s">
        <v>107</v>
      </c>
      <c r="G1334" s="30" t="n">
        <v>37.2</v>
      </c>
      <c r="H1334" s="11" t="n">
        <v>433.49</v>
      </c>
      <c r="I1334" s="11" t="s">
        <v>155</v>
      </c>
      <c r="J1334" s="11" t="n">
        <v>91.94</v>
      </c>
      <c r="K1334" s="11" t="n">
        <v>93.97</v>
      </c>
      <c r="L1334" s="11" t="n">
        <v>0.4335</v>
      </c>
      <c r="M1334" s="11" t="n">
        <v>0.867</v>
      </c>
      <c r="N1334" s="11" t="n">
        <v>1</v>
      </c>
      <c r="O1334" s="11" t="n">
        <v>4.5</v>
      </c>
      <c r="P1334" s="11" t="n">
        <v>2.28</v>
      </c>
      <c r="Q1334" s="11" t="n">
        <v>17.1</v>
      </c>
      <c r="R1334" s="11" t="n">
        <f aca="false">SUM(K1334:Q1334)</f>
        <v>120.1505</v>
      </c>
      <c r="S1334" s="11" t="n">
        <f aca="false">R1334/(1-Resumo!$C$6)</f>
        <v>136.534659090909</v>
      </c>
      <c r="T1334" s="11" t="n">
        <f aca="false">S1334-J1334</f>
        <v>44.5946590909091</v>
      </c>
      <c r="U1334" s="12" t="n">
        <f aca="false">IFERROR(S1334/J1334-1,0)</f>
        <v>0.485040886348805</v>
      </c>
      <c r="V1334" s="2" t="str">
        <f aca="false">IF(S1334&lt;J1334,"SIM","NÃO")</f>
        <v>NÃO</v>
      </c>
      <c r="W1334" s="2" t="n">
        <v>5</v>
      </c>
      <c r="X1334" s="2" t="s">
        <v>156</v>
      </c>
    </row>
    <row r="1335" customFormat="false" ht="15" hidden="false" customHeight="false" outlineLevel="0" collapsed="false">
      <c r="A1335" s="2" t="n">
        <v>380707784</v>
      </c>
      <c r="B1335" s="29" t="n">
        <v>46256.5102546296</v>
      </c>
      <c r="C1335" s="2" t="s">
        <v>153</v>
      </c>
      <c r="D1335" s="2" t="s">
        <v>213</v>
      </c>
      <c r="E1335" s="2" t="s">
        <v>78</v>
      </c>
      <c r="F1335" s="2" t="s">
        <v>106</v>
      </c>
      <c r="G1335" s="30" t="n">
        <v>27</v>
      </c>
      <c r="H1335" s="11" t="n">
        <v>329.99</v>
      </c>
      <c r="I1335" s="11" t="s">
        <v>155</v>
      </c>
      <c r="J1335" s="11" t="n">
        <v>81.91</v>
      </c>
      <c r="K1335" s="11" t="n">
        <v>82.21</v>
      </c>
      <c r="L1335" s="11" t="n">
        <v>0.33</v>
      </c>
      <c r="M1335" s="11" t="n">
        <v>0.66</v>
      </c>
      <c r="N1335" s="11" t="n">
        <v>1</v>
      </c>
      <c r="O1335" s="11" t="n">
        <v>4.5</v>
      </c>
      <c r="P1335" s="11" t="n">
        <v>1.62</v>
      </c>
      <c r="Q1335" s="11" t="n">
        <v>12.15</v>
      </c>
      <c r="R1335" s="11" t="n">
        <f aca="false">SUM(K1335:Q1335)</f>
        <v>102.47</v>
      </c>
      <c r="S1335" s="11" t="n">
        <f aca="false">R1335/(1-Resumo!$C$6)</f>
        <v>116.443181818182</v>
      </c>
      <c r="T1335" s="11" t="n">
        <f aca="false">S1335-J1335</f>
        <v>34.5331818181818</v>
      </c>
      <c r="U1335" s="12" t="n">
        <f aca="false">IFERROR(S1335/J1335-1,0)</f>
        <v>0.421599094349674</v>
      </c>
      <c r="V1335" s="2" t="str">
        <f aca="false">IF(S1335&lt;J1335,"SIM","NÃO")</f>
        <v>NÃO</v>
      </c>
      <c r="W1335" s="2" t="n">
        <v>5</v>
      </c>
      <c r="X1335" s="2" t="s">
        <v>156</v>
      </c>
    </row>
    <row r="1336" customFormat="false" ht="15" hidden="false" customHeight="false" outlineLevel="0" collapsed="false">
      <c r="A1336" s="2" t="n">
        <v>380707787</v>
      </c>
      <c r="B1336" s="29" t="n">
        <v>46256.5102546296</v>
      </c>
      <c r="C1336" s="2" t="s">
        <v>153</v>
      </c>
      <c r="D1336" s="2" t="s">
        <v>213</v>
      </c>
      <c r="E1336" s="2" t="s">
        <v>78</v>
      </c>
      <c r="F1336" s="2" t="s">
        <v>106</v>
      </c>
      <c r="G1336" s="30" t="n">
        <v>27.5</v>
      </c>
      <c r="H1336" s="11" t="n">
        <v>369.99</v>
      </c>
      <c r="I1336" s="11" t="s">
        <v>155</v>
      </c>
      <c r="J1336" s="11" t="n">
        <v>82.1</v>
      </c>
      <c r="K1336" s="11" t="n">
        <v>82.21</v>
      </c>
      <c r="L1336" s="11" t="n">
        <v>0.37</v>
      </c>
      <c r="M1336" s="11" t="n">
        <v>0.74</v>
      </c>
      <c r="N1336" s="11" t="n">
        <v>1</v>
      </c>
      <c r="O1336" s="11" t="n">
        <v>4.5</v>
      </c>
      <c r="P1336" s="11" t="n">
        <v>1.68</v>
      </c>
      <c r="Q1336" s="11" t="n">
        <v>12.6</v>
      </c>
      <c r="R1336" s="11" t="n">
        <f aca="false">SUM(K1336:Q1336)</f>
        <v>103.1</v>
      </c>
      <c r="S1336" s="11" t="n">
        <f aca="false">R1336/(1-Resumo!$C$6)</f>
        <v>117.159090909091</v>
      </c>
      <c r="T1336" s="11" t="n">
        <f aca="false">S1336-J1336</f>
        <v>35.0590909090909</v>
      </c>
      <c r="U1336" s="12" t="n">
        <f aca="false">IFERROR(S1336/J1336-1,0)</f>
        <v>0.427029121913409</v>
      </c>
      <c r="V1336" s="2" t="str">
        <f aca="false">IF(S1336&lt;J1336,"SIM","NÃO")</f>
        <v>NÃO</v>
      </c>
      <c r="W1336" s="2" t="n">
        <v>5</v>
      </c>
      <c r="X1336" s="2" t="s">
        <v>156</v>
      </c>
    </row>
    <row r="1337" customFormat="false" ht="15" hidden="false" customHeight="false" outlineLevel="0" collapsed="false">
      <c r="A1337" s="2" t="n">
        <v>380714662</v>
      </c>
      <c r="B1337" s="29" t="n">
        <v>46256.5217013889</v>
      </c>
      <c r="C1337" s="2" t="s">
        <v>191</v>
      </c>
      <c r="D1337" s="2" t="s">
        <v>1447</v>
      </c>
      <c r="E1337" s="2" t="s">
        <v>78</v>
      </c>
      <c r="F1337" s="2" t="s">
        <v>109</v>
      </c>
      <c r="G1337" s="30" t="n">
        <v>52.3</v>
      </c>
      <c r="H1337" s="11" t="n">
        <v>719.99</v>
      </c>
      <c r="I1337" s="11" t="s">
        <v>155</v>
      </c>
      <c r="J1337" s="11" t="n">
        <v>114.6</v>
      </c>
      <c r="K1337" s="11" t="n">
        <v>112.3</v>
      </c>
      <c r="L1337" s="11" t="n">
        <v>0.72</v>
      </c>
      <c r="M1337" s="11" t="n">
        <v>1.44</v>
      </c>
      <c r="N1337" s="11" t="n">
        <v>1</v>
      </c>
      <c r="O1337" s="11" t="n">
        <v>4.5</v>
      </c>
      <c r="P1337" s="11" t="n">
        <v>3.18</v>
      </c>
      <c r="Q1337" s="11" t="n">
        <v>23.85</v>
      </c>
      <c r="R1337" s="11" t="n">
        <f aca="false">SUM(K1337:Q1337)</f>
        <v>146.99</v>
      </c>
      <c r="S1337" s="11" t="n">
        <f aca="false">R1337/(1-Resumo!$C$6)</f>
        <v>167.034090909091</v>
      </c>
      <c r="T1337" s="11" t="n">
        <f aca="false">S1337-J1337</f>
        <v>52.4340909090909</v>
      </c>
      <c r="U1337" s="12" t="n">
        <f aca="false">IFERROR(S1337/J1337-1,0)</f>
        <v>0.457540060288751</v>
      </c>
      <c r="V1337" s="2" t="str">
        <f aca="false">IF(S1337&lt;J1337,"SIM","NÃO")</f>
        <v>NÃO</v>
      </c>
      <c r="W1337" s="2" t="n">
        <v>5</v>
      </c>
      <c r="X1337" s="2" t="s">
        <v>156</v>
      </c>
    </row>
    <row r="1338" customFormat="false" ht="15" hidden="false" customHeight="false" outlineLevel="0" collapsed="false">
      <c r="A1338" s="2" t="n">
        <v>380734980</v>
      </c>
      <c r="B1338" s="29" t="n">
        <v>46256.5555787037</v>
      </c>
      <c r="C1338" s="2" t="s">
        <v>153</v>
      </c>
      <c r="D1338" s="2" t="s">
        <v>1448</v>
      </c>
      <c r="E1338" s="2" t="s">
        <v>78</v>
      </c>
      <c r="F1338" s="2" t="s">
        <v>110</v>
      </c>
      <c r="G1338" s="30" t="n">
        <v>66.8</v>
      </c>
      <c r="H1338" s="11" t="n">
        <v>699.99</v>
      </c>
      <c r="I1338" s="11" t="s">
        <v>155</v>
      </c>
      <c r="J1338" s="11" t="n">
        <v>124.56</v>
      </c>
      <c r="K1338" s="11" t="n">
        <v>131.02</v>
      </c>
      <c r="L1338" s="11" t="n">
        <v>0.7</v>
      </c>
      <c r="M1338" s="11" t="n">
        <v>1.4</v>
      </c>
      <c r="N1338" s="11" t="n">
        <v>1</v>
      </c>
      <c r="O1338" s="11" t="n">
        <v>4.5</v>
      </c>
      <c r="P1338" s="11" t="n">
        <v>4.02</v>
      </c>
      <c r="Q1338" s="11" t="n">
        <v>30.15</v>
      </c>
      <c r="R1338" s="11" t="n">
        <f aca="false">SUM(K1338:Q1338)</f>
        <v>172.79</v>
      </c>
      <c r="S1338" s="11" t="n">
        <f aca="false">R1338/(1-Resumo!$C$6)</f>
        <v>196.352272727273</v>
      </c>
      <c r="T1338" s="11" t="n">
        <f aca="false">S1338-J1338</f>
        <v>71.7922727272728</v>
      </c>
      <c r="U1338" s="12" t="n">
        <f aca="false">IFERROR(S1338/J1338-1,0)</f>
        <v>0.57636699363578</v>
      </c>
      <c r="V1338" s="2" t="str">
        <f aca="false">IF(S1338&lt;J1338,"SIM","NÃO")</f>
        <v>NÃO</v>
      </c>
      <c r="W1338" s="2" t="n">
        <v>5</v>
      </c>
      <c r="X1338" s="2" t="s">
        <v>156</v>
      </c>
    </row>
    <row r="1339" customFormat="false" ht="15" hidden="false" customHeight="false" outlineLevel="0" collapsed="false">
      <c r="A1339" s="2" t="n">
        <v>380735757</v>
      </c>
      <c r="B1339" s="29" t="n">
        <v>46256.5581597222</v>
      </c>
      <c r="C1339" s="2" t="s">
        <v>153</v>
      </c>
      <c r="D1339" s="2" t="s">
        <v>1449</v>
      </c>
      <c r="E1339" s="2" t="s">
        <v>81</v>
      </c>
      <c r="F1339" s="2" t="s">
        <v>109</v>
      </c>
      <c r="G1339" s="30" t="n">
        <v>52.3</v>
      </c>
      <c r="H1339" s="11" t="n">
        <v>669.99</v>
      </c>
      <c r="I1339" s="11" t="s">
        <v>155</v>
      </c>
      <c r="J1339" s="11" t="n">
        <v>128.49</v>
      </c>
      <c r="K1339" s="11" t="n">
        <v>112.3</v>
      </c>
      <c r="L1339" s="11" t="n">
        <v>0.67</v>
      </c>
      <c r="M1339" s="11" t="n">
        <v>1.34</v>
      </c>
      <c r="N1339" s="11" t="n">
        <v>1</v>
      </c>
      <c r="O1339" s="11" t="n">
        <v>4.5</v>
      </c>
      <c r="P1339" s="11" t="n">
        <v>3.18</v>
      </c>
      <c r="Q1339" s="11" t="n">
        <v>23.85</v>
      </c>
      <c r="R1339" s="11" t="n">
        <f aca="false">SUM(K1339:Q1339)</f>
        <v>146.84</v>
      </c>
      <c r="S1339" s="11" t="n">
        <f aca="false">R1339/(1-Resumo!$C$6)</f>
        <v>166.863636363636</v>
      </c>
      <c r="T1339" s="11" t="n">
        <f aca="false">S1339-J1339</f>
        <v>38.3736363636364</v>
      </c>
      <c r="U1339" s="12" t="n">
        <f aca="false">IFERROR(S1339/J1339-1,0)</f>
        <v>0.298650761643991</v>
      </c>
      <c r="V1339" s="2" t="str">
        <f aca="false">IF(S1339&lt;J1339,"SIM","NÃO")</f>
        <v>NÃO</v>
      </c>
      <c r="W1339" s="2" t="n">
        <v>5</v>
      </c>
      <c r="X1339" s="2" t="s">
        <v>156</v>
      </c>
    </row>
    <row r="1340" customFormat="false" ht="15" hidden="false" customHeight="false" outlineLevel="0" collapsed="false">
      <c r="A1340" s="2" t="n">
        <v>380734815</v>
      </c>
      <c r="B1340" s="29" t="n">
        <v>46256.5584143519</v>
      </c>
      <c r="C1340" s="2" t="s">
        <v>191</v>
      </c>
      <c r="D1340" s="2" t="s">
        <v>1450</v>
      </c>
      <c r="E1340" s="2" t="s">
        <v>1451</v>
      </c>
      <c r="F1340" s="2" t="s">
        <v>112</v>
      </c>
      <c r="G1340" s="30" t="n">
        <v>81.7</v>
      </c>
      <c r="H1340" s="11" t="n">
        <v>692.99</v>
      </c>
      <c r="I1340" s="11" t="s">
        <v>155</v>
      </c>
      <c r="J1340" s="11" t="n">
        <v>191.92</v>
      </c>
      <c r="K1340" s="11" t="n">
        <v>197.35</v>
      </c>
      <c r="L1340" s="11" t="n">
        <v>0.693</v>
      </c>
      <c r="M1340" s="11" t="n">
        <v>1.386</v>
      </c>
      <c r="N1340" s="11" t="n">
        <v>1</v>
      </c>
      <c r="O1340" s="11" t="n">
        <v>4.5</v>
      </c>
      <c r="P1340" s="11" t="n">
        <v>4.92</v>
      </c>
      <c r="Q1340" s="11" t="n">
        <v>36.9</v>
      </c>
      <c r="R1340" s="11" t="n">
        <f aca="false">SUM(K1340:Q1340)</f>
        <v>246.749</v>
      </c>
      <c r="S1340" s="11" t="n">
        <f aca="false">R1340/(1-Resumo!$C$6)</f>
        <v>280.396590909091</v>
      </c>
      <c r="T1340" s="11" t="n">
        <f aca="false">S1340-J1340</f>
        <v>88.4765909090909</v>
      </c>
      <c r="U1340" s="12" t="n">
        <f aca="false">IFERROR(S1340/J1340-1,0)</f>
        <v>0.461007664178256</v>
      </c>
      <c r="V1340" s="2" t="str">
        <f aca="false">IF(S1340&lt;J1340,"SIM","NÃO")</f>
        <v>NÃO</v>
      </c>
      <c r="W1340" s="2" t="n">
        <v>10</v>
      </c>
      <c r="X1340" s="2" t="s">
        <v>161</v>
      </c>
    </row>
    <row r="1341" customFormat="false" ht="15" hidden="false" customHeight="false" outlineLevel="0" collapsed="false">
      <c r="A1341" s="2" t="n">
        <v>380743264</v>
      </c>
      <c r="B1341" s="29" t="n">
        <v>46256.5750925926</v>
      </c>
      <c r="C1341" s="2" t="s">
        <v>153</v>
      </c>
      <c r="D1341" s="2" t="s">
        <v>1452</v>
      </c>
      <c r="E1341" s="2" t="s">
        <v>78</v>
      </c>
      <c r="F1341" s="2" t="s">
        <v>110</v>
      </c>
      <c r="G1341" s="30" t="n">
        <v>66.8</v>
      </c>
      <c r="H1341" s="11" t="n">
        <v>699.99</v>
      </c>
      <c r="I1341" s="11" t="s">
        <v>155</v>
      </c>
      <c r="J1341" s="11" t="n">
        <v>124.56</v>
      </c>
      <c r="K1341" s="11" t="n">
        <v>131.02</v>
      </c>
      <c r="L1341" s="11" t="n">
        <v>0.7</v>
      </c>
      <c r="M1341" s="11" t="n">
        <v>1.4</v>
      </c>
      <c r="N1341" s="11" t="n">
        <v>1</v>
      </c>
      <c r="O1341" s="11" t="n">
        <v>4.5</v>
      </c>
      <c r="P1341" s="11" t="n">
        <v>4.02</v>
      </c>
      <c r="Q1341" s="11" t="n">
        <v>30.15</v>
      </c>
      <c r="R1341" s="11" t="n">
        <f aca="false">SUM(K1341:Q1341)</f>
        <v>172.79</v>
      </c>
      <c r="S1341" s="11" t="n">
        <f aca="false">R1341/(1-Resumo!$C$6)</f>
        <v>196.352272727273</v>
      </c>
      <c r="T1341" s="11" t="n">
        <f aca="false">S1341-J1341</f>
        <v>71.7922727272728</v>
      </c>
      <c r="U1341" s="12" t="n">
        <f aca="false">IFERROR(S1341/J1341-1,0)</f>
        <v>0.57636699363578</v>
      </c>
      <c r="V1341" s="2" t="str">
        <f aca="false">IF(S1341&lt;J1341,"SIM","NÃO")</f>
        <v>NÃO</v>
      </c>
      <c r="W1341" s="2" t="n">
        <v>5</v>
      </c>
      <c r="X1341" s="2" t="s">
        <v>156</v>
      </c>
    </row>
    <row r="1342" customFormat="false" ht="15" hidden="false" customHeight="false" outlineLevel="0" collapsed="false">
      <c r="A1342" s="2" t="n">
        <v>380812943</v>
      </c>
      <c r="B1342" s="29" t="n">
        <v>46256.6552199074</v>
      </c>
      <c r="C1342" s="2" t="s">
        <v>153</v>
      </c>
      <c r="D1342" s="2" t="s">
        <v>1453</v>
      </c>
      <c r="E1342" s="2" t="s">
        <v>83</v>
      </c>
      <c r="F1342" s="2" t="s">
        <v>108</v>
      </c>
      <c r="G1342" s="30" t="n">
        <v>46.8</v>
      </c>
      <c r="H1342" s="11" t="n">
        <v>506.56</v>
      </c>
      <c r="I1342" s="11" t="s">
        <v>155</v>
      </c>
      <c r="J1342" s="11" t="n">
        <v>130.58</v>
      </c>
      <c r="K1342" s="11" t="n">
        <v>152.54</v>
      </c>
      <c r="L1342" s="11" t="n">
        <v>0.5066</v>
      </c>
      <c r="M1342" s="11" t="n">
        <v>1.0131</v>
      </c>
      <c r="N1342" s="11" t="n">
        <v>1</v>
      </c>
      <c r="O1342" s="11" t="n">
        <v>4.5</v>
      </c>
      <c r="P1342" s="11" t="n">
        <v>2.82</v>
      </c>
      <c r="Q1342" s="11" t="n">
        <v>21.15</v>
      </c>
      <c r="R1342" s="11" t="n">
        <f aca="false">SUM(K1342:Q1342)</f>
        <v>183.5297</v>
      </c>
      <c r="S1342" s="11" t="n">
        <f aca="false">R1342/(1-Resumo!$C$6)</f>
        <v>208.556477272727</v>
      </c>
      <c r="T1342" s="11" t="n">
        <f aca="false">S1342-J1342</f>
        <v>77.9764772727272</v>
      </c>
      <c r="U1342" s="12" t="n">
        <f aca="false">IFERROR(S1342/J1342-1,0)</f>
        <v>0.597154826717164</v>
      </c>
      <c r="V1342" s="2" t="str">
        <f aca="false">IF(S1342&lt;J1342,"SIM","NÃO")</f>
        <v>NÃO</v>
      </c>
      <c r="W1342" s="2" t="n">
        <v>11</v>
      </c>
      <c r="X1342" s="2" t="s">
        <v>156</v>
      </c>
    </row>
    <row r="1343" customFormat="false" ht="15" hidden="false" customHeight="false" outlineLevel="0" collapsed="false">
      <c r="A1343" s="2" t="n">
        <v>380823553</v>
      </c>
      <c r="B1343" s="29" t="n">
        <v>46256.6661458333</v>
      </c>
      <c r="C1343" s="2" t="s">
        <v>153</v>
      </c>
      <c r="D1343" s="2" t="s">
        <v>1454</v>
      </c>
      <c r="E1343" s="2" t="s">
        <v>78</v>
      </c>
      <c r="F1343" s="2" t="s">
        <v>108</v>
      </c>
      <c r="G1343" s="30" t="n">
        <v>48</v>
      </c>
      <c r="H1343" s="11" t="n">
        <v>899.99</v>
      </c>
      <c r="I1343" s="11" t="s">
        <v>155</v>
      </c>
      <c r="J1343" s="11" t="n">
        <v>104.9</v>
      </c>
      <c r="K1343" s="11" t="n">
        <v>93.97</v>
      </c>
      <c r="L1343" s="11" t="n">
        <v>0.9</v>
      </c>
      <c r="M1343" s="11" t="n">
        <v>1.8</v>
      </c>
      <c r="N1343" s="11" t="n">
        <v>1</v>
      </c>
      <c r="O1343" s="11" t="n">
        <v>4.5</v>
      </c>
      <c r="P1343" s="11" t="n">
        <v>2.88</v>
      </c>
      <c r="Q1343" s="11" t="n">
        <v>21.6</v>
      </c>
      <c r="R1343" s="11" t="n">
        <f aca="false">SUM(K1343:Q1343)</f>
        <v>126.65</v>
      </c>
      <c r="S1343" s="11" t="n">
        <f aca="false">R1343/(1-Resumo!$C$6)</f>
        <v>143.920454545455</v>
      </c>
      <c r="T1343" s="11" t="n">
        <f aca="false">S1343-J1343</f>
        <v>39.0204545454546</v>
      </c>
      <c r="U1343" s="12" t="n">
        <f aca="false">IFERROR(S1343/J1343-1,0)</f>
        <v>0.371977641043418</v>
      </c>
      <c r="V1343" s="2" t="str">
        <f aca="false">IF(S1343&lt;J1343,"SIM","NÃO")</f>
        <v>NÃO</v>
      </c>
      <c r="W1343" s="2" t="n">
        <v>5</v>
      </c>
      <c r="X1343" s="2" t="s">
        <v>156</v>
      </c>
    </row>
    <row r="1344" customFormat="false" ht="15" hidden="false" customHeight="false" outlineLevel="0" collapsed="false">
      <c r="A1344" s="2" t="n">
        <v>380886492</v>
      </c>
      <c r="B1344" s="29" t="n">
        <v>46256.7324768519</v>
      </c>
      <c r="C1344" s="2" t="s">
        <v>369</v>
      </c>
      <c r="D1344" s="2" t="s">
        <v>1455</v>
      </c>
      <c r="E1344" s="2" t="s">
        <v>78</v>
      </c>
      <c r="F1344" s="2" t="s">
        <v>106</v>
      </c>
      <c r="G1344" s="30" t="n">
        <v>27.4</v>
      </c>
      <c r="H1344" s="11" t="n">
        <v>323.99</v>
      </c>
      <c r="I1344" s="11" t="s">
        <v>155</v>
      </c>
      <c r="J1344" s="11" t="n">
        <v>81.89</v>
      </c>
      <c r="K1344" s="11" t="n">
        <v>82.21</v>
      </c>
      <c r="L1344" s="11" t="n">
        <v>0.324</v>
      </c>
      <c r="M1344" s="11" t="n">
        <v>0.648</v>
      </c>
      <c r="N1344" s="11" t="n">
        <v>1</v>
      </c>
      <c r="O1344" s="11" t="n">
        <v>4.5</v>
      </c>
      <c r="P1344" s="11" t="n">
        <v>1.68</v>
      </c>
      <c r="Q1344" s="11" t="n">
        <v>12.6</v>
      </c>
      <c r="R1344" s="11" t="n">
        <f aca="false">SUM(K1344:Q1344)</f>
        <v>102.962</v>
      </c>
      <c r="S1344" s="11" t="n">
        <f aca="false">R1344/(1-Resumo!$C$6)</f>
        <v>117.002272727273</v>
      </c>
      <c r="T1344" s="11" t="n">
        <f aca="false">S1344-J1344</f>
        <v>35.1122727272727</v>
      </c>
      <c r="U1344" s="12" t="n">
        <f aca="false">IFERROR(S1344/J1344-1,0)</f>
        <v>0.428773632034103</v>
      </c>
      <c r="V1344" s="2" t="str">
        <f aca="false">IF(S1344&lt;J1344,"SIM","NÃO")</f>
        <v>NÃO</v>
      </c>
      <c r="W1344" s="2" t="n">
        <v>5</v>
      </c>
      <c r="X1344" s="2" t="s">
        <v>156</v>
      </c>
    </row>
    <row r="1345" customFormat="false" ht="15" hidden="false" customHeight="false" outlineLevel="0" collapsed="false">
      <c r="A1345" s="2" t="n">
        <v>380879027</v>
      </c>
      <c r="B1345" s="29" t="n">
        <v>46256.7383333333</v>
      </c>
      <c r="C1345" s="2" t="s">
        <v>153</v>
      </c>
      <c r="D1345" s="2" t="s">
        <v>1456</v>
      </c>
      <c r="E1345" s="2" t="s">
        <v>88</v>
      </c>
      <c r="F1345" s="2" t="s">
        <v>108</v>
      </c>
      <c r="G1345" s="30" t="n">
        <v>46.8</v>
      </c>
      <c r="H1345" s="11" t="n">
        <v>506.56</v>
      </c>
      <c r="I1345" s="11" t="s">
        <v>155</v>
      </c>
      <c r="J1345" s="11" t="n">
        <v>130.58</v>
      </c>
      <c r="K1345" s="11" t="n">
        <v>124.38</v>
      </c>
      <c r="L1345" s="11" t="n">
        <v>0.5066</v>
      </c>
      <c r="M1345" s="11" t="n">
        <v>1.0131</v>
      </c>
      <c r="N1345" s="11" t="n">
        <v>1</v>
      </c>
      <c r="O1345" s="11" t="n">
        <v>4.5</v>
      </c>
      <c r="P1345" s="11" t="n">
        <v>2.82</v>
      </c>
      <c r="Q1345" s="11" t="n">
        <v>21.15</v>
      </c>
      <c r="R1345" s="11" t="n">
        <f aca="false">SUM(K1345:Q1345)</f>
        <v>155.3697</v>
      </c>
      <c r="S1345" s="11" t="n">
        <f aca="false">R1345/(1-Resumo!$C$6)</f>
        <v>176.556477272727</v>
      </c>
      <c r="T1345" s="11" t="n">
        <f aca="false">S1345-J1345</f>
        <v>45.9764772727273</v>
      </c>
      <c r="U1345" s="12" t="n">
        <f aca="false">IFERROR(S1345/J1345-1,0)</f>
        <v>0.352094327406397</v>
      </c>
      <c r="V1345" s="2" t="str">
        <f aca="false">IF(S1345&lt;J1345,"SIM","NÃO")</f>
        <v>NÃO</v>
      </c>
      <c r="W1345" s="2" t="n">
        <v>10</v>
      </c>
      <c r="X1345" s="2" t="s">
        <v>156</v>
      </c>
    </row>
    <row r="1346" customFormat="false" ht="15" hidden="false" customHeight="false" outlineLevel="0" collapsed="false">
      <c r="A1346" s="2" t="n">
        <v>380888889</v>
      </c>
      <c r="B1346" s="29" t="n">
        <v>46256.7579976852</v>
      </c>
      <c r="C1346" s="2" t="s">
        <v>153</v>
      </c>
      <c r="D1346" s="2" t="s">
        <v>1457</v>
      </c>
      <c r="E1346" s="2" t="s">
        <v>78</v>
      </c>
      <c r="F1346" s="2" t="s">
        <v>106</v>
      </c>
      <c r="G1346" s="30" t="n">
        <v>33</v>
      </c>
      <c r="H1346" s="11" t="n">
        <v>499.69</v>
      </c>
      <c r="I1346" s="11" t="s">
        <v>155</v>
      </c>
      <c r="J1346" s="11" t="n">
        <v>82.73</v>
      </c>
      <c r="K1346" s="11" t="n">
        <v>82.21</v>
      </c>
      <c r="L1346" s="11" t="n">
        <v>0.4997</v>
      </c>
      <c r="M1346" s="11" t="n">
        <v>0.9994</v>
      </c>
      <c r="N1346" s="11" t="n">
        <v>1</v>
      </c>
      <c r="O1346" s="11" t="n">
        <v>4.5</v>
      </c>
      <c r="P1346" s="11" t="n">
        <v>1.98</v>
      </c>
      <c r="Q1346" s="11" t="n">
        <v>14.85</v>
      </c>
      <c r="R1346" s="11" t="n">
        <f aca="false">SUM(K1346:Q1346)</f>
        <v>106.0391</v>
      </c>
      <c r="S1346" s="11" t="n">
        <f aca="false">R1346/(1-Resumo!$C$6)</f>
        <v>120.498977272727</v>
      </c>
      <c r="T1346" s="11" t="n">
        <f aca="false">S1346-J1346</f>
        <v>37.7689772727273</v>
      </c>
      <c r="U1346" s="12" t="n">
        <f aca="false">IFERROR(S1346/J1346-1,0)</f>
        <v>0.456533026383745</v>
      </c>
      <c r="V1346" s="2" t="str">
        <f aca="false">IF(S1346&lt;J1346,"SIM","NÃO")</f>
        <v>NÃO</v>
      </c>
      <c r="W1346" s="2" t="n">
        <v>5</v>
      </c>
      <c r="X1346" s="2" t="s">
        <v>156</v>
      </c>
    </row>
    <row r="1347" customFormat="false" ht="15" hidden="false" customHeight="false" outlineLevel="0" collapsed="false">
      <c r="A1347" s="2" t="n">
        <v>380889975</v>
      </c>
      <c r="B1347" s="29" t="n">
        <v>46256.7599884259</v>
      </c>
      <c r="C1347" s="2" t="s">
        <v>158</v>
      </c>
      <c r="D1347" s="2" t="s">
        <v>1458</v>
      </c>
      <c r="E1347" s="2" t="s">
        <v>260</v>
      </c>
      <c r="F1347" s="2" t="s">
        <v>107</v>
      </c>
      <c r="G1347" s="30" t="n">
        <v>36.8</v>
      </c>
      <c r="H1347" s="11" t="n">
        <v>434.53</v>
      </c>
      <c r="I1347" s="11" t="s">
        <v>155</v>
      </c>
      <c r="J1347" s="11" t="n">
        <v>122.33</v>
      </c>
      <c r="K1347" s="11" t="n">
        <v>125.63</v>
      </c>
      <c r="L1347" s="11" t="n">
        <v>0.4345</v>
      </c>
      <c r="M1347" s="11" t="n">
        <v>0.8691</v>
      </c>
      <c r="N1347" s="11" t="n">
        <v>1</v>
      </c>
      <c r="O1347" s="11" t="n">
        <v>4.5</v>
      </c>
      <c r="P1347" s="11" t="n">
        <v>2.22</v>
      </c>
      <c r="Q1347" s="11" t="n">
        <v>16.65</v>
      </c>
      <c r="R1347" s="11" t="n">
        <f aca="false">SUM(K1347:Q1347)</f>
        <v>151.3036</v>
      </c>
      <c r="S1347" s="11" t="n">
        <f aca="false">R1347/(1-Resumo!$C$6)</f>
        <v>171.935909090909</v>
      </c>
      <c r="T1347" s="11" t="n">
        <f aca="false">S1347-J1347</f>
        <v>49.6059090909091</v>
      </c>
      <c r="U1347" s="12" t="n">
        <f aca="false">IFERROR(S1347/J1347-1,0)</f>
        <v>0.405508943766117</v>
      </c>
      <c r="V1347" s="2" t="str">
        <f aca="false">IF(S1347&lt;J1347,"SIM","NÃO")</f>
        <v>NÃO</v>
      </c>
      <c r="W1347" s="2" t="n">
        <v>10</v>
      </c>
      <c r="X1347" s="2" t="s">
        <v>161</v>
      </c>
    </row>
    <row r="1348" customFormat="false" ht="15" hidden="false" customHeight="false" outlineLevel="0" collapsed="false">
      <c r="A1348" s="2" t="n">
        <v>380924162</v>
      </c>
      <c r="B1348" s="29" t="n">
        <v>46256.8082638889</v>
      </c>
      <c r="C1348" s="2" t="s">
        <v>158</v>
      </c>
      <c r="D1348" s="2" t="s">
        <v>1459</v>
      </c>
      <c r="E1348" s="2" t="s">
        <v>79</v>
      </c>
      <c r="F1348" s="2" t="s">
        <v>110</v>
      </c>
      <c r="G1348" s="30" t="n">
        <v>66.8</v>
      </c>
      <c r="H1348" s="11" t="n">
        <v>636.47</v>
      </c>
      <c r="I1348" s="11" t="s">
        <v>155</v>
      </c>
      <c r="J1348" s="11" t="n">
        <v>139.48</v>
      </c>
      <c r="K1348" s="11" t="n">
        <v>149.5</v>
      </c>
      <c r="L1348" s="11" t="n">
        <v>0.6365</v>
      </c>
      <c r="M1348" s="11" t="n">
        <v>1.2729</v>
      </c>
      <c r="N1348" s="11" t="n">
        <v>1</v>
      </c>
      <c r="O1348" s="11" t="n">
        <v>4.5</v>
      </c>
      <c r="P1348" s="11" t="n">
        <v>4.02</v>
      </c>
      <c r="Q1348" s="11" t="n">
        <v>30.15</v>
      </c>
      <c r="R1348" s="11" t="n">
        <f aca="false">SUM(K1348:Q1348)</f>
        <v>191.0794</v>
      </c>
      <c r="S1348" s="11" t="n">
        <f aca="false">R1348/(1-Resumo!$C$6)</f>
        <v>217.135681818182</v>
      </c>
      <c r="T1348" s="11" t="n">
        <f aca="false">S1348-J1348</f>
        <v>77.6556818181818</v>
      </c>
      <c r="U1348" s="12" t="n">
        <f aca="false">IFERROR(S1348/J1348-1,0)</f>
        <v>0.556751375237897</v>
      </c>
      <c r="V1348" s="2" t="str">
        <f aca="false">IF(S1348&lt;J1348,"SIM","NÃO")</f>
        <v>NÃO</v>
      </c>
      <c r="W1348" s="2" t="n">
        <v>7</v>
      </c>
      <c r="X1348" s="2" t="s">
        <v>156</v>
      </c>
    </row>
    <row r="1349" customFormat="false" ht="15" hidden="false" customHeight="false" outlineLevel="0" collapsed="false">
      <c r="A1349" s="2" t="n">
        <v>380931066</v>
      </c>
      <c r="B1349" s="29" t="n">
        <v>46256.819525463</v>
      </c>
      <c r="C1349" s="2" t="s">
        <v>158</v>
      </c>
      <c r="D1349" s="2" t="s">
        <v>1367</v>
      </c>
      <c r="E1349" s="2" t="s">
        <v>78</v>
      </c>
      <c r="F1349" s="2" t="s">
        <v>110</v>
      </c>
      <c r="G1349" s="30" t="n">
        <v>61.4</v>
      </c>
      <c r="H1349" s="11" t="n">
        <v>962.28</v>
      </c>
      <c r="I1349" s="11" t="s">
        <v>155</v>
      </c>
      <c r="J1349" s="11" t="n">
        <v>125.81</v>
      </c>
      <c r="K1349" s="11" t="n">
        <v>131.02</v>
      </c>
      <c r="L1349" s="11" t="n">
        <v>0.9623</v>
      </c>
      <c r="M1349" s="11" t="n">
        <v>1.9246</v>
      </c>
      <c r="N1349" s="11" t="n">
        <v>1</v>
      </c>
      <c r="O1349" s="11" t="n">
        <v>4.5</v>
      </c>
      <c r="P1349" s="11" t="n">
        <v>3.72</v>
      </c>
      <c r="Q1349" s="11" t="n">
        <v>27.9</v>
      </c>
      <c r="R1349" s="11" t="n">
        <f aca="false">SUM(K1349:Q1349)</f>
        <v>171.0269</v>
      </c>
      <c r="S1349" s="11" t="n">
        <f aca="false">R1349/(1-Resumo!$C$6)</f>
        <v>194.34875</v>
      </c>
      <c r="T1349" s="11" t="n">
        <f aca="false">S1349-J1349</f>
        <v>68.53875</v>
      </c>
      <c r="U1349" s="12" t="n">
        <f aca="false">IFERROR(S1349/J1349-1,0)</f>
        <v>0.544779826722836</v>
      </c>
      <c r="V1349" s="2" t="str">
        <f aca="false">IF(S1349&lt;J1349,"SIM","NÃO")</f>
        <v>NÃO</v>
      </c>
      <c r="W1349" s="2" t="n">
        <v>5</v>
      </c>
      <c r="X1349" s="2" t="s">
        <v>156</v>
      </c>
    </row>
    <row r="1350" customFormat="false" ht="15" hidden="false" customHeight="false" outlineLevel="0" collapsed="false">
      <c r="A1350" s="2" t="n">
        <v>380956095</v>
      </c>
      <c r="B1350" s="29" t="n">
        <v>46256.856724537</v>
      </c>
      <c r="C1350" s="2" t="s">
        <v>153</v>
      </c>
      <c r="D1350" s="2" t="s">
        <v>1460</v>
      </c>
      <c r="E1350" s="2" t="s">
        <v>81</v>
      </c>
      <c r="F1350" s="2" t="s">
        <v>110</v>
      </c>
      <c r="G1350" s="30" t="n">
        <v>61.5</v>
      </c>
      <c r="H1350" s="11" t="n">
        <v>696.68</v>
      </c>
      <c r="I1350" s="11" t="s">
        <v>155</v>
      </c>
      <c r="J1350" s="11" t="n">
        <v>139.76</v>
      </c>
      <c r="K1350" s="11" t="n">
        <v>131.02</v>
      </c>
      <c r="L1350" s="11" t="n">
        <v>0.6967</v>
      </c>
      <c r="M1350" s="11" t="n">
        <v>1.3934</v>
      </c>
      <c r="N1350" s="11" t="n">
        <v>1</v>
      </c>
      <c r="O1350" s="11" t="n">
        <v>4.5</v>
      </c>
      <c r="P1350" s="11" t="n">
        <v>3.72</v>
      </c>
      <c r="Q1350" s="11" t="n">
        <v>27.9</v>
      </c>
      <c r="R1350" s="11" t="n">
        <f aca="false">SUM(K1350:Q1350)</f>
        <v>170.2301</v>
      </c>
      <c r="S1350" s="11" t="n">
        <f aca="false">R1350/(1-Resumo!$C$6)</f>
        <v>193.443295454545</v>
      </c>
      <c r="T1350" s="11" t="n">
        <f aca="false">S1350-J1350</f>
        <v>53.6832954545455</v>
      </c>
      <c r="U1350" s="12" t="n">
        <f aca="false">IFERROR(S1350/J1350-1,0)</f>
        <v>0.384110585679347</v>
      </c>
      <c r="V1350" s="2" t="str">
        <f aca="false">IF(S1350&lt;J1350,"SIM","NÃO")</f>
        <v>NÃO</v>
      </c>
      <c r="W1350" s="2" t="n">
        <v>5</v>
      </c>
      <c r="X1350" s="2" t="s">
        <v>156</v>
      </c>
    </row>
    <row r="1351" customFormat="false" ht="15" hidden="false" customHeight="false" outlineLevel="0" collapsed="false">
      <c r="A1351" s="2" t="n">
        <v>380981915</v>
      </c>
      <c r="B1351" s="29" t="n">
        <v>46256.8987847222</v>
      </c>
      <c r="C1351" s="2" t="s">
        <v>153</v>
      </c>
      <c r="D1351" s="2" t="s">
        <v>1461</v>
      </c>
      <c r="E1351" s="2" t="s">
        <v>78</v>
      </c>
      <c r="F1351" s="2" t="s">
        <v>108</v>
      </c>
      <c r="G1351" s="30" t="n">
        <v>46.8</v>
      </c>
      <c r="H1351" s="11" t="n">
        <v>506.56</v>
      </c>
      <c r="I1351" s="11" t="s">
        <v>155</v>
      </c>
      <c r="J1351" s="11" t="n">
        <v>103.01</v>
      </c>
      <c r="K1351" s="11" t="n">
        <v>93.97</v>
      </c>
      <c r="L1351" s="11" t="n">
        <v>0.5066</v>
      </c>
      <c r="M1351" s="11" t="n">
        <v>1.0131</v>
      </c>
      <c r="N1351" s="11" t="n">
        <v>1</v>
      </c>
      <c r="O1351" s="11" t="n">
        <v>4.5</v>
      </c>
      <c r="P1351" s="11" t="n">
        <v>2.82</v>
      </c>
      <c r="Q1351" s="11" t="n">
        <v>21.15</v>
      </c>
      <c r="R1351" s="11" t="n">
        <f aca="false">SUM(K1351:Q1351)</f>
        <v>124.9597</v>
      </c>
      <c r="S1351" s="11" t="n">
        <f aca="false">R1351/(1-Resumo!$C$6)</f>
        <v>141.999659090909</v>
      </c>
      <c r="T1351" s="11" t="n">
        <f aca="false">S1351-J1351</f>
        <v>38.9896590909091</v>
      </c>
      <c r="U1351" s="12" t="n">
        <f aca="false">IFERROR(S1351/J1351-1,0)</f>
        <v>0.378503631597991</v>
      </c>
      <c r="V1351" s="2" t="str">
        <f aca="false">IF(S1351&lt;J1351,"SIM","NÃO")</f>
        <v>NÃO</v>
      </c>
      <c r="W1351" s="2" t="n">
        <v>5</v>
      </c>
      <c r="X1351" s="2" t="s">
        <v>156</v>
      </c>
    </row>
    <row r="1352" customFormat="false" ht="15" hidden="false" customHeight="false" outlineLevel="0" collapsed="false">
      <c r="A1352" s="2" t="n">
        <v>381013807</v>
      </c>
      <c r="B1352" s="29" t="n">
        <v>46256.9456712963</v>
      </c>
      <c r="C1352" s="2" t="s">
        <v>158</v>
      </c>
      <c r="D1352" s="2" t="s">
        <v>1462</v>
      </c>
      <c r="E1352" s="2" t="s">
        <v>260</v>
      </c>
      <c r="F1352" s="2" t="s">
        <v>114</v>
      </c>
      <c r="G1352" s="30" t="n">
        <v>124.2</v>
      </c>
      <c r="H1352" s="11" t="n">
        <v>1526.91</v>
      </c>
      <c r="I1352" s="11" t="s">
        <v>155</v>
      </c>
      <c r="J1352" s="11" t="n">
        <v>260.6</v>
      </c>
      <c r="K1352" s="11" t="n">
        <v>264.84</v>
      </c>
      <c r="L1352" s="11" t="n">
        <v>1.5269</v>
      </c>
      <c r="M1352" s="11" t="n">
        <v>3.0538</v>
      </c>
      <c r="N1352" s="11" t="n">
        <v>1</v>
      </c>
      <c r="O1352" s="11" t="n">
        <v>9</v>
      </c>
      <c r="P1352" s="11" t="n">
        <v>7.5</v>
      </c>
      <c r="Q1352" s="11" t="n">
        <v>56.25</v>
      </c>
      <c r="R1352" s="11" t="n">
        <f aca="false">SUM(K1352:Q1352)</f>
        <v>343.1707</v>
      </c>
      <c r="S1352" s="11" t="n">
        <f aca="false">R1352/(1-Resumo!$C$6)</f>
        <v>389.966704545455</v>
      </c>
      <c r="T1352" s="11" t="n">
        <f aca="false">S1352-J1352</f>
        <v>129.366704545454</v>
      </c>
      <c r="U1352" s="12" t="n">
        <f aca="false">IFERROR(S1352/J1352-1,0)</f>
        <v>0.496418666713179</v>
      </c>
      <c r="V1352" s="2" t="str">
        <f aca="false">IF(S1352&lt;J1352,"SIM","NÃO")</f>
        <v>NÃO</v>
      </c>
      <c r="W1352" s="2" t="n">
        <v>10</v>
      </c>
      <c r="X1352" s="2" t="s">
        <v>161</v>
      </c>
    </row>
    <row r="1353" customFormat="false" ht="15" hidden="false" customHeight="false" outlineLevel="0" collapsed="false">
      <c r="A1353" s="2" t="n">
        <v>381024577</v>
      </c>
      <c r="B1353" s="29" t="n">
        <v>46256.9612384259</v>
      </c>
      <c r="C1353" s="2" t="s">
        <v>158</v>
      </c>
      <c r="D1353" s="2" t="s">
        <v>1463</v>
      </c>
      <c r="E1353" s="2" t="s">
        <v>78</v>
      </c>
      <c r="F1353" s="2" t="s">
        <v>110</v>
      </c>
      <c r="G1353" s="30" t="n">
        <v>63</v>
      </c>
      <c r="H1353" s="11" t="n">
        <v>942.65</v>
      </c>
      <c r="I1353" s="11" t="s">
        <v>155</v>
      </c>
      <c r="J1353" s="11" t="n">
        <v>125.74</v>
      </c>
      <c r="K1353" s="11" t="n">
        <v>131.02</v>
      </c>
      <c r="L1353" s="11" t="n">
        <v>0.9426</v>
      </c>
      <c r="M1353" s="11" t="n">
        <v>1.8853</v>
      </c>
      <c r="N1353" s="11" t="n">
        <v>1</v>
      </c>
      <c r="O1353" s="11" t="n">
        <v>4.5</v>
      </c>
      <c r="P1353" s="11" t="n">
        <v>3.78</v>
      </c>
      <c r="Q1353" s="11" t="n">
        <v>28.35</v>
      </c>
      <c r="R1353" s="11" t="n">
        <f aca="false">SUM(K1353:Q1353)</f>
        <v>171.4779</v>
      </c>
      <c r="S1353" s="11" t="n">
        <f aca="false">R1353/(1-Resumo!$C$6)</f>
        <v>194.86125</v>
      </c>
      <c r="T1353" s="11" t="n">
        <f aca="false">S1353-J1353</f>
        <v>69.12125</v>
      </c>
      <c r="U1353" s="12" t="n">
        <f aca="false">IFERROR(S1353/J1353-1,0)</f>
        <v>0.549715683155718</v>
      </c>
      <c r="V1353" s="2" t="str">
        <f aca="false">IF(S1353&lt;J1353,"SIM","NÃO")</f>
        <v>NÃO</v>
      </c>
      <c r="W1353" s="2" t="n">
        <v>5</v>
      </c>
      <c r="X1353" s="2" t="s">
        <v>156</v>
      </c>
    </row>
    <row r="1354" customFormat="false" ht="15" hidden="false" customHeight="false" outlineLevel="0" collapsed="false">
      <c r="A1354" s="2" t="n">
        <v>381030290</v>
      </c>
      <c r="B1354" s="29" t="n">
        <v>46256.9718634259</v>
      </c>
      <c r="C1354" s="2" t="s">
        <v>153</v>
      </c>
      <c r="D1354" s="2" t="s">
        <v>1464</v>
      </c>
      <c r="E1354" s="2" t="s">
        <v>80</v>
      </c>
      <c r="F1354" s="2" t="s">
        <v>110</v>
      </c>
      <c r="G1354" s="30" t="n">
        <v>66.8</v>
      </c>
      <c r="H1354" s="11" t="n">
        <v>699.99</v>
      </c>
      <c r="I1354" s="11" t="s">
        <v>155</v>
      </c>
      <c r="J1354" s="11" t="n">
        <v>139.78</v>
      </c>
      <c r="K1354" s="11" t="n">
        <v>131.02</v>
      </c>
      <c r="L1354" s="11" t="n">
        <v>0.7</v>
      </c>
      <c r="M1354" s="11" t="n">
        <v>1.4</v>
      </c>
      <c r="N1354" s="11" t="n">
        <v>1</v>
      </c>
      <c r="O1354" s="11" t="n">
        <v>4.5</v>
      </c>
      <c r="P1354" s="11" t="n">
        <v>4.02</v>
      </c>
      <c r="Q1354" s="11" t="n">
        <v>30.15</v>
      </c>
      <c r="R1354" s="11" t="n">
        <f aca="false">SUM(K1354:Q1354)</f>
        <v>172.79</v>
      </c>
      <c r="S1354" s="11" t="n">
        <f aca="false">R1354/(1-Resumo!$C$6)</f>
        <v>196.352272727273</v>
      </c>
      <c r="T1354" s="11" t="n">
        <f aca="false">S1354-J1354</f>
        <v>56.5722727272728</v>
      </c>
      <c r="U1354" s="12" t="n">
        <f aca="false">IFERROR(S1354/J1354-1,0)</f>
        <v>0.404723656655264</v>
      </c>
      <c r="V1354" s="2" t="str">
        <f aca="false">IF(S1354&lt;J1354,"SIM","NÃO")</f>
        <v>NÃO</v>
      </c>
      <c r="W1354" s="2" t="n">
        <v>5</v>
      </c>
      <c r="X1354" s="2" t="s">
        <v>156</v>
      </c>
    </row>
    <row r="1355" customFormat="false" ht="15" hidden="false" customHeight="false" outlineLevel="0" collapsed="false">
      <c r="A1355" s="2" t="n">
        <v>381048390</v>
      </c>
      <c r="B1355" s="29" t="n">
        <v>46257.0012037037</v>
      </c>
      <c r="C1355" s="2" t="s">
        <v>153</v>
      </c>
      <c r="D1355" s="2" t="s">
        <v>1465</v>
      </c>
      <c r="E1355" s="2" t="s">
        <v>78</v>
      </c>
      <c r="F1355" s="2" t="s">
        <v>108</v>
      </c>
      <c r="G1355" s="30" t="n">
        <v>48</v>
      </c>
      <c r="H1355" s="11" t="n">
        <v>899.99</v>
      </c>
      <c r="I1355" s="11" t="s">
        <v>155</v>
      </c>
      <c r="J1355" s="11" t="n">
        <v>104.9</v>
      </c>
      <c r="K1355" s="11" t="n">
        <v>93.97</v>
      </c>
      <c r="L1355" s="11" t="n">
        <v>0.9</v>
      </c>
      <c r="M1355" s="11" t="n">
        <v>1.8</v>
      </c>
      <c r="N1355" s="11" t="n">
        <v>1</v>
      </c>
      <c r="O1355" s="11" t="n">
        <v>4.5</v>
      </c>
      <c r="P1355" s="11" t="n">
        <v>2.88</v>
      </c>
      <c r="Q1355" s="11" t="n">
        <v>21.6</v>
      </c>
      <c r="R1355" s="11" t="n">
        <f aca="false">SUM(K1355:Q1355)</f>
        <v>126.65</v>
      </c>
      <c r="S1355" s="11" t="n">
        <f aca="false">R1355/(1-Resumo!$C$6)</f>
        <v>143.920454545455</v>
      </c>
      <c r="T1355" s="11" t="n">
        <f aca="false">S1355-J1355</f>
        <v>39.0204545454546</v>
      </c>
      <c r="U1355" s="12" t="n">
        <f aca="false">IFERROR(S1355/J1355-1,0)</f>
        <v>0.371977641043418</v>
      </c>
      <c r="V1355" s="2" t="str">
        <f aca="false">IF(S1355&lt;J1355,"SIM","NÃO")</f>
        <v>NÃO</v>
      </c>
      <c r="W1355" s="2" t="n">
        <v>5</v>
      </c>
      <c r="X1355" s="2" t="s">
        <v>156</v>
      </c>
    </row>
    <row r="1356" customFormat="false" ht="15" hidden="false" customHeight="false" outlineLevel="0" collapsed="false">
      <c r="A1356" s="2" t="n">
        <v>381178984</v>
      </c>
      <c r="B1356" s="29" t="n">
        <v>46257.1960763889</v>
      </c>
      <c r="C1356" s="2" t="s">
        <v>158</v>
      </c>
      <c r="D1356" s="2" t="s">
        <v>1466</v>
      </c>
      <c r="E1356" s="2" t="s">
        <v>78</v>
      </c>
      <c r="F1356" s="2" t="s">
        <v>108</v>
      </c>
      <c r="G1356" s="30" t="n">
        <v>41.4</v>
      </c>
      <c r="H1356" s="11" t="n">
        <v>387</v>
      </c>
      <c r="I1356" s="11" t="s">
        <v>155</v>
      </c>
      <c r="J1356" s="11" t="n">
        <v>102.43</v>
      </c>
      <c r="K1356" s="11" t="n">
        <v>93.97</v>
      </c>
      <c r="L1356" s="11" t="n">
        <v>0.387</v>
      </c>
      <c r="M1356" s="11" t="n">
        <v>0.774</v>
      </c>
      <c r="N1356" s="11" t="n">
        <v>1</v>
      </c>
      <c r="O1356" s="11" t="n">
        <v>4.5</v>
      </c>
      <c r="P1356" s="11" t="n">
        <v>2.52</v>
      </c>
      <c r="Q1356" s="11" t="n">
        <v>18.9</v>
      </c>
      <c r="R1356" s="11" t="n">
        <f aca="false">SUM(K1356:Q1356)</f>
        <v>122.051</v>
      </c>
      <c r="S1356" s="11" t="n">
        <f aca="false">R1356/(1-Resumo!$C$6)</f>
        <v>138.694318181818</v>
      </c>
      <c r="T1356" s="11" t="n">
        <f aca="false">S1356-J1356</f>
        <v>36.2643181818182</v>
      </c>
      <c r="U1356" s="12" t="n">
        <f aca="false">IFERROR(S1356/J1356-1,0)</f>
        <v>0.35404000958526</v>
      </c>
      <c r="V1356" s="2" t="str">
        <f aca="false">IF(S1356&lt;J1356,"SIM","NÃO")</f>
        <v>NÃO</v>
      </c>
      <c r="W1356" s="2" t="n">
        <v>5</v>
      </c>
      <c r="X1356" s="2" t="s">
        <v>156</v>
      </c>
    </row>
    <row r="1357" customFormat="false" ht="15" hidden="false" customHeight="false" outlineLevel="0" collapsed="false">
      <c r="A1357" s="2" t="n">
        <v>381232733</v>
      </c>
      <c r="B1357" s="29" t="n">
        <v>46257.3109837963</v>
      </c>
      <c r="C1357" s="2" t="s">
        <v>153</v>
      </c>
      <c r="D1357" s="2" t="s">
        <v>1467</v>
      </c>
      <c r="E1357" s="2" t="s">
        <v>80</v>
      </c>
      <c r="F1357" s="2" t="s">
        <v>106</v>
      </c>
      <c r="G1357" s="30" t="n">
        <v>31.5</v>
      </c>
      <c r="H1357" s="11" t="n">
        <v>429.99</v>
      </c>
      <c r="I1357" s="11" t="s">
        <v>155</v>
      </c>
      <c r="J1357" s="11" t="n">
        <v>101.44</v>
      </c>
      <c r="K1357" s="11" t="n">
        <v>82.21</v>
      </c>
      <c r="L1357" s="11" t="n">
        <v>0.43</v>
      </c>
      <c r="M1357" s="11" t="n">
        <v>0.86</v>
      </c>
      <c r="N1357" s="11" t="n">
        <v>1</v>
      </c>
      <c r="O1357" s="11" t="n">
        <v>4.5</v>
      </c>
      <c r="P1357" s="11" t="n">
        <v>1.92</v>
      </c>
      <c r="Q1357" s="11" t="n">
        <v>14.4</v>
      </c>
      <c r="R1357" s="11" t="n">
        <f aca="false">SUM(K1357:Q1357)</f>
        <v>105.32</v>
      </c>
      <c r="S1357" s="11" t="n">
        <f aca="false">R1357/(1-Resumo!$C$6)</f>
        <v>119.681818181818</v>
      </c>
      <c r="T1357" s="11" t="n">
        <f aca="false">S1357-J1357</f>
        <v>18.2418181818182</v>
      </c>
      <c r="U1357" s="12" t="n">
        <f aca="false">IFERROR(S1357/J1357-1,0)</f>
        <v>0.179828649268712</v>
      </c>
      <c r="V1357" s="2" t="str">
        <f aca="false">IF(S1357&lt;J1357,"SIM","NÃO")</f>
        <v>NÃO</v>
      </c>
      <c r="W1357" s="2" t="n">
        <v>5</v>
      </c>
      <c r="X1357" s="2" t="s">
        <v>156</v>
      </c>
    </row>
    <row r="1358" customFormat="false" ht="15" hidden="false" customHeight="false" outlineLevel="0" collapsed="false">
      <c r="A1358" s="2" t="n">
        <v>381234748</v>
      </c>
      <c r="B1358" s="29" t="n">
        <v>46257.3203356482</v>
      </c>
      <c r="C1358" s="2" t="s">
        <v>153</v>
      </c>
      <c r="D1358" s="2" t="s">
        <v>1468</v>
      </c>
      <c r="E1358" s="2" t="s">
        <v>78</v>
      </c>
      <c r="F1358" s="2" t="s">
        <v>105</v>
      </c>
      <c r="G1358" s="30" t="n">
        <v>19.5</v>
      </c>
      <c r="H1358" s="11" t="n">
        <v>348.32</v>
      </c>
      <c r="I1358" s="11" t="s">
        <v>205</v>
      </c>
      <c r="J1358" s="11" t="n">
        <v>70.42</v>
      </c>
      <c r="K1358" s="11" t="n">
        <v>46.98</v>
      </c>
      <c r="L1358" s="11" t="n">
        <v>0.3483</v>
      </c>
      <c r="M1358" s="11" t="n">
        <v>0.6966</v>
      </c>
      <c r="N1358" s="11" t="n">
        <v>1</v>
      </c>
      <c r="O1358" s="11" t="n">
        <v>4.5</v>
      </c>
      <c r="P1358" s="11" t="n">
        <v>1.2</v>
      </c>
      <c r="Q1358" s="11" t="n">
        <v>9</v>
      </c>
      <c r="R1358" s="11" t="n">
        <f aca="false">SUM(K1358:Q1358)</f>
        <v>63.7249</v>
      </c>
      <c r="S1358" s="11" t="n">
        <f aca="false">R1358/(1-Resumo!$C$6)</f>
        <v>72.4146590909091</v>
      </c>
      <c r="T1358" s="11" t="n">
        <f aca="false">S1358-J1358</f>
        <v>1.99465909090908</v>
      </c>
      <c r="U1358" s="12" t="n">
        <f aca="false">IFERROR(S1358/J1358-1,0)</f>
        <v>0.0283251787973458</v>
      </c>
      <c r="V1358" s="2" t="str">
        <f aca="false">IF(S1358&lt;J1358,"SIM","NÃO")</f>
        <v>NÃO</v>
      </c>
      <c r="W1358" s="2" t="n">
        <v>5</v>
      </c>
      <c r="X1358" s="2" t="s">
        <v>156</v>
      </c>
    </row>
    <row r="1359" customFormat="false" ht="15" hidden="false" customHeight="false" outlineLevel="0" collapsed="false">
      <c r="A1359" s="2" t="n">
        <v>381239839</v>
      </c>
      <c r="B1359" s="29" t="n">
        <v>46257.3430208333</v>
      </c>
      <c r="C1359" s="2" t="s">
        <v>158</v>
      </c>
      <c r="D1359" s="2" t="s">
        <v>1469</v>
      </c>
      <c r="E1359" s="2" t="s">
        <v>93</v>
      </c>
      <c r="F1359" s="2" t="s">
        <v>110</v>
      </c>
      <c r="G1359" s="30" t="n">
        <v>63</v>
      </c>
      <c r="H1359" s="11" t="n">
        <v>942.65</v>
      </c>
      <c r="I1359" s="11" t="s">
        <v>155</v>
      </c>
      <c r="J1359" s="11" t="n">
        <v>156.55</v>
      </c>
      <c r="K1359" s="11" t="n">
        <v>149.5</v>
      </c>
      <c r="L1359" s="11" t="n">
        <v>0.9426</v>
      </c>
      <c r="M1359" s="11" t="n">
        <v>1.8853</v>
      </c>
      <c r="N1359" s="11" t="n">
        <v>1</v>
      </c>
      <c r="O1359" s="11" t="n">
        <v>4.5</v>
      </c>
      <c r="P1359" s="11" t="n">
        <v>3.78</v>
      </c>
      <c r="Q1359" s="11" t="n">
        <v>28.35</v>
      </c>
      <c r="R1359" s="11" t="n">
        <f aca="false">SUM(K1359:Q1359)</f>
        <v>189.9579</v>
      </c>
      <c r="S1359" s="11" t="n">
        <f aca="false">R1359/(1-Resumo!$C$6)</f>
        <v>215.86125</v>
      </c>
      <c r="T1359" s="11" t="n">
        <f aca="false">S1359-J1359</f>
        <v>59.31125</v>
      </c>
      <c r="U1359" s="12" t="n">
        <f aca="false">IFERROR(S1359/J1359-1,0)</f>
        <v>0.378864580006387</v>
      </c>
      <c r="V1359" s="2" t="str">
        <f aca="false">IF(S1359&lt;J1359,"SIM","NÃO")</f>
        <v>NÃO</v>
      </c>
      <c r="W1359" s="2" t="n">
        <v>7</v>
      </c>
      <c r="X1359" s="2" t="s">
        <v>156</v>
      </c>
    </row>
    <row r="1360" customFormat="false" ht="15" hidden="false" customHeight="false" outlineLevel="0" collapsed="false">
      <c r="A1360" s="2" t="n">
        <v>381273576</v>
      </c>
      <c r="B1360" s="29" t="n">
        <v>46257.391099537</v>
      </c>
      <c r="C1360" s="2" t="s">
        <v>153</v>
      </c>
      <c r="D1360" s="2" t="s">
        <v>1470</v>
      </c>
      <c r="E1360" s="2" t="s">
        <v>78</v>
      </c>
      <c r="F1360" s="2" t="s">
        <v>108</v>
      </c>
      <c r="G1360" s="30" t="n">
        <v>41.4</v>
      </c>
      <c r="H1360" s="11" t="n">
        <v>449.99</v>
      </c>
      <c r="I1360" s="11" t="s">
        <v>155</v>
      </c>
      <c r="J1360" s="11" t="n">
        <v>102.74</v>
      </c>
      <c r="K1360" s="11" t="n">
        <v>93.97</v>
      </c>
      <c r="L1360" s="11" t="n">
        <v>0.45</v>
      </c>
      <c r="M1360" s="11" t="n">
        <v>0.9</v>
      </c>
      <c r="N1360" s="11" t="n">
        <v>1</v>
      </c>
      <c r="O1360" s="11" t="n">
        <v>4.5</v>
      </c>
      <c r="P1360" s="11" t="n">
        <v>2.52</v>
      </c>
      <c r="Q1360" s="11" t="n">
        <v>18.9</v>
      </c>
      <c r="R1360" s="11" t="n">
        <f aca="false">SUM(K1360:Q1360)</f>
        <v>122.24</v>
      </c>
      <c r="S1360" s="11" t="n">
        <f aca="false">R1360/(1-Resumo!$C$6)</f>
        <v>138.909090909091</v>
      </c>
      <c r="T1360" s="11" t="n">
        <f aca="false">S1360-J1360</f>
        <v>36.1690909090909</v>
      </c>
      <c r="U1360" s="12" t="n">
        <f aca="false">IFERROR(S1360/J1360-1,0)</f>
        <v>0.352044879395473</v>
      </c>
      <c r="V1360" s="2" t="str">
        <f aca="false">IF(S1360&lt;J1360,"SIM","NÃO")</f>
        <v>NÃO</v>
      </c>
      <c r="W1360" s="2" t="n">
        <v>5</v>
      </c>
      <c r="X1360" s="2" t="s">
        <v>156</v>
      </c>
    </row>
    <row r="1361" customFormat="false" ht="15" hidden="false" customHeight="false" outlineLevel="0" collapsed="false">
      <c r="A1361" s="2" t="n">
        <v>381396282</v>
      </c>
      <c r="B1361" s="29" t="n">
        <v>46257.4339583333</v>
      </c>
      <c r="C1361" s="2" t="s">
        <v>158</v>
      </c>
      <c r="D1361" s="2" t="s">
        <v>1471</v>
      </c>
      <c r="E1361" s="2" t="s">
        <v>78</v>
      </c>
      <c r="F1361" s="2" t="s">
        <v>113</v>
      </c>
      <c r="G1361" s="30" t="n">
        <v>100.4</v>
      </c>
      <c r="H1361" s="11" t="n">
        <v>1151.99</v>
      </c>
      <c r="I1361" s="11" t="s">
        <v>155</v>
      </c>
      <c r="J1361" s="11" t="n">
        <v>185.15</v>
      </c>
      <c r="K1361" s="11" t="n">
        <v>201.59</v>
      </c>
      <c r="L1361" s="11" t="n">
        <v>1.152</v>
      </c>
      <c r="M1361" s="11" t="n">
        <v>2.304</v>
      </c>
      <c r="N1361" s="11" t="n">
        <v>1</v>
      </c>
      <c r="O1361" s="11" t="n">
        <v>9</v>
      </c>
      <c r="P1361" s="11" t="n">
        <v>6.06</v>
      </c>
      <c r="Q1361" s="11" t="n">
        <v>45.45</v>
      </c>
      <c r="R1361" s="11" t="n">
        <f aca="false">SUM(K1361:Q1361)</f>
        <v>266.556</v>
      </c>
      <c r="S1361" s="11" t="n">
        <f aca="false">R1361/(1-Resumo!$C$6)</f>
        <v>302.904545454545</v>
      </c>
      <c r="T1361" s="11" t="n">
        <f aca="false">S1361-J1361</f>
        <v>117.754545454545</v>
      </c>
      <c r="U1361" s="12" t="n">
        <f aca="false">IFERROR(S1361/J1361-1,0)</f>
        <v>0.635995384577615</v>
      </c>
      <c r="V1361" s="2" t="str">
        <f aca="false">IF(S1361&lt;J1361,"SIM","NÃO")</f>
        <v>NÃO</v>
      </c>
      <c r="W1361" s="2" t="n">
        <v>5</v>
      </c>
      <c r="X1361" s="2" t="s">
        <v>156</v>
      </c>
    </row>
    <row r="1362" customFormat="false" ht="15" hidden="false" customHeight="false" outlineLevel="0" collapsed="false">
      <c r="A1362" s="2" t="n">
        <v>381324357</v>
      </c>
      <c r="B1362" s="29" t="n">
        <v>46257.4597222222</v>
      </c>
      <c r="C1362" s="2" t="s">
        <v>191</v>
      </c>
      <c r="D1362" s="2" t="s">
        <v>1472</v>
      </c>
      <c r="E1362" s="2" t="s">
        <v>79</v>
      </c>
      <c r="F1362" s="2" t="s">
        <v>111</v>
      </c>
      <c r="G1362" s="30" t="n">
        <v>73</v>
      </c>
      <c r="H1362" s="11" t="n">
        <v>999.99</v>
      </c>
      <c r="I1362" s="11" t="s">
        <v>155</v>
      </c>
      <c r="J1362" s="11" t="n">
        <v>152.8</v>
      </c>
      <c r="K1362" s="11" t="n">
        <v>142.74</v>
      </c>
      <c r="L1362" s="11" t="n">
        <v>1</v>
      </c>
      <c r="M1362" s="11" t="n">
        <v>2</v>
      </c>
      <c r="N1362" s="11" t="n">
        <v>1</v>
      </c>
      <c r="O1362" s="11" t="n">
        <v>4.5</v>
      </c>
      <c r="P1362" s="11" t="n">
        <v>4.38</v>
      </c>
      <c r="Q1362" s="11" t="n">
        <v>32.85</v>
      </c>
      <c r="R1362" s="11" t="n">
        <f aca="false">SUM(K1362:Q1362)</f>
        <v>188.47</v>
      </c>
      <c r="S1362" s="11" t="n">
        <f aca="false">R1362/(1-Resumo!$C$6)</f>
        <v>214.170454545455</v>
      </c>
      <c r="T1362" s="11" t="n">
        <f aca="false">S1362-J1362</f>
        <v>61.3704545454545</v>
      </c>
      <c r="U1362" s="12" t="n">
        <f aca="false">IFERROR(S1362/J1362-1,0)</f>
        <v>0.401639100428367</v>
      </c>
      <c r="V1362" s="2" t="str">
        <f aca="false">IF(S1362&lt;J1362,"SIM","NÃO")</f>
        <v>NÃO</v>
      </c>
      <c r="W1362" s="2" t="n">
        <v>7</v>
      </c>
      <c r="X1362" s="2" t="s">
        <v>156</v>
      </c>
    </row>
    <row r="1363" customFormat="false" ht="15" hidden="false" customHeight="false" outlineLevel="0" collapsed="false">
      <c r="A1363" s="2" t="n">
        <v>381327904</v>
      </c>
      <c r="B1363" s="29" t="n">
        <v>46257.4608796296</v>
      </c>
      <c r="C1363" s="2" t="s">
        <v>158</v>
      </c>
      <c r="D1363" s="2" t="s">
        <v>1473</v>
      </c>
      <c r="E1363" s="2" t="s">
        <v>81</v>
      </c>
      <c r="F1363" s="2" t="s">
        <v>112</v>
      </c>
      <c r="G1363" s="30" t="n">
        <v>81.7</v>
      </c>
      <c r="H1363" s="11" t="n">
        <v>563</v>
      </c>
      <c r="I1363" s="11" t="s">
        <v>155</v>
      </c>
      <c r="J1363" s="11" t="n">
        <v>171.53</v>
      </c>
      <c r="K1363" s="11" t="n">
        <v>167.99</v>
      </c>
      <c r="L1363" s="11" t="n">
        <v>0.563</v>
      </c>
      <c r="M1363" s="11" t="n">
        <v>1.126</v>
      </c>
      <c r="N1363" s="11" t="n">
        <v>1</v>
      </c>
      <c r="O1363" s="11" t="n">
        <v>4.5</v>
      </c>
      <c r="P1363" s="11" t="n">
        <v>4.92</v>
      </c>
      <c r="Q1363" s="11" t="n">
        <v>36.9</v>
      </c>
      <c r="R1363" s="11" t="n">
        <f aca="false">SUM(K1363:Q1363)</f>
        <v>216.999</v>
      </c>
      <c r="S1363" s="11" t="n">
        <f aca="false">R1363/(1-Resumo!$C$6)</f>
        <v>246.589772727273</v>
      </c>
      <c r="T1363" s="11" t="n">
        <f aca="false">S1363-J1363</f>
        <v>75.0597727272728</v>
      </c>
      <c r="U1363" s="12" t="n">
        <f aca="false">IFERROR(S1363/J1363-1,0)</f>
        <v>0.437589766963638</v>
      </c>
      <c r="V1363" s="2" t="str">
        <f aca="false">IF(S1363&lt;J1363,"SIM","NÃO")</f>
        <v>NÃO</v>
      </c>
      <c r="W1363" s="2" t="n">
        <v>5</v>
      </c>
      <c r="X1363" s="2" t="s">
        <v>156</v>
      </c>
    </row>
    <row r="1364" customFormat="false" ht="15" hidden="false" customHeight="false" outlineLevel="0" collapsed="false">
      <c r="A1364" s="2" t="n">
        <v>381336046</v>
      </c>
      <c r="B1364" s="29" t="n">
        <v>46257.4736226852</v>
      </c>
      <c r="C1364" s="2" t="s">
        <v>153</v>
      </c>
      <c r="D1364" s="2" t="s">
        <v>1474</v>
      </c>
      <c r="E1364" s="2" t="s">
        <v>94</v>
      </c>
      <c r="F1364" s="2" t="s">
        <v>106</v>
      </c>
      <c r="G1364" s="30" t="n">
        <v>33</v>
      </c>
      <c r="H1364" s="11" t="n">
        <v>499.69</v>
      </c>
      <c r="I1364" s="11" t="s">
        <v>155</v>
      </c>
      <c r="J1364" s="11" t="n">
        <v>101.78</v>
      </c>
      <c r="K1364" s="11" t="n">
        <v>82.21</v>
      </c>
      <c r="L1364" s="11" t="n">
        <v>0.4997</v>
      </c>
      <c r="M1364" s="11" t="n">
        <v>0.9994</v>
      </c>
      <c r="N1364" s="11" t="n">
        <v>1</v>
      </c>
      <c r="O1364" s="11" t="n">
        <v>4.5</v>
      </c>
      <c r="P1364" s="11" t="n">
        <v>1.98</v>
      </c>
      <c r="Q1364" s="11" t="n">
        <v>14.85</v>
      </c>
      <c r="R1364" s="11" t="n">
        <f aca="false">SUM(K1364:Q1364)</f>
        <v>106.0391</v>
      </c>
      <c r="S1364" s="11" t="n">
        <f aca="false">R1364/(1-Resumo!$C$6)</f>
        <v>120.498977272727</v>
      </c>
      <c r="T1364" s="11" t="n">
        <f aca="false">S1364-J1364</f>
        <v>18.7189772727273</v>
      </c>
      <c r="U1364" s="12" t="n">
        <f aca="false">IFERROR(S1364/J1364-1,0)</f>
        <v>0.183916066739313</v>
      </c>
      <c r="V1364" s="2" t="str">
        <f aca="false">IF(S1364&lt;J1364,"SIM","NÃO")</f>
        <v>NÃO</v>
      </c>
      <c r="W1364" s="2" t="n">
        <v>5</v>
      </c>
      <c r="X1364" s="2" t="s">
        <v>156</v>
      </c>
    </row>
    <row r="1365" customFormat="false" ht="15" hidden="false" customHeight="false" outlineLevel="0" collapsed="false">
      <c r="A1365" s="2" t="n">
        <v>381377228</v>
      </c>
      <c r="B1365" s="29" t="n">
        <v>46257.5263657407</v>
      </c>
      <c r="C1365" s="2" t="s">
        <v>153</v>
      </c>
      <c r="D1365" s="2" t="s">
        <v>1475</v>
      </c>
      <c r="E1365" s="2" t="s">
        <v>78</v>
      </c>
      <c r="F1365" s="2" t="s">
        <v>109</v>
      </c>
      <c r="G1365" s="30" t="n">
        <v>52.3</v>
      </c>
      <c r="H1365" s="11" t="n">
        <v>669.99</v>
      </c>
      <c r="I1365" s="11" t="s">
        <v>155</v>
      </c>
      <c r="J1365" s="11" t="n">
        <v>114.36</v>
      </c>
      <c r="K1365" s="11" t="n">
        <v>112.3</v>
      </c>
      <c r="L1365" s="11" t="n">
        <v>0.67</v>
      </c>
      <c r="M1365" s="11" t="n">
        <v>1.34</v>
      </c>
      <c r="N1365" s="11" t="n">
        <v>1</v>
      </c>
      <c r="O1365" s="11" t="n">
        <v>4.5</v>
      </c>
      <c r="P1365" s="11" t="n">
        <v>3.18</v>
      </c>
      <c r="Q1365" s="11" t="n">
        <v>23.85</v>
      </c>
      <c r="R1365" s="11" t="n">
        <f aca="false">SUM(K1365:Q1365)</f>
        <v>146.84</v>
      </c>
      <c r="S1365" s="11" t="n">
        <f aca="false">R1365/(1-Resumo!$C$6)</f>
        <v>166.863636363636</v>
      </c>
      <c r="T1365" s="11" t="n">
        <f aca="false">S1365-J1365</f>
        <v>52.5036363636364</v>
      </c>
      <c r="U1365" s="12" t="n">
        <f aca="false">IFERROR(S1365/J1365-1,0)</f>
        <v>0.459108397723298</v>
      </c>
      <c r="V1365" s="2" t="str">
        <f aca="false">IF(S1365&lt;J1365,"SIM","NÃO")</f>
        <v>NÃO</v>
      </c>
      <c r="W1365" s="2" t="n">
        <v>5</v>
      </c>
      <c r="X1365" s="2" t="s">
        <v>156</v>
      </c>
    </row>
    <row r="1366" customFormat="false" ht="15" hidden="false" customHeight="false" outlineLevel="0" collapsed="false">
      <c r="A1366" s="2" t="n">
        <v>381381190</v>
      </c>
      <c r="B1366" s="29" t="n">
        <v>46257.5328356482</v>
      </c>
      <c r="C1366" s="2" t="s">
        <v>158</v>
      </c>
      <c r="D1366" s="2" t="s">
        <v>1476</v>
      </c>
      <c r="E1366" s="2" t="s">
        <v>78</v>
      </c>
      <c r="F1366" s="2" t="s">
        <v>112</v>
      </c>
      <c r="G1366" s="30" t="n">
        <v>87</v>
      </c>
      <c r="H1366" s="11" t="n">
        <v>1188.88</v>
      </c>
      <c r="I1366" s="11" t="s">
        <v>155</v>
      </c>
      <c r="J1366" s="11" t="n">
        <v>164.8</v>
      </c>
      <c r="K1366" s="11" t="n">
        <v>167.99</v>
      </c>
      <c r="L1366" s="11" t="n">
        <v>1.1889</v>
      </c>
      <c r="M1366" s="11" t="n">
        <v>2.3778</v>
      </c>
      <c r="N1366" s="11" t="n">
        <v>1</v>
      </c>
      <c r="O1366" s="11" t="n">
        <v>4.5</v>
      </c>
      <c r="P1366" s="11" t="n">
        <v>5.22</v>
      </c>
      <c r="Q1366" s="11" t="n">
        <v>39.15</v>
      </c>
      <c r="R1366" s="11" t="n">
        <f aca="false">SUM(K1366:Q1366)</f>
        <v>221.4267</v>
      </c>
      <c r="S1366" s="11" t="n">
        <f aca="false">R1366/(1-Resumo!$C$6)</f>
        <v>251.62125</v>
      </c>
      <c r="T1366" s="11" t="n">
        <f aca="false">S1366-J1366</f>
        <v>86.82125</v>
      </c>
      <c r="U1366" s="12" t="n">
        <f aca="false">IFERROR(S1366/J1366-1,0)</f>
        <v>0.526827973300971</v>
      </c>
      <c r="V1366" s="2" t="str">
        <f aca="false">IF(S1366&lt;J1366,"SIM","NÃO")</f>
        <v>NÃO</v>
      </c>
      <c r="W1366" s="2" t="n">
        <v>5</v>
      </c>
      <c r="X1366" s="2" t="s">
        <v>156</v>
      </c>
    </row>
    <row r="1367" customFormat="false" ht="15" hidden="false" customHeight="false" outlineLevel="0" collapsed="false">
      <c r="A1367" s="2" t="n">
        <v>381384208</v>
      </c>
      <c r="B1367" s="29" t="n">
        <v>46257.5453819444</v>
      </c>
      <c r="C1367" s="2" t="s">
        <v>194</v>
      </c>
      <c r="D1367" s="2" t="s">
        <v>1477</v>
      </c>
      <c r="E1367" s="2" t="s">
        <v>78</v>
      </c>
      <c r="F1367" s="2" t="s">
        <v>110</v>
      </c>
      <c r="G1367" s="30" t="n">
        <v>69</v>
      </c>
      <c r="H1367" s="11" t="n">
        <v>839.99</v>
      </c>
      <c r="I1367" s="11" t="s">
        <v>155</v>
      </c>
      <c r="J1367" s="11" t="n">
        <v>125.24</v>
      </c>
      <c r="K1367" s="11" t="n">
        <v>131.02</v>
      </c>
      <c r="L1367" s="11" t="n">
        <v>0.84</v>
      </c>
      <c r="M1367" s="11" t="n">
        <v>1.68</v>
      </c>
      <c r="N1367" s="11" t="n">
        <v>1</v>
      </c>
      <c r="O1367" s="11" t="n">
        <v>4.5</v>
      </c>
      <c r="P1367" s="11" t="n">
        <v>4.14</v>
      </c>
      <c r="Q1367" s="11" t="n">
        <v>31.05</v>
      </c>
      <c r="R1367" s="11" t="n">
        <f aca="false">SUM(K1367:Q1367)</f>
        <v>174.23</v>
      </c>
      <c r="S1367" s="11" t="n">
        <f aca="false">R1367/(1-Resumo!$C$6)</f>
        <v>197.988636363636</v>
      </c>
      <c r="T1367" s="11" t="n">
        <f aca="false">S1367-J1367</f>
        <v>72.7486363636364</v>
      </c>
      <c r="U1367" s="12" t="n">
        <f aca="false">IFERROR(S1367/J1367-1,0)</f>
        <v>0.58087381318777</v>
      </c>
      <c r="V1367" s="2" t="str">
        <f aca="false">IF(S1367&lt;J1367,"SIM","NÃO")</f>
        <v>NÃO</v>
      </c>
      <c r="W1367" s="2" t="n">
        <v>5</v>
      </c>
      <c r="X1367" s="2" t="s">
        <v>156</v>
      </c>
    </row>
    <row r="1368" customFormat="false" ht="15" hidden="false" customHeight="false" outlineLevel="0" collapsed="false">
      <c r="A1368" s="2" t="n">
        <v>381415367</v>
      </c>
      <c r="B1368" s="29" t="n">
        <v>46257.5802546296</v>
      </c>
      <c r="C1368" s="2" t="s">
        <v>153</v>
      </c>
      <c r="D1368" s="2" t="s">
        <v>1478</v>
      </c>
      <c r="E1368" s="2" t="s">
        <v>85</v>
      </c>
      <c r="F1368" s="2" t="s">
        <v>108</v>
      </c>
      <c r="G1368" s="30" t="n">
        <v>45</v>
      </c>
      <c r="H1368" s="11" t="n">
        <v>508.8</v>
      </c>
      <c r="I1368" s="11" t="s">
        <v>155</v>
      </c>
      <c r="J1368" s="11" t="n">
        <v>130.6</v>
      </c>
      <c r="K1368" s="11" t="n">
        <v>152.54</v>
      </c>
      <c r="L1368" s="11" t="n">
        <v>0.5088</v>
      </c>
      <c r="M1368" s="11" t="n">
        <v>1.0176</v>
      </c>
      <c r="N1368" s="11" t="n">
        <v>1</v>
      </c>
      <c r="O1368" s="11" t="n">
        <v>4.5</v>
      </c>
      <c r="P1368" s="11" t="n">
        <v>2.7</v>
      </c>
      <c r="Q1368" s="11" t="n">
        <v>20.25</v>
      </c>
      <c r="R1368" s="11" t="n">
        <f aca="false">SUM(K1368:Q1368)</f>
        <v>182.5164</v>
      </c>
      <c r="S1368" s="11" t="n">
        <f aca="false">R1368/(1-Resumo!$C$6)</f>
        <v>207.405</v>
      </c>
      <c r="T1368" s="11" t="n">
        <f aca="false">S1368-J1368</f>
        <v>76.805</v>
      </c>
      <c r="U1368" s="12" t="n">
        <f aca="false">IFERROR(S1368/J1368-1,0)</f>
        <v>0.588093415007657</v>
      </c>
      <c r="V1368" s="2" t="str">
        <f aca="false">IF(S1368&lt;J1368,"SIM","NÃO")</f>
        <v>NÃO</v>
      </c>
      <c r="W1368" s="2" t="n">
        <v>11</v>
      </c>
      <c r="X1368" s="2" t="s">
        <v>156</v>
      </c>
    </row>
    <row r="1369" customFormat="false" ht="15" hidden="false" customHeight="false" outlineLevel="0" collapsed="false">
      <c r="A1369" s="2" t="n">
        <v>381446740</v>
      </c>
      <c r="B1369" s="29" t="n">
        <v>46257.6167939815</v>
      </c>
      <c r="C1369" s="2" t="s">
        <v>153</v>
      </c>
      <c r="D1369" s="2" t="s">
        <v>1479</v>
      </c>
      <c r="E1369" s="2" t="s">
        <v>78</v>
      </c>
      <c r="F1369" s="2" t="s">
        <v>114</v>
      </c>
      <c r="G1369" s="30" t="n">
        <v>124.2</v>
      </c>
      <c r="H1369" s="11" t="n">
        <v>1649.99</v>
      </c>
      <c r="I1369" s="11" t="s">
        <v>155</v>
      </c>
      <c r="J1369" s="11" t="n">
        <v>234.19</v>
      </c>
      <c r="K1369" s="11" t="n">
        <v>239.25</v>
      </c>
      <c r="L1369" s="11" t="n">
        <v>1.65</v>
      </c>
      <c r="M1369" s="11" t="n">
        <v>3.3</v>
      </c>
      <c r="N1369" s="11" t="n">
        <v>1</v>
      </c>
      <c r="O1369" s="11" t="n">
        <v>9</v>
      </c>
      <c r="P1369" s="11" t="n">
        <v>7.5</v>
      </c>
      <c r="Q1369" s="11" t="n">
        <v>56.25</v>
      </c>
      <c r="R1369" s="11" t="n">
        <f aca="false">SUM(K1369:Q1369)</f>
        <v>317.95</v>
      </c>
      <c r="S1369" s="11" t="n">
        <f aca="false">R1369/(1-Resumo!$C$6)</f>
        <v>361.306818181818</v>
      </c>
      <c r="T1369" s="11" t="n">
        <f aca="false">S1369-J1369</f>
        <v>127.116818181818</v>
      </c>
      <c r="U1369" s="12" t="n">
        <f aca="false">IFERROR(S1369/J1369-1,0)</f>
        <v>0.542793535940126</v>
      </c>
      <c r="V1369" s="2" t="str">
        <f aca="false">IF(S1369&lt;J1369,"SIM","NÃO")</f>
        <v>NÃO</v>
      </c>
      <c r="W1369" s="2" t="n">
        <v>5</v>
      </c>
      <c r="X1369" s="2" t="s">
        <v>156</v>
      </c>
    </row>
    <row r="1370" customFormat="false" ht="15" hidden="false" customHeight="false" outlineLevel="0" collapsed="false">
      <c r="A1370" s="2" t="n">
        <v>381457314</v>
      </c>
      <c r="B1370" s="29" t="n">
        <v>46257.6284490741</v>
      </c>
      <c r="C1370" s="2" t="s">
        <v>153</v>
      </c>
      <c r="D1370" s="2" t="s">
        <v>1480</v>
      </c>
      <c r="E1370" s="2" t="s">
        <v>81</v>
      </c>
      <c r="F1370" s="2" t="s">
        <v>112</v>
      </c>
      <c r="G1370" s="30" t="n">
        <v>83.9</v>
      </c>
      <c r="H1370" s="11" t="n">
        <v>1149.9</v>
      </c>
      <c r="I1370" s="11" t="s">
        <v>155</v>
      </c>
      <c r="J1370" s="11" t="n">
        <v>174.34</v>
      </c>
      <c r="K1370" s="11" t="n">
        <v>167.99</v>
      </c>
      <c r="L1370" s="11" t="n">
        <v>1.1499</v>
      </c>
      <c r="M1370" s="11" t="n">
        <v>2.2998</v>
      </c>
      <c r="N1370" s="11" t="n">
        <v>1</v>
      </c>
      <c r="O1370" s="11" t="n">
        <v>4.5</v>
      </c>
      <c r="P1370" s="11" t="n">
        <v>5.04</v>
      </c>
      <c r="Q1370" s="11" t="n">
        <v>37.8</v>
      </c>
      <c r="R1370" s="11" t="n">
        <f aca="false">SUM(K1370:Q1370)</f>
        <v>219.7797</v>
      </c>
      <c r="S1370" s="11" t="n">
        <f aca="false">R1370/(1-Resumo!$C$6)</f>
        <v>249.749659090909</v>
      </c>
      <c r="T1370" s="11" t="n">
        <f aca="false">S1370-J1370</f>
        <v>75.4096590909091</v>
      </c>
      <c r="U1370" s="12" t="n">
        <f aca="false">IFERROR(S1370/J1370-1,0)</f>
        <v>0.432543645123948</v>
      </c>
      <c r="V1370" s="2" t="str">
        <f aca="false">IF(S1370&lt;J1370,"SIM","NÃO")</f>
        <v>NÃO</v>
      </c>
      <c r="W1370" s="2" t="n">
        <v>5</v>
      </c>
      <c r="X1370" s="2" t="s">
        <v>156</v>
      </c>
    </row>
    <row r="1371" customFormat="false" ht="15" hidden="false" customHeight="false" outlineLevel="0" collapsed="false">
      <c r="A1371" s="2" t="n">
        <v>381461866</v>
      </c>
      <c r="B1371" s="29" t="n">
        <v>46257.6346643519</v>
      </c>
      <c r="C1371" s="2" t="s">
        <v>153</v>
      </c>
      <c r="D1371" s="2" t="s">
        <v>1337</v>
      </c>
      <c r="E1371" s="2" t="s">
        <v>78</v>
      </c>
      <c r="F1371" s="2" t="s">
        <v>106</v>
      </c>
      <c r="G1371" s="30" t="n">
        <v>27.6</v>
      </c>
      <c r="H1371" s="11" t="n">
        <v>599.99</v>
      </c>
      <c r="I1371" s="11" t="s">
        <v>155</v>
      </c>
      <c r="J1371" s="11" t="n">
        <v>83.2</v>
      </c>
      <c r="K1371" s="11" t="n">
        <v>82.21</v>
      </c>
      <c r="L1371" s="11" t="n">
        <v>0.6</v>
      </c>
      <c r="M1371" s="11" t="n">
        <v>1.2</v>
      </c>
      <c r="N1371" s="11" t="n">
        <v>1</v>
      </c>
      <c r="O1371" s="11" t="n">
        <v>4.5</v>
      </c>
      <c r="P1371" s="11" t="n">
        <v>1.68</v>
      </c>
      <c r="Q1371" s="11" t="n">
        <v>12.6</v>
      </c>
      <c r="R1371" s="11" t="n">
        <f aca="false">SUM(K1371:Q1371)</f>
        <v>103.79</v>
      </c>
      <c r="S1371" s="11" t="n">
        <f aca="false">R1371/(1-Resumo!$C$6)</f>
        <v>117.943181818182</v>
      </c>
      <c r="T1371" s="11" t="n">
        <f aca="false">S1371-J1371</f>
        <v>34.7431818181818</v>
      </c>
      <c r="U1371" s="12" t="n">
        <f aca="false">IFERROR(S1371/J1371-1,0)</f>
        <v>0.41758631993007</v>
      </c>
      <c r="V1371" s="2" t="str">
        <f aca="false">IF(S1371&lt;J1371,"SIM","NÃO")</f>
        <v>NÃO</v>
      </c>
      <c r="W1371" s="2" t="n">
        <v>5</v>
      </c>
      <c r="X1371" s="2" t="s">
        <v>156</v>
      </c>
    </row>
    <row r="1372" customFormat="false" ht="15" hidden="false" customHeight="false" outlineLevel="0" collapsed="false">
      <c r="A1372" s="2" t="n">
        <v>381518273</v>
      </c>
      <c r="B1372" s="29" t="n">
        <v>46257.7055439815</v>
      </c>
      <c r="C1372" s="2" t="s">
        <v>153</v>
      </c>
      <c r="D1372" s="2" t="s">
        <v>1481</v>
      </c>
      <c r="E1372" s="2" t="s">
        <v>78</v>
      </c>
      <c r="F1372" s="2" t="s">
        <v>108</v>
      </c>
      <c r="G1372" s="30" t="n">
        <v>45.3</v>
      </c>
      <c r="H1372" s="11" t="n">
        <v>630.04</v>
      </c>
      <c r="I1372" s="11" t="s">
        <v>155</v>
      </c>
      <c r="J1372" s="11" t="n">
        <v>103.6</v>
      </c>
      <c r="K1372" s="11" t="n">
        <v>93.97</v>
      </c>
      <c r="L1372" s="11" t="n">
        <v>0.63</v>
      </c>
      <c r="M1372" s="11" t="n">
        <v>1.2601</v>
      </c>
      <c r="N1372" s="11" t="n">
        <v>1</v>
      </c>
      <c r="O1372" s="11" t="n">
        <v>4.5</v>
      </c>
      <c r="P1372" s="11" t="n">
        <v>2.76</v>
      </c>
      <c r="Q1372" s="11" t="n">
        <v>20.7</v>
      </c>
      <c r="R1372" s="11" t="n">
        <f aca="false">SUM(K1372:Q1372)</f>
        <v>124.8201</v>
      </c>
      <c r="S1372" s="11" t="n">
        <f aca="false">R1372/(1-Resumo!$C$6)</f>
        <v>141.841022727273</v>
      </c>
      <c r="T1372" s="11" t="n">
        <f aca="false">S1372-J1372</f>
        <v>38.2410227272727</v>
      </c>
      <c r="U1372" s="12" t="n">
        <f aca="false">IFERROR(S1372/J1372-1,0)</f>
        <v>0.369121840996841</v>
      </c>
      <c r="V1372" s="2" t="str">
        <f aca="false">IF(S1372&lt;J1372,"SIM","NÃO")</f>
        <v>NÃO</v>
      </c>
      <c r="W1372" s="2" t="n">
        <v>5</v>
      </c>
      <c r="X1372" s="2" t="s">
        <v>156</v>
      </c>
    </row>
    <row r="1373" customFormat="false" ht="15" hidden="false" customHeight="false" outlineLevel="0" collapsed="false">
      <c r="A1373" s="2" t="n">
        <v>381521482</v>
      </c>
      <c r="B1373" s="29" t="n">
        <v>46257.7091203704</v>
      </c>
      <c r="C1373" s="2" t="s">
        <v>153</v>
      </c>
      <c r="D1373" s="2" t="s">
        <v>1482</v>
      </c>
      <c r="E1373" s="2" t="s">
        <v>78</v>
      </c>
      <c r="F1373" s="2" t="s">
        <v>110</v>
      </c>
      <c r="G1373" s="30" t="n">
        <v>61.4</v>
      </c>
      <c r="H1373" s="11" t="n">
        <v>881.88</v>
      </c>
      <c r="I1373" s="11" t="s">
        <v>155</v>
      </c>
      <c r="J1373" s="11" t="n">
        <v>125.42</v>
      </c>
      <c r="K1373" s="11" t="n">
        <v>131.02</v>
      </c>
      <c r="L1373" s="11" t="n">
        <v>0.8819</v>
      </c>
      <c r="M1373" s="11" t="n">
        <v>1.7638</v>
      </c>
      <c r="N1373" s="11" t="n">
        <v>1</v>
      </c>
      <c r="O1373" s="11" t="n">
        <v>4.5</v>
      </c>
      <c r="P1373" s="11" t="n">
        <v>3.72</v>
      </c>
      <c r="Q1373" s="11" t="n">
        <v>27.9</v>
      </c>
      <c r="R1373" s="11" t="n">
        <f aca="false">SUM(K1373:Q1373)</f>
        <v>170.7857</v>
      </c>
      <c r="S1373" s="11" t="n">
        <f aca="false">R1373/(1-Resumo!$C$6)</f>
        <v>194.074659090909</v>
      </c>
      <c r="T1373" s="11" t="n">
        <f aca="false">S1373-J1373</f>
        <v>68.6546590909091</v>
      </c>
      <c r="U1373" s="12" t="n">
        <f aca="false">IFERROR(S1373/J1373-1,0)</f>
        <v>0.547398015395544</v>
      </c>
      <c r="V1373" s="2" t="str">
        <f aca="false">IF(S1373&lt;J1373,"SIM","NÃO")</f>
        <v>NÃO</v>
      </c>
      <c r="W1373" s="2" t="n">
        <v>5</v>
      </c>
      <c r="X1373" s="2" t="s">
        <v>156</v>
      </c>
    </row>
    <row r="1374" customFormat="false" ht="15" hidden="false" customHeight="false" outlineLevel="0" collapsed="false">
      <c r="A1374" s="2" t="n">
        <v>381524742</v>
      </c>
      <c r="B1374" s="29" t="n">
        <v>46257.7140856482</v>
      </c>
      <c r="C1374" s="2" t="s">
        <v>158</v>
      </c>
      <c r="D1374" s="2" t="s">
        <v>1483</v>
      </c>
      <c r="E1374" s="2" t="s">
        <v>78</v>
      </c>
      <c r="F1374" s="2" t="s">
        <v>108</v>
      </c>
      <c r="G1374" s="30" t="n">
        <v>43.5</v>
      </c>
      <c r="H1374" s="11" t="n">
        <v>679.09</v>
      </c>
      <c r="I1374" s="11" t="s">
        <v>155</v>
      </c>
      <c r="J1374" s="11" t="n">
        <v>103.84</v>
      </c>
      <c r="K1374" s="11" t="n">
        <v>93.97</v>
      </c>
      <c r="L1374" s="11" t="n">
        <v>0.6791</v>
      </c>
      <c r="M1374" s="11" t="n">
        <v>1.3582</v>
      </c>
      <c r="N1374" s="11" t="n">
        <v>1</v>
      </c>
      <c r="O1374" s="11" t="n">
        <v>4.5</v>
      </c>
      <c r="P1374" s="11" t="n">
        <v>2.64</v>
      </c>
      <c r="Q1374" s="11" t="n">
        <v>19.8</v>
      </c>
      <c r="R1374" s="11" t="n">
        <f aca="false">SUM(K1374:Q1374)</f>
        <v>123.9473</v>
      </c>
      <c r="S1374" s="11" t="n">
        <f aca="false">R1374/(1-Resumo!$C$6)</f>
        <v>140.849204545455</v>
      </c>
      <c r="T1374" s="11" t="n">
        <f aca="false">S1374-J1374</f>
        <v>37.0092045454545</v>
      </c>
      <c r="U1374" s="12" t="n">
        <f aca="false">IFERROR(S1374/J1374-1,0)</f>
        <v>0.35640605301863</v>
      </c>
      <c r="V1374" s="2" t="str">
        <f aca="false">IF(S1374&lt;J1374,"SIM","NÃO")</f>
        <v>NÃO</v>
      </c>
      <c r="W1374" s="2" t="n">
        <v>5</v>
      </c>
      <c r="X1374" s="2" t="s">
        <v>156</v>
      </c>
    </row>
    <row r="1375" customFormat="false" ht="15" hidden="false" customHeight="false" outlineLevel="0" collapsed="false">
      <c r="A1375" s="2" t="n">
        <v>381540782</v>
      </c>
      <c r="B1375" s="29" t="n">
        <v>46257.7439930556</v>
      </c>
      <c r="C1375" s="2" t="s">
        <v>183</v>
      </c>
      <c r="D1375" s="2" t="s">
        <v>1484</v>
      </c>
      <c r="E1375" s="2" t="s">
        <v>78</v>
      </c>
      <c r="F1375" s="2" t="s">
        <v>107</v>
      </c>
      <c r="G1375" s="30" t="n">
        <v>40</v>
      </c>
      <c r="H1375" s="11" t="n">
        <v>509.99</v>
      </c>
      <c r="I1375" s="11" t="s">
        <v>155</v>
      </c>
      <c r="J1375" s="11" t="n">
        <v>92.3</v>
      </c>
      <c r="K1375" s="11" t="n">
        <v>93.97</v>
      </c>
      <c r="L1375" s="11" t="n">
        <v>0.51</v>
      </c>
      <c r="M1375" s="11" t="n">
        <v>1.02</v>
      </c>
      <c r="N1375" s="11" t="n">
        <v>1</v>
      </c>
      <c r="O1375" s="11" t="n">
        <v>4.5</v>
      </c>
      <c r="P1375" s="11" t="n">
        <v>2.4</v>
      </c>
      <c r="Q1375" s="11" t="n">
        <v>18</v>
      </c>
      <c r="R1375" s="11" t="n">
        <f aca="false">SUM(K1375:Q1375)</f>
        <v>121.4</v>
      </c>
      <c r="S1375" s="11" t="n">
        <f aca="false">R1375/(1-Resumo!$C$6)</f>
        <v>137.954545454545</v>
      </c>
      <c r="T1375" s="11" t="n">
        <f aca="false">S1375-J1375</f>
        <v>45.6545454545455</v>
      </c>
      <c r="U1375" s="12" t="n">
        <f aca="false">IFERROR(S1375/J1375-1,0)</f>
        <v>0.494632128434946</v>
      </c>
      <c r="V1375" s="2" t="str">
        <f aca="false">IF(S1375&lt;J1375,"SIM","NÃO")</f>
        <v>NÃO</v>
      </c>
      <c r="W1375" s="2" t="n">
        <v>5</v>
      </c>
      <c r="X1375" s="2" t="s">
        <v>156</v>
      </c>
    </row>
    <row r="1376" customFormat="false" ht="15" hidden="false" customHeight="false" outlineLevel="0" collapsed="false">
      <c r="A1376" s="2" t="n">
        <v>381537514</v>
      </c>
      <c r="B1376" s="29" t="n">
        <v>46257.750775463</v>
      </c>
      <c r="C1376" s="2" t="s">
        <v>153</v>
      </c>
      <c r="D1376" s="2" t="s">
        <v>1485</v>
      </c>
      <c r="E1376" s="2" t="s">
        <v>80</v>
      </c>
      <c r="F1376" s="2" t="s">
        <v>107</v>
      </c>
      <c r="G1376" s="30" t="n">
        <v>40</v>
      </c>
      <c r="H1376" s="11" t="n">
        <v>529.99</v>
      </c>
      <c r="I1376" s="11" t="s">
        <v>155</v>
      </c>
      <c r="J1376" s="11" t="n">
        <v>113.5</v>
      </c>
      <c r="K1376" s="11" t="n">
        <v>93.97</v>
      </c>
      <c r="L1376" s="11" t="n">
        <v>0.53</v>
      </c>
      <c r="M1376" s="11" t="n">
        <v>1.06</v>
      </c>
      <c r="N1376" s="11" t="n">
        <v>1</v>
      </c>
      <c r="O1376" s="11" t="n">
        <v>4.5</v>
      </c>
      <c r="P1376" s="11" t="n">
        <v>2.4</v>
      </c>
      <c r="Q1376" s="11" t="n">
        <v>18</v>
      </c>
      <c r="R1376" s="11" t="n">
        <f aca="false">SUM(K1376:Q1376)</f>
        <v>121.46</v>
      </c>
      <c r="S1376" s="11" t="n">
        <f aca="false">R1376/(1-Resumo!$C$6)</f>
        <v>138.022727272727</v>
      </c>
      <c r="T1376" s="11" t="n">
        <f aca="false">S1376-J1376</f>
        <v>24.5227272727273</v>
      </c>
      <c r="U1376" s="12" t="n">
        <f aca="false">IFERROR(S1376/J1376-1,0)</f>
        <v>0.21605927112535</v>
      </c>
      <c r="V1376" s="2" t="str">
        <f aca="false">IF(S1376&lt;J1376,"SIM","NÃO")</f>
        <v>NÃO</v>
      </c>
      <c r="W1376" s="2" t="n">
        <v>5</v>
      </c>
      <c r="X1376" s="2" t="s">
        <v>156</v>
      </c>
    </row>
    <row r="1377" customFormat="false" ht="15" hidden="false" customHeight="false" outlineLevel="0" collapsed="false">
      <c r="A1377" s="2" t="n">
        <v>381555150</v>
      </c>
      <c r="B1377" s="29" t="n">
        <v>46257.7731828704</v>
      </c>
      <c r="C1377" s="2" t="s">
        <v>158</v>
      </c>
      <c r="D1377" s="2" t="s">
        <v>706</v>
      </c>
      <c r="E1377" s="2" t="s">
        <v>78</v>
      </c>
      <c r="F1377" s="2" t="s">
        <v>109</v>
      </c>
      <c r="G1377" s="30" t="n">
        <v>51.7</v>
      </c>
      <c r="H1377" s="11" t="n">
        <v>609.97</v>
      </c>
      <c r="I1377" s="11" t="s">
        <v>155</v>
      </c>
      <c r="J1377" s="11" t="n">
        <v>114.07</v>
      </c>
      <c r="K1377" s="11" t="n">
        <v>112.3</v>
      </c>
      <c r="L1377" s="11" t="n">
        <v>0.61</v>
      </c>
      <c r="M1377" s="11" t="n">
        <v>1.2199</v>
      </c>
      <c r="N1377" s="11" t="n">
        <v>1</v>
      </c>
      <c r="O1377" s="11" t="n">
        <v>4.5</v>
      </c>
      <c r="P1377" s="11" t="n">
        <v>3.12</v>
      </c>
      <c r="Q1377" s="11" t="n">
        <v>23.4</v>
      </c>
      <c r="R1377" s="11" t="n">
        <f aca="false">SUM(K1377:Q1377)</f>
        <v>146.1499</v>
      </c>
      <c r="S1377" s="11" t="n">
        <f aca="false">R1377/(1-Resumo!$C$6)</f>
        <v>166.079431818182</v>
      </c>
      <c r="T1377" s="11" t="n">
        <f aca="false">S1377-J1377</f>
        <v>52.0094318181818</v>
      </c>
      <c r="U1377" s="12" t="n">
        <f aca="false">IFERROR(S1377/J1377-1,0)</f>
        <v>0.455943121050073</v>
      </c>
      <c r="V1377" s="2" t="str">
        <f aca="false">IF(S1377&lt;J1377,"SIM","NÃO")</f>
        <v>NÃO</v>
      </c>
      <c r="W1377" s="2" t="n">
        <v>5</v>
      </c>
      <c r="X1377" s="2" t="s">
        <v>156</v>
      </c>
    </row>
    <row r="1378" customFormat="false" ht="15" hidden="false" customHeight="false" outlineLevel="0" collapsed="false">
      <c r="A1378" s="2" t="n">
        <v>381564536</v>
      </c>
      <c r="B1378" s="29" t="n">
        <v>46257.7874652778</v>
      </c>
      <c r="C1378" s="2" t="s">
        <v>153</v>
      </c>
      <c r="D1378" s="2" t="s">
        <v>1486</v>
      </c>
      <c r="E1378" s="2" t="s">
        <v>260</v>
      </c>
      <c r="F1378" s="2" t="s">
        <v>106</v>
      </c>
      <c r="G1378" s="30" t="n">
        <v>27.6</v>
      </c>
      <c r="H1378" s="11" t="n">
        <v>599.99</v>
      </c>
      <c r="I1378" s="11" t="s">
        <v>155</v>
      </c>
      <c r="J1378" s="11" t="n">
        <v>110.06</v>
      </c>
      <c r="K1378" s="11" t="n">
        <v>120.78</v>
      </c>
      <c r="L1378" s="11" t="n">
        <v>0.6</v>
      </c>
      <c r="M1378" s="11" t="n">
        <v>1.2</v>
      </c>
      <c r="N1378" s="11" t="n">
        <v>1</v>
      </c>
      <c r="O1378" s="11" t="n">
        <v>4.5</v>
      </c>
      <c r="P1378" s="11" t="n">
        <v>1.68</v>
      </c>
      <c r="Q1378" s="11" t="n">
        <v>12.6</v>
      </c>
      <c r="R1378" s="11" t="n">
        <f aca="false">SUM(K1378:Q1378)</f>
        <v>142.36</v>
      </c>
      <c r="S1378" s="11" t="n">
        <f aca="false">R1378/(1-Resumo!$C$6)</f>
        <v>161.772727272727</v>
      </c>
      <c r="T1378" s="11" t="n">
        <f aca="false">S1378-J1378</f>
        <v>51.7127272727273</v>
      </c>
      <c r="U1378" s="12" t="n">
        <f aca="false">IFERROR(S1378/J1378-1,0)</f>
        <v>0.469859415525416</v>
      </c>
      <c r="V1378" s="2" t="str">
        <f aca="false">IF(S1378&lt;J1378,"SIM","NÃO")</f>
        <v>NÃO</v>
      </c>
      <c r="W1378" s="2" t="n">
        <v>10</v>
      </c>
      <c r="X1378" s="2" t="s">
        <v>161</v>
      </c>
    </row>
    <row r="1379" customFormat="false" ht="15" hidden="false" customHeight="false" outlineLevel="0" collapsed="false">
      <c r="A1379" s="2" t="n">
        <v>381566734</v>
      </c>
      <c r="B1379" s="29" t="n">
        <v>46257.790474537</v>
      </c>
      <c r="C1379" s="2" t="s">
        <v>158</v>
      </c>
      <c r="D1379" s="2" t="s">
        <v>1487</v>
      </c>
      <c r="E1379" s="2" t="s">
        <v>78</v>
      </c>
      <c r="F1379" s="2" t="s">
        <v>112</v>
      </c>
      <c r="G1379" s="30" t="n">
        <v>81.7</v>
      </c>
      <c r="H1379" s="11" t="n">
        <v>562</v>
      </c>
      <c r="I1379" s="11" t="s">
        <v>155</v>
      </c>
      <c r="J1379" s="11" t="n">
        <v>161.77</v>
      </c>
      <c r="K1379" s="11" t="n">
        <v>167.99</v>
      </c>
      <c r="L1379" s="11" t="n">
        <v>0.562</v>
      </c>
      <c r="M1379" s="11" t="n">
        <v>1.124</v>
      </c>
      <c r="N1379" s="11" t="n">
        <v>1</v>
      </c>
      <c r="O1379" s="11" t="n">
        <v>4.5</v>
      </c>
      <c r="P1379" s="11" t="n">
        <v>4.92</v>
      </c>
      <c r="Q1379" s="11" t="n">
        <v>36.9</v>
      </c>
      <c r="R1379" s="11" t="n">
        <f aca="false">SUM(K1379:Q1379)</f>
        <v>216.996</v>
      </c>
      <c r="S1379" s="11" t="n">
        <f aca="false">R1379/(1-Resumo!$C$6)</f>
        <v>246.586363636364</v>
      </c>
      <c r="T1379" s="11" t="n">
        <f aca="false">S1379-J1379</f>
        <v>84.8163636363636</v>
      </c>
      <c r="U1379" s="12" t="n">
        <f aca="false">IFERROR(S1379/J1379-1,0)</f>
        <v>0.524302179862543</v>
      </c>
      <c r="V1379" s="2" t="str">
        <f aca="false">IF(S1379&lt;J1379,"SIM","NÃO")</f>
        <v>NÃO</v>
      </c>
      <c r="W1379" s="2" t="n">
        <v>5</v>
      </c>
      <c r="X1379" s="2" t="s">
        <v>156</v>
      </c>
    </row>
    <row r="1380" customFormat="false" ht="15" hidden="false" customHeight="false" outlineLevel="0" collapsed="false">
      <c r="A1380" s="2" t="n">
        <v>381610688</v>
      </c>
      <c r="B1380" s="29" t="n">
        <v>46257.8362268519</v>
      </c>
      <c r="C1380" s="2" t="s">
        <v>198</v>
      </c>
      <c r="D1380" s="2" t="s">
        <v>1488</v>
      </c>
      <c r="E1380" s="2" t="s">
        <v>78</v>
      </c>
      <c r="F1380" s="2" t="s">
        <v>106</v>
      </c>
      <c r="G1380" s="30" t="n">
        <v>24.4</v>
      </c>
      <c r="H1380" s="11" t="n">
        <v>299.99</v>
      </c>
      <c r="I1380" s="11" t="s">
        <v>155</v>
      </c>
      <c r="J1380" s="11" t="n">
        <v>81.76</v>
      </c>
      <c r="K1380" s="11" t="n">
        <v>82.21</v>
      </c>
      <c r="L1380" s="11" t="n">
        <v>0.3</v>
      </c>
      <c r="M1380" s="11" t="n">
        <v>0.6</v>
      </c>
      <c r="N1380" s="11" t="n">
        <v>1</v>
      </c>
      <c r="O1380" s="11" t="n">
        <v>4.5</v>
      </c>
      <c r="P1380" s="11" t="n">
        <v>1.5</v>
      </c>
      <c r="Q1380" s="11" t="n">
        <v>11.25</v>
      </c>
      <c r="R1380" s="11" t="n">
        <f aca="false">SUM(K1380:Q1380)</f>
        <v>101.36</v>
      </c>
      <c r="S1380" s="11" t="n">
        <f aca="false">R1380/(1-Resumo!$C$6)</f>
        <v>115.181818181818</v>
      </c>
      <c r="T1380" s="11" t="n">
        <f aca="false">S1380-J1380</f>
        <v>33.4218181818182</v>
      </c>
      <c r="U1380" s="12" t="n">
        <f aca="false">IFERROR(S1380/J1380-1,0)</f>
        <v>0.408779576587796</v>
      </c>
      <c r="V1380" s="2" t="str">
        <f aca="false">IF(S1380&lt;J1380,"SIM","NÃO")</f>
        <v>NÃO</v>
      </c>
      <c r="W1380" s="2" t="n">
        <v>5</v>
      </c>
      <c r="X1380" s="2" t="s">
        <v>156</v>
      </c>
    </row>
    <row r="1381" customFormat="false" ht="15" hidden="false" customHeight="false" outlineLevel="0" collapsed="false">
      <c r="A1381" s="2" t="n">
        <v>381617128</v>
      </c>
      <c r="B1381" s="29" t="n">
        <v>46257.8422685185</v>
      </c>
      <c r="C1381" s="2" t="s">
        <v>158</v>
      </c>
      <c r="D1381" s="2" t="s">
        <v>1489</v>
      </c>
      <c r="E1381" s="2" t="s">
        <v>79</v>
      </c>
      <c r="F1381" s="2" t="s">
        <v>110</v>
      </c>
      <c r="G1381" s="30" t="n">
        <v>66.8</v>
      </c>
      <c r="H1381" s="11" t="n">
        <v>588.63</v>
      </c>
      <c r="I1381" s="11" t="s">
        <v>155</v>
      </c>
      <c r="J1381" s="11" t="n">
        <v>139.26</v>
      </c>
      <c r="K1381" s="11" t="n">
        <v>149.5</v>
      </c>
      <c r="L1381" s="11" t="n">
        <v>0.5886</v>
      </c>
      <c r="M1381" s="11" t="n">
        <v>1.1773</v>
      </c>
      <c r="N1381" s="11" t="n">
        <v>1</v>
      </c>
      <c r="O1381" s="11" t="n">
        <v>4.5</v>
      </c>
      <c r="P1381" s="11" t="n">
        <v>4.02</v>
      </c>
      <c r="Q1381" s="11" t="n">
        <v>30.15</v>
      </c>
      <c r="R1381" s="11" t="n">
        <f aca="false">SUM(K1381:Q1381)</f>
        <v>190.9359</v>
      </c>
      <c r="S1381" s="11" t="n">
        <f aca="false">R1381/(1-Resumo!$C$6)</f>
        <v>216.972613636364</v>
      </c>
      <c r="T1381" s="11" t="n">
        <f aca="false">S1381-J1381</f>
        <v>77.7126136363636</v>
      </c>
      <c r="U1381" s="12" t="n">
        <f aca="false">IFERROR(S1381/J1381-1,0)</f>
        <v>0.558039736007207</v>
      </c>
      <c r="V1381" s="2" t="str">
        <f aca="false">IF(S1381&lt;J1381,"SIM","NÃO")</f>
        <v>NÃO</v>
      </c>
      <c r="W1381" s="2" t="n">
        <v>7</v>
      </c>
      <c r="X1381" s="2" t="s">
        <v>156</v>
      </c>
    </row>
    <row r="1382" customFormat="false" ht="15" hidden="false" customHeight="false" outlineLevel="0" collapsed="false">
      <c r="A1382" s="2" t="n">
        <v>381749944</v>
      </c>
      <c r="B1382" s="29" t="n">
        <v>46257.9052314815</v>
      </c>
      <c r="C1382" s="2" t="s">
        <v>158</v>
      </c>
      <c r="D1382" s="2" t="s">
        <v>1490</v>
      </c>
      <c r="E1382" s="2" t="s">
        <v>78</v>
      </c>
      <c r="F1382" s="2" t="s">
        <v>114</v>
      </c>
      <c r="G1382" s="30" t="n">
        <v>124.2</v>
      </c>
      <c r="H1382" s="11" t="n">
        <v>1526.91</v>
      </c>
      <c r="I1382" s="11" t="s">
        <v>155</v>
      </c>
      <c r="J1382" s="11" t="n">
        <v>233.6</v>
      </c>
      <c r="K1382" s="11" t="n">
        <v>239.25</v>
      </c>
      <c r="L1382" s="11" t="n">
        <v>1.5269</v>
      </c>
      <c r="M1382" s="11" t="n">
        <v>3.0538</v>
      </c>
      <c r="N1382" s="11" t="n">
        <v>1</v>
      </c>
      <c r="O1382" s="11" t="n">
        <v>9</v>
      </c>
      <c r="P1382" s="11" t="n">
        <v>7.5</v>
      </c>
      <c r="Q1382" s="11" t="n">
        <v>56.25</v>
      </c>
      <c r="R1382" s="11" t="n">
        <f aca="false">SUM(K1382:Q1382)</f>
        <v>317.5807</v>
      </c>
      <c r="S1382" s="11" t="n">
        <f aca="false">R1382/(1-Resumo!$C$6)</f>
        <v>360.887159090909</v>
      </c>
      <c r="T1382" s="11" t="n">
        <f aca="false">S1382-J1382</f>
        <v>127.287159090909</v>
      </c>
      <c r="U1382" s="12" t="n">
        <f aca="false">IFERROR(S1382/J1382-1,0)</f>
        <v>0.544893660491905</v>
      </c>
      <c r="V1382" s="2" t="str">
        <f aca="false">IF(S1382&lt;J1382,"SIM","NÃO")</f>
        <v>NÃO</v>
      </c>
      <c r="W1382" s="2" t="n">
        <v>5</v>
      </c>
      <c r="X1382" s="2" t="s">
        <v>156</v>
      </c>
    </row>
    <row r="1383" customFormat="false" ht="15" hidden="false" customHeight="false" outlineLevel="0" collapsed="false">
      <c r="A1383" s="2" t="n">
        <v>381664063</v>
      </c>
      <c r="B1383" s="29" t="n">
        <v>46257.9081365741</v>
      </c>
      <c r="C1383" s="2" t="s">
        <v>191</v>
      </c>
      <c r="D1383" s="2" t="s">
        <v>794</v>
      </c>
      <c r="E1383" s="2" t="s">
        <v>78</v>
      </c>
      <c r="F1383" s="2" t="s">
        <v>106</v>
      </c>
      <c r="G1383" s="30" t="n">
        <v>22.4</v>
      </c>
      <c r="H1383" s="11" t="n">
        <v>434.99</v>
      </c>
      <c r="I1383" s="11" t="s">
        <v>155</v>
      </c>
      <c r="J1383" s="11" t="n">
        <v>82.41</v>
      </c>
      <c r="K1383" s="11" t="n">
        <v>82.21</v>
      </c>
      <c r="L1383" s="11" t="n">
        <v>0.435</v>
      </c>
      <c r="M1383" s="11" t="n">
        <v>0.87</v>
      </c>
      <c r="N1383" s="11" t="n">
        <v>1</v>
      </c>
      <c r="O1383" s="11" t="n">
        <v>4.5</v>
      </c>
      <c r="P1383" s="11" t="n">
        <v>1.38</v>
      </c>
      <c r="Q1383" s="11" t="n">
        <v>10.35</v>
      </c>
      <c r="R1383" s="11" t="n">
        <f aca="false">SUM(K1383:Q1383)</f>
        <v>100.745</v>
      </c>
      <c r="S1383" s="11" t="n">
        <f aca="false">R1383/(1-Resumo!$C$6)</f>
        <v>114.482954545455</v>
      </c>
      <c r="T1383" s="11" t="n">
        <f aca="false">S1383-J1383</f>
        <v>32.0729545454545</v>
      </c>
      <c r="U1383" s="12" t="n">
        <f aca="false">IFERROR(S1383/J1383-1,0)</f>
        <v>0.389187653748993</v>
      </c>
      <c r="V1383" s="2" t="str">
        <f aca="false">IF(S1383&lt;J1383,"SIM","NÃO")</f>
        <v>NÃO</v>
      </c>
      <c r="W1383" s="2" t="n">
        <v>5</v>
      </c>
      <c r="X1383" s="2" t="s">
        <v>156</v>
      </c>
    </row>
    <row r="1384" customFormat="false" ht="15" hidden="false" customHeight="false" outlineLevel="0" collapsed="false">
      <c r="A1384" s="2" t="n">
        <v>381687413</v>
      </c>
      <c r="B1384" s="29" t="n">
        <v>46257.9338310185</v>
      </c>
      <c r="C1384" s="2" t="s">
        <v>153</v>
      </c>
      <c r="D1384" s="2" t="s">
        <v>1491</v>
      </c>
      <c r="E1384" s="2" t="s">
        <v>80</v>
      </c>
      <c r="F1384" s="2" t="s">
        <v>108</v>
      </c>
      <c r="G1384" s="30" t="n">
        <v>46.8</v>
      </c>
      <c r="H1384" s="11" t="n">
        <v>506.56</v>
      </c>
      <c r="I1384" s="11" t="s">
        <v>155</v>
      </c>
      <c r="J1384" s="11" t="n">
        <v>116.49</v>
      </c>
      <c r="K1384" s="11" t="n">
        <v>93.97</v>
      </c>
      <c r="L1384" s="11" t="n">
        <v>0.5066</v>
      </c>
      <c r="M1384" s="11" t="n">
        <v>1.0131</v>
      </c>
      <c r="N1384" s="11" t="n">
        <v>1</v>
      </c>
      <c r="O1384" s="11" t="n">
        <v>4.5</v>
      </c>
      <c r="P1384" s="11" t="n">
        <v>2.82</v>
      </c>
      <c r="Q1384" s="11" t="n">
        <v>21.15</v>
      </c>
      <c r="R1384" s="11" t="n">
        <f aca="false">SUM(K1384:Q1384)</f>
        <v>124.9597</v>
      </c>
      <c r="S1384" s="11" t="n">
        <f aca="false">R1384/(1-Resumo!$C$6)</f>
        <v>141.999659090909</v>
      </c>
      <c r="T1384" s="11" t="n">
        <f aca="false">S1384-J1384</f>
        <v>25.5096590909091</v>
      </c>
      <c r="U1384" s="12" t="n">
        <f aca="false">IFERROR(S1384/J1384-1,0)</f>
        <v>0.218985827890026</v>
      </c>
      <c r="V1384" s="2" t="str">
        <f aca="false">IF(S1384&lt;J1384,"SIM","NÃO")</f>
        <v>NÃO</v>
      </c>
      <c r="W1384" s="2" t="n">
        <v>5</v>
      </c>
      <c r="X1384" s="2" t="s">
        <v>156</v>
      </c>
    </row>
    <row r="1385" customFormat="false" ht="15" hidden="false" customHeight="false" outlineLevel="0" collapsed="false">
      <c r="A1385" s="2" t="n">
        <v>381692974</v>
      </c>
      <c r="B1385" s="29" t="n">
        <v>46257.9423263889</v>
      </c>
      <c r="C1385" s="2" t="s">
        <v>153</v>
      </c>
      <c r="D1385" s="2" t="s">
        <v>1492</v>
      </c>
      <c r="E1385" s="2" t="s">
        <v>79</v>
      </c>
      <c r="F1385" s="2" t="s">
        <v>109</v>
      </c>
      <c r="G1385" s="30" t="n">
        <v>52.2</v>
      </c>
      <c r="H1385" s="11" t="n">
        <v>719.99</v>
      </c>
      <c r="I1385" s="11" t="s">
        <v>155</v>
      </c>
      <c r="J1385" s="11" t="n">
        <v>128.74</v>
      </c>
      <c r="K1385" s="11" t="n">
        <v>128.14</v>
      </c>
      <c r="L1385" s="11" t="n">
        <v>0.72</v>
      </c>
      <c r="M1385" s="11" t="n">
        <v>1.44</v>
      </c>
      <c r="N1385" s="11" t="n">
        <v>1</v>
      </c>
      <c r="O1385" s="11" t="n">
        <v>4.5</v>
      </c>
      <c r="P1385" s="11" t="n">
        <v>3.18</v>
      </c>
      <c r="Q1385" s="11" t="n">
        <v>23.85</v>
      </c>
      <c r="R1385" s="11" t="n">
        <f aca="false">SUM(K1385:Q1385)</f>
        <v>162.83</v>
      </c>
      <c r="S1385" s="11" t="n">
        <f aca="false">R1385/(1-Resumo!$C$6)</f>
        <v>185.034090909091</v>
      </c>
      <c r="T1385" s="11" t="n">
        <f aca="false">S1385-J1385</f>
        <v>56.2940909090909</v>
      </c>
      <c r="U1385" s="12" t="n">
        <f aca="false">IFERROR(S1385/J1385-1,0)</f>
        <v>0.437269620235287</v>
      </c>
      <c r="V1385" s="2" t="str">
        <f aca="false">IF(S1385&lt;J1385,"SIM","NÃO")</f>
        <v>NÃO</v>
      </c>
      <c r="W1385" s="2" t="n">
        <v>7</v>
      </c>
      <c r="X1385" s="2" t="s">
        <v>156</v>
      </c>
    </row>
    <row r="1386" customFormat="false" ht="15" hidden="false" customHeight="false" outlineLevel="0" collapsed="false">
      <c r="A1386" s="2" t="n">
        <v>381704414</v>
      </c>
      <c r="B1386" s="29" t="n">
        <v>46257.9601157407</v>
      </c>
      <c r="C1386" s="2" t="s">
        <v>158</v>
      </c>
      <c r="D1386" s="2" t="s">
        <v>506</v>
      </c>
      <c r="E1386" s="2" t="s">
        <v>78</v>
      </c>
      <c r="F1386" s="2" t="s">
        <v>106</v>
      </c>
      <c r="G1386" s="30" t="n">
        <v>31.4</v>
      </c>
      <c r="H1386" s="11" t="n">
        <v>368.32</v>
      </c>
      <c r="I1386" s="11" t="s">
        <v>155</v>
      </c>
      <c r="J1386" s="11" t="n">
        <v>82.1</v>
      </c>
      <c r="K1386" s="11" t="n">
        <v>82.21</v>
      </c>
      <c r="L1386" s="11" t="n">
        <v>0.3683</v>
      </c>
      <c r="M1386" s="11" t="n">
        <v>0.7366</v>
      </c>
      <c r="N1386" s="11" t="n">
        <v>1</v>
      </c>
      <c r="O1386" s="11" t="n">
        <v>4.5</v>
      </c>
      <c r="P1386" s="11" t="n">
        <v>1.92</v>
      </c>
      <c r="Q1386" s="11" t="n">
        <v>14.4</v>
      </c>
      <c r="R1386" s="11" t="n">
        <f aca="false">SUM(K1386:Q1386)</f>
        <v>105.1349</v>
      </c>
      <c r="S1386" s="11" t="n">
        <f aca="false">R1386/(1-Resumo!$C$6)</f>
        <v>119.471477272727</v>
      </c>
      <c r="T1386" s="11" t="n">
        <f aca="false">S1386-J1386</f>
        <v>37.3714772727273</v>
      </c>
      <c r="U1386" s="12" t="n">
        <f aca="false">IFERROR(S1386/J1386-1,0)</f>
        <v>0.455194607463183</v>
      </c>
      <c r="V1386" s="2" t="str">
        <f aca="false">IF(S1386&lt;J1386,"SIM","NÃO")</f>
        <v>NÃO</v>
      </c>
      <c r="W1386" s="2" t="n">
        <v>5</v>
      </c>
      <c r="X1386" s="2" t="s">
        <v>156</v>
      </c>
    </row>
    <row r="1387" customFormat="false" ht="15" hidden="false" customHeight="false" outlineLevel="0" collapsed="false">
      <c r="A1387" s="2" t="n">
        <v>381708602</v>
      </c>
      <c r="B1387" s="29" t="n">
        <v>46257.9671875</v>
      </c>
      <c r="C1387" s="2" t="s">
        <v>153</v>
      </c>
      <c r="D1387" s="2" t="s">
        <v>1493</v>
      </c>
      <c r="E1387" s="2" t="s">
        <v>78</v>
      </c>
      <c r="F1387" s="2" t="s">
        <v>106</v>
      </c>
      <c r="G1387" s="30" t="n">
        <v>27</v>
      </c>
      <c r="H1387" s="11" t="n">
        <v>349.99</v>
      </c>
      <c r="I1387" s="11" t="s">
        <v>155</v>
      </c>
      <c r="J1387" s="11" t="n">
        <v>82</v>
      </c>
      <c r="K1387" s="11" t="n">
        <v>82.21</v>
      </c>
      <c r="L1387" s="11" t="n">
        <v>0.35</v>
      </c>
      <c r="M1387" s="11" t="n">
        <v>0.7</v>
      </c>
      <c r="N1387" s="11" t="n">
        <v>1</v>
      </c>
      <c r="O1387" s="11" t="n">
        <v>4.5</v>
      </c>
      <c r="P1387" s="11" t="n">
        <v>1.62</v>
      </c>
      <c r="Q1387" s="11" t="n">
        <v>12.15</v>
      </c>
      <c r="R1387" s="11" t="n">
        <f aca="false">SUM(K1387:Q1387)</f>
        <v>102.53</v>
      </c>
      <c r="S1387" s="11" t="n">
        <f aca="false">R1387/(1-Resumo!$C$6)</f>
        <v>116.511363636364</v>
      </c>
      <c r="T1387" s="11" t="n">
        <f aca="false">S1387-J1387</f>
        <v>34.5113636363636</v>
      </c>
      <c r="U1387" s="12" t="n">
        <f aca="false">IFERROR(S1387/J1387-1,0)</f>
        <v>0.420870288248337</v>
      </c>
      <c r="V1387" s="2" t="str">
        <f aca="false">IF(S1387&lt;J1387,"SIM","NÃO")</f>
        <v>NÃO</v>
      </c>
      <c r="W1387" s="2" t="n">
        <v>5</v>
      </c>
      <c r="X1387" s="2" t="s">
        <v>156</v>
      </c>
    </row>
    <row r="1388" customFormat="false" ht="15" hidden="false" customHeight="false" outlineLevel="0" collapsed="false">
      <c r="A1388" s="2" t="n">
        <v>381028973</v>
      </c>
      <c r="B1388" s="29" t="n">
        <v>46258.0063078704</v>
      </c>
      <c r="C1388" s="2" t="s">
        <v>194</v>
      </c>
      <c r="D1388" s="2" t="s">
        <v>1494</v>
      </c>
      <c r="E1388" s="2" t="s">
        <v>78</v>
      </c>
      <c r="F1388" s="2" t="s">
        <v>106</v>
      </c>
      <c r="G1388" s="30" t="n">
        <v>21.75</v>
      </c>
      <c r="H1388" s="11" t="n">
        <v>329.99</v>
      </c>
      <c r="I1388" s="11" t="s">
        <v>155</v>
      </c>
      <c r="J1388" s="11" t="n">
        <v>81.91</v>
      </c>
      <c r="K1388" s="11" t="n">
        <v>82.21</v>
      </c>
      <c r="L1388" s="11" t="n">
        <v>0.33</v>
      </c>
      <c r="M1388" s="11" t="n">
        <v>0.66</v>
      </c>
      <c r="N1388" s="11" t="n">
        <v>1</v>
      </c>
      <c r="O1388" s="11" t="n">
        <v>4.5</v>
      </c>
      <c r="P1388" s="11" t="n">
        <v>1.32</v>
      </c>
      <c r="Q1388" s="11" t="n">
        <v>9.9</v>
      </c>
      <c r="R1388" s="11" t="n">
        <f aca="false">SUM(K1388:Q1388)</f>
        <v>99.92</v>
      </c>
      <c r="S1388" s="11" t="n">
        <f aca="false">R1388/(1-Resumo!$C$6)</f>
        <v>113.545454545455</v>
      </c>
      <c r="T1388" s="11" t="n">
        <f aca="false">S1388-J1388</f>
        <v>31.6354545454546</v>
      </c>
      <c r="U1388" s="12" t="n">
        <f aca="false">IFERROR(S1388/J1388-1,0)</f>
        <v>0.386222128500239</v>
      </c>
      <c r="V1388" s="2" t="str">
        <f aca="false">IF(S1388&lt;J1388,"SIM","NÃO")</f>
        <v>NÃO</v>
      </c>
      <c r="W1388" s="2" t="n">
        <v>5</v>
      </c>
      <c r="X1388" s="2" t="s">
        <v>156</v>
      </c>
    </row>
    <row r="1389" customFormat="false" ht="15" hidden="false" customHeight="false" outlineLevel="0" collapsed="false">
      <c r="A1389" s="2" t="n">
        <v>381888888</v>
      </c>
      <c r="B1389" s="29" t="n">
        <v>46258.2803472222</v>
      </c>
      <c r="C1389" s="2" t="s">
        <v>153</v>
      </c>
      <c r="D1389" s="2" t="s">
        <v>1495</v>
      </c>
      <c r="E1389" s="2" t="s">
        <v>79</v>
      </c>
      <c r="F1389" s="2" t="s">
        <v>106</v>
      </c>
      <c r="G1389" s="30" t="n">
        <v>22.4</v>
      </c>
      <c r="H1389" s="11" t="n">
        <v>519.99</v>
      </c>
      <c r="I1389" s="11" t="s">
        <v>155</v>
      </c>
      <c r="J1389" s="11" t="n">
        <v>101.87</v>
      </c>
      <c r="K1389" s="11" t="n">
        <v>100.58</v>
      </c>
      <c r="L1389" s="11" t="n">
        <v>0.52</v>
      </c>
      <c r="M1389" s="11" t="n">
        <v>1.04</v>
      </c>
      <c r="N1389" s="11" t="n">
        <v>1</v>
      </c>
      <c r="O1389" s="11" t="n">
        <v>4.5</v>
      </c>
      <c r="P1389" s="11" t="n">
        <v>1.38</v>
      </c>
      <c r="Q1389" s="11" t="n">
        <v>10.35</v>
      </c>
      <c r="R1389" s="11" t="n">
        <f aca="false">SUM(K1389:Q1389)</f>
        <v>119.37</v>
      </c>
      <c r="S1389" s="11" t="n">
        <f aca="false">R1389/(1-Resumo!$C$6)</f>
        <v>135.647727272727</v>
      </c>
      <c r="T1389" s="11" t="n">
        <f aca="false">S1389-J1389</f>
        <v>33.7777272727273</v>
      </c>
      <c r="U1389" s="12" t="n">
        <f aca="false">IFERROR(S1389/J1389-1,0)</f>
        <v>0.331576786813854</v>
      </c>
      <c r="V1389" s="2" t="str">
        <f aca="false">IF(S1389&lt;J1389,"SIM","NÃO")</f>
        <v>NÃO</v>
      </c>
      <c r="W1389" s="2" t="n">
        <v>7</v>
      </c>
      <c r="X1389" s="2" t="s">
        <v>156</v>
      </c>
    </row>
    <row r="1390" customFormat="false" ht="15" hidden="false" customHeight="false" outlineLevel="0" collapsed="false">
      <c r="A1390" s="2" t="n">
        <v>381977516</v>
      </c>
      <c r="B1390" s="29" t="n">
        <v>46258.4177662037</v>
      </c>
      <c r="C1390" s="2" t="s">
        <v>153</v>
      </c>
      <c r="D1390" s="2" t="s">
        <v>1496</v>
      </c>
      <c r="E1390" s="2" t="s">
        <v>78</v>
      </c>
      <c r="F1390" s="2" t="s">
        <v>107</v>
      </c>
      <c r="G1390" s="30" t="n">
        <v>36.9</v>
      </c>
      <c r="H1390" s="11" t="n">
        <v>389.99</v>
      </c>
      <c r="I1390" s="11" t="s">
        <v>155</v>
      </c>
      <c r="J1390" s="11" t="n">
        <v>91.73</v>
      </c>
      <c r="K1390" s="11" t="n">
        <v>93.97</v>
      </c>
      <c r="L1390" s="11" t="n">
        <v>0.39</v>
      </c>
      <c r="M1390" s="11" t="n">
        <v>0.78</v>
      </c>
      <c r="N1390" s="11" t="n">
        <v>1</v>
      </c>
      <c r="O1390" s="11" t="n">
        <v>4.5</v>
      </c>
      <c r="P1390" s="11" t="n">
        <v>2.22</v>
      </c>
      <c r="Q1390" s="11" t="n">
        <v>16.65</v>
      </c>
      <c r="R1390" s="11" t="n">
        <f aca="false">SUM(K1390:Q1390)</f>
        <v>119.51</v>
      </c>
      <c r="S1390" s="11" t="n">
        <f aca="false">R1390/(1-Resumo!$C$6)</f>
        <v>135.806818181818</v>
      </c>
      <c r="T1390" s="11" t="n">
        <f aca="false">S1390-J1390</f>
        <v>44.0768181818182</v>
      </c>
      <c r="U1390" s="12" t="n">
        <f aca="false">IFERROR(S1390/J1390-1,0)</f>
        <v>0.480506030544186</v>
      </c>
      <c r="V1390" s="2" t="str">
        <f aca="false">IF(S1390&lt;J1390,"SIM","NÃO")</f>
        <v>NÃO</v>
      </c>
      <c r="W1390" s="2" t="n">
        <v>5</v>
      </c>
      <c r="X1390" s="2" t="s">
        <v>156</v>
      </c>
    </row>
    <row r="1391" customFormat="false" ht="15" hidden="false" customHeight="false" outlineLevel="0" collapsed="false">
      <c r="A1391" s="2" t="n">
        <v>381990085</v>
      </c>
      <c r="B1391" s="29" t="n">
        <v>46258.4411921296</v>
      </c>
      <c r="C1391" s="2" t="s">
        <v>153</v>
      </c>
      <c r="D1391" s="2" t="s">
        <v>282</v>
      </c>
      <c r="E1391" s="2" t="s">
        <v>283</v>
      </c>
      <c r="F1391" s="2" t="s">
        <v>107</v>
      </c>
      <c r="G1391" s="30" t="n">
        <v>36.9</v>
      </c>
      <c r="H1391" s="11" t="n">
        <v>389.99</v>
      </c>
      <c r="I1391" s="11" t="s">
        <v>155</v>
      </c>
      <c r="J1391" s="11" t="n">
        <v>122.11</v>
      </c>
      <c r="K1391" s="11" t="n">
        <v>143.04</v>
      </c>
      <c r="L1391" s="11" t="n">
        <v>0.39</v>
      </c>
      <c r="M1391" s="11" t="n">
        <v>0.78</v>
      </c>
      <c r="N1391" s="11" t="n">
        <v>1</v>
      </c>
      <c r="O1391" s="11" t="n">
        <v>4.5</v>
      </c>
      <c r="P1391" s="11" t="n">
        <v>2.22</v>
      </c>
      <c r="Q1391" s="11" t="n">
        <v>16.65</v>
      </c>
      <c r="R1391" s="11" t="n">
        <f aca="false">SUM(K1391:Q1391)</f>
        <v>168.58</v>
      </c>
      <c r="S1391" s="11" t="n">
        <f aca="false">R1391/(1-Resumo!$C$6)</f>
        <v>191.568181818182</v>
      </c>
      <c r="T1391" s="11" t="n">
        <f aca="false">S1391-J1391</f>
        <v>69.4581818181818</v>
      </c>
      <c r="U1391" s="12" t="n">
        <f aca="false">IFERROR(S1391/J1391-1,0)</f>
        <v>0.56881649183672</v>
      </c>
      <c r="V1391" s="2" t="str">
        <f aca="false">IF(S1391&lt;J1391,"SIM","NÃO")</f>
        <v>NÃO</v>
      </c>
      <c r="W1391" s="2" t="n">
        <v>11</v>
      </c>
      <c r="X1391" s="2" t="s">
        <v>161</v>
      </c>
    </row>
    <row r="1392" customFormat="false" ht="15" hidden="false" customHeight="false" outlineLevel="0" collapsed="false">
      <c r="A1392" s="2" t="n">
        <v>381999030</v>
      </c>
      <c r="B1392" s="29" t="n">
        <v>46258.4588541667</v>
      </c>
      <c r="C1392" s="2" t="s">
        <v>153</v>
      </c>
      <c r="D1392" s="2" t="s">
        <v>1497</v>
      </c>
      <c r="E1392" s="2" t="s">
        <v>160</v>
      </c>
      <c r="F1392" s="2" t="s">
        <v>109</v>
      </c>
      <c r="G1392" s="30" t="n">
        <v>52.3</v>
      </c>
      <c r="H1392" s="11" t="n">
        <v>616.99</v>
      </c>
      <c r="I1392" s="11" t="s">
        <v>155</v>
      </c>
      <c r="J1392" s="11" t="n">
        <v>128.23</v>
      </c>
      <c r="K1392" s="11" t="n">
        <v>112.3</v>
      </c>
      <c r="L1392" s="11" t="n">
        <v>0.617</v>
      </c>
      <c r="M1392" s="11" t="n">
        <v>1.234</v>
      </c>
      <c r="N1392" s="11" t="n">
        <v>1</v>
      </c>
      <c r="O1392" s="11" t="n">
        <v>4.5</v>
      </c>
      <c r="P1392" s="11" t="n">
        <v>3.18</v>
      </c>
      <c r="Q1392" s="11" t="n">
        <v>23.85</v>
      </c>
      <c r="R1392" s="11" t="n">
        <f aca="false">SUM(K1392:Q1392)</f>
        <v>146.681</v>
      </c>
      <c r="S1392" s="11" t="n">
        <f aca="false">R1392/(1-Resumo!$C$6)</f>
        <v>166.682954545455</v>
      </c>
      <c r="T1392" s="11" t="n">
        <f aca="false">S1392-J1392</f>
        <v>38.4529545454546</v>
      </c>
      <c r="U1392" s="12" t="n">
        <f aca="false">IFERROR(S1392/J1392-1,0)</f>
        <v>0.299874869729818</v>
      </c>
      <c r="V1392" s="2" t="str">
        <f aca="false">IF(S1392&lt;J1392,"SIM","NÃO")</f>
        <v>NÃO</v>
      </c>
      <c r="W1392" s="2" t="n">
        <v>5</v>
      </c>
      <c r="X1392" s="2" t="s">
        <v>161</v>
      </c>
    </row>
    <row r="1393" customFormat="false" ht="15" hidden="false" customHeight="false" outlineLevel="0" collapsed="false">
      <c r="A1393" s="2" t="n">
        <v>382144712</v>
      </c>
      <c r="B1393" s="29" t="n">
        <v>46258.6739236111</v>
      </c>
      <c r="C1393" s="2" t="s">
        <v>153</v>
      </c>
      <c r="D1393" s="2" t="s">
        <v>1498</v>
      </c>
      <c r="E1393" s="2" t="s">
        <v>83</v>
      </c>
      <c r="F1393" s="2" t="s">
        <v>113</v>
      </c>
      <c r="G1393" s="30" t="n">
        <v>106.5</v>
      </c>
      <c r="H1393" s="11" t="n">
        <v>1163.99</v>
      </c>
      <c r="I1393" s="11" t="s">
        <v>155</v>
      </c>
      <c r="J1393" s="11" t="n">
        <v>216.24</v>
      </c>
      <c r="K1393" s="11" t="n">
        <v>236.82</v>
      </c>
      <c r="L1393" s="11" t="n">
        <v>1.164</v>
      </c>
      <c r="M1393" s="11" t="n">
        <v>2.328</v>
      </c>
      <c r="N1393" s="11" t="n">
        <v>1</v>
      </c>
      <c r="O1393" s="11" t="n">
        <v>9</v>
      </c>
      <c r="P1393" s="11" t="n">
        <v>6.42</v>
      </c>
      <c r="Q1393" s="11" t="n">
        <v>48.15</v>
      </c>
      <c r="R1393" s="11" t="n">
        <f aca="false">SUM(K1393:Q1393)</f>
        <v>304.882</v>
      </c>
      <c r="S1393" s="11" t="n">
        <f aca="false">R1393/(1-Resumo!$C$6)</f>
        <v>346.456818181818</v>
      </c>
      <c r="T1393" s="11" t="n">
        <f aca="false">S1393-J1393</f>
        <v>130.216818181818</v>
      </c>
      <c r="U1393" s="12" t="n">
        <f aca="false">IFERROR(S1393/J1393-1,0)</f>
        <v>0.602186543571116</v>
      </c>
      <c r="V1393" s="2" t="str">
        <f aca="false">IF(S1393&lt;J1393,"SIM","NÃO")</f>
        <v>NÃO</v>
      </c>
      <c r="W1393" s="2" t="n">
        <v>11</v>
      </c>
      <c r="X1393" s="2" t="s">
        <v>156</v>
      </c>
    </row>
    <row r="1394" customFormat="false" ht="15" hidden="false" customHeight="false" outlineLevel="0" collapsed="false">
      <c r="A1394" s="2" t="n">
        <v>382186460</v>
      </c>
      <c r="B1394" s="29" t="n">
        <v>46258.7376388889</v>
      </c>
      <c r="C1394" s="2" t="s">
        <v>153</v>
      </c>
      <c r="D1394" s="2" t="s">
        <v>1499</v>
      </c>
      <c r="E1394" s="2" t="s">
        <v>78</v>
      </c>
      <c r="F1394" s="2" t="s">
        <v>108</v>
      </c>
      <c r="G1394" s="30" t="n">
        <v>45.3</v>
      </c>
      <c r="H1394" s="11" t="n">
        <v>625.99</v>
      </c>
      <c r="I1394" s="11" t="s">
        <v>155</v>
      </c>
      <c r="J1394" s="11" t="n">
        <v>103.58</v>
      </c>
      <c r="K1394" s="11" t="n">
        <v>93.97</v>
      </c>
      <c r="L1394" s="11" t="n">
        <v>0.626</v>
      </c>
      <c r="M1394" s="11" t="n">
        <v>1.252</v>
      </c>
      <c r="N1394" s="11" t="n">
        <v>1</v>
      </c>
      <c r="O1394" s="11" t="n">
        <v>4.5</v>
      </c>
      <c r="P1394" s="11" t="n">
        <v>2.76</v>
      </c>
      <c r="Q1394" s="11" t="n">
        <v>20.7</v>
      </c>
      <c r="R1394" s="11" t="n">
        <f aca="false">SUM(K1394:Q1394)</f>
        <v>124.808</v>
      </c>
      <c r="S1394" s="11" t="n">
        <f aca="false">R1394/(1-Resumo!$C$6)</f>
        <v>141.827272727273</v>
      </c>
      <c r="T1394" s="11" t="n">
        <f aca="false">S1394-J1394</f>
        <v>38.2472727272727</v>
      </c>
      <c r="U1394" s="12" t="n">
        <f aca="false">IFERROR(S1394/J1394-1,0)</f>
        <v>0.369253453632678</v>
      </c>
      <c r="V1394" s="2" t="str">
        <f aca="false">IF(S1394&lt;J1394,"SIM","NÃO")</f>
        <v>NÃO</v>
      </c>
      <c r="W1394" s="2" t="n">
        <v>5</v>
      </c>
      <c r="X1394" s="2" t="s">
        <v>156</v>
      </c>
    </row>
    <row r="1395" customFormat="false" ht="15" hidden="false" customHeight="false" outlineLevel="0" collapsed="false">
      <c r="A1395" s="2" t="n">
        <v>382189603</v>
      </c>
      <c r="B1395" s="29" t="n">
        <v>46258.7424305556</v>
      </c>
      <c r="C1395" s="2" t="s">
        <v>198</v>
      </c>
      <c r="D1395" s="2" t="s">
        <v>1500</v>
      </c>
      <c r="E1395" s="2" t="s">
        <v>78</v>
      </c>
      <c r="F1395" s="2" t="s">
        <v>107</v>
      </c>
      <c r="G1395" s="30" t="n">
        <v>40</v>
      </c>
      <c r="H1395" s="11" t="n">
        <v>599.99</v>
      </c>
      <c r="I1395" s="11" t="s">
        <v>155</v>
      </c>
      <c r="J1395" s="11" t="n">
        <v>92.73</v>
      </c>
      <c r="K1395" s="11" t="n">
        <v>93.97</v>
      </c>
      <c r="L1395" s="11" t="n">
        <v>0.6</v>
      </c>
      <c r="M1395" s="11" t="n">
        <v>1.2</v>
      </c>
      <c r="N1395" s="11" t="n">
        <v>1</v>
      </c>
      <c r="O1395" s="11" t="n">
        <v>4.5</v>
      </c>
      <c r="P1395" s="11" t="n">
        <v>2.4</v>
      </c>
      <c r="Q1395" s="11" t="n">
        <v>18</v>
      </c>
      <c r="R1395" s="11" t="n">
        <f aca="false">SUM(K1395:Q1395)</f>
        <v>121.67</v>
      </c>
      <c r="S1395" s="11" t="n">
        <f aca="false">R1395/(1-Resumo!$C$6)</f>
        <v>138.261363636364</v>
      </c>
      <c r="T1395" s="11" t="n">
        <f aca="false">S1395-J1395</f>
        <v>45.5313636363636</v>
      </c>
      <c r="U1395" s="12" t="n">
        <f aca="false">IFERROR(S1395/J1395-1,0)</f>
        <v>0.491010068331323</v>
      </c>
      <c r="V1395" s="2" t="str">
        <f aca="false">IF(S1395&lt;J1395,"SIM","NÃO")</f>
        <v>NÃO</v>
      </c>
      <c r="W1395" s="2" t="n">
        <v>5</v>
      </c>
      <c r="X1395" s="2" t="s">
        <v>156</v>
      </c>
    </row>
    <row r="1396" customFormat="false" ht="15" hidden="false" customHeight="false" outlineLevel="0" collapsed="false">
      <c r="A1396" s="2" t="n">
        <v>382209211</v>
      </c>
      <c r="B1396" s="29" t="n">
        <v>46258.7730671296</v>
      </c>
      <c r="C1396" s="2" t="s">
        <v>153</v>
      </c>
      <c r="D1396" s="2" t="s">
        <v>1501</v>
      </c>
      <c r="E1396" s="2" t="s">
        <v>80</v>
      </c>
      <c r="F1396" s="2" t="s">
        <v>109</v>
      </c>
      <c r="G1396" s="30" t="n">
        <v>52.3</v>
      </c>
      <c r="H1396" s="11" t="n">
        <v>616.99</v>
      </c>
      <c r="I1396" s="11" t="s">
        <v>155</v>
      </c>
      <c r="J1396" s="11" t="n">
        <v>128.23</v>
      </c>
      <c r="K1396" s="11" t="n">
        <v>112.3</v>
      </c>
      <c r="L1396" s="11" t="n">
        <v>0.617</v>
      </c>
      <c r="M1396" s="11" t="n">
        <v>1.234</v>
      </c>
      <c r="N1396" s="11" t="n">
        <v>1</v>
      </c>
      <c r="O1396" s="11" t="n">
        <v>4.5</v>
      </c>
      <c r="P1396" s="11" t="n">
        <v>3.18</v>
      </c>
      <c r="Q1396" s="11" t="n">
        <v>23.85</v>
      </c>
      <c r="R1396" s="11" t="n">
        <f aca="false">SUM(K1396:Q1396)</f>
        <v>146.681</v>
      </c>
      <c r="S1396" s="11" t="n">
        <f aca="false">R1396/(1-Resumo!$C$6)</f>
        <v>166.682954545455</v>
      </c>
      <c r="T1396" s="11" t="n">
        <f aca="false">S1396-J1396</f>
        <v>38.4529545454546</v>
      </c>
      <c r="U1396" s="12" t="n">
        <f aca="false">IFERROR(S1396/J1396-1,0)</f>
        <v>0.299874869729818</v>
      </c>
      <c r="V1396" s="2" t="str">
        <f aca="false">IF(S1396&lt;J1396,"SIM","NÃO")</f>
        <v>NÃO</v>
      </c>
      <c r="W1396" s="2" t="n">
        <v>5</v>
      </c>
      <c r="X1396" s="2" t="s">
        <v>156</v>
      </c>
    </row>
    <row r="1397" customFormat="false" ht="15" hidden="false" customHeight="false" outlineLevel="0" collapsed="false">
      <c r="A1397" s="2" t="n">
        <v>382243284</v>
      </c>
      <c r="B1397" s="29" t="n">
        <v>46258.8181597222</v>
      </c>
      <c r="C1397" s="2" t="s">
        <v>158</v>
      </c>
      <c r="D1397" s="2" t="s">
        <v>1502</v>
      </c>
      <c r="E1397" s="2" t="s">
        <v>94</v>
      </c>
      <c r="F1397" s="2" t="s">
        <v>109</v>
      </c>
      <c r="G1397" s="30" t="n">
        <v>51.06</v>
      </c>
      <c r="H1397" s="11" t="n">
        <v>640.1</v>
      </c>
      <c r="I1397" s="11" t="s">
        <v>155</v>
      </c>
      <c r="J1397" s="11" t="n">
        <v>128.35</v>
      </c>
      <c r="K1397" s="11" t="n">
        <v>112.3</v>
      </c>
      <c r="L1397" s="11" t="n">
        <v>0.6401</v>
      </c>
      <c r="M1397" s="11" t="n">
        <v>1.2802</v>
      </c>
      <c r="N1397" s="11" t="n">
        <v>1</v>
      </c>
      <c r="O1397" s="11" t="n">
        <v>4.5</v>
      </c>
      <c r="P1397" s="11" t="n">
        <v>3.12</v>
      </c>
      <c r="Q1397" s="11" t="n">
        <v>23.4</v>
      </c>
      <c r="R1397" s="11" t="n">
        <f aca="false">SUM(K1397:Q1397)</f>
        <v>146.2403</v>
      </c>
      <c r="S1397" s="11" t="n">
        <f aca="false">R1397/(1-Resumo!$C$6)</f>
        <v>166.182159090909</v>
      </c>
      <c r="T1397" s="11" t="n">
        <f aca="false">S1397-J1397</f>
        <v>37.8321590909091</v>
      </c>
      <c r="U1397" s="12" t="n">
        <f aca="false">IFERROR(S1397/J1397-1,0)</f>
        <v>0.294757764635053</v>
      </c>
      <c r="V1397" s="2" t="str">
        <f aca="false">IF(S1397&lt;J1397,"SIM","NÃO")</f>
        <v>NÃO</v>
      </c>
      <c r="W1397" s="2" t="n">
        <v>5</v>
      </c>
      <c r="X1397" s="2" t="s">
        <v>156</v>
      </c>
    </row>
    <row r="1398" customFormat="false" ht="15" hidden="false" customHeight="false" outlineLevel="0" collapsed="false">
      <c r="A1398" s="2" t="n">
        <v>382303255</v>
      </c>
      <c r="B1398" s="29" t="n">
        <v>46258.8869907407</v>
      </c>
      <c r="C1398" s="2" t="s">
        <v>158</v>
      </c>
      <c r="D1398" s="2" t="s">
        <v>1503</v>
      </c>
      <c r="E1398" s="2" t="s">
        <v>78</v>
      </c>
      <c r="F1398" s="2" t="s">
        <v>110</v>
      </c>
      <c r="G1398" s="30" t="n">
        <v>64.6</v>
      </c>
      <c r="H1398" s="11" t="n">
        <v>1169.99</v>
      </c>
      <c r="I1398" s="11" t="s">
        <v>155</v>
      </c>
      <c r="J1398" s="11" t="n">
        <v>126.82</v>
      </c>
      <c r="K1398" s="11" t="n">
        <v>131.02</v>
      </c>
      <c r="L1398" s="11" t="n">
        <v>1.17</v>
      </c>
      <c r="M1398" s="11" t="n">
        <v>2.34</v>
      </c>
      <c r="N1398" s="11" t="n">
        <v>1</v>
      </c>
      <c r="O1398" s="11" t="n">
        <v>4.5</v>
      </c>
      <c r="P1398" s="11" t="n">
        <v>3.9</v>
      </c>
      <c r="Q1398" s="11" t="n">
        <v>29.25</v>
      </c>
      <c r="R1398" s="11" t="n">
        <f aca="false">SUM(K1398:Q1398)</f>
        <v>173.18</v>
      </c>
      <c r="S1398" s="11" t="n">
        <f aca="false">R1398/(1-Resumo!$C$6)</f>
        <v>196.795454545455</v>
      </c>
      <c r="T1398" s="11" t="n">
        <f aca="false">S1398-J1398</f>
        <v>69.9754545454546</v>
      </c>
      <c r="U1398" s="12" t="n">
        <f aca="false">IFERROR(S1398/J1398-1,0)</f>
        <v>0.55176986709868</v>
      </c>
      <c r="V1398" s="2" t="str">
        <f aca="false">IF(S1398&lt;J1398,"SIM","NÃO")</f>
        <v>NÃO</v>
      </c>
      <c r="W1398" s="2" t="n">
        <v>5</v>
      </c>
      <c r="X1398" s="2" t="s">
        <v>156</v>
      </c>
    </row>
    <row r="1399" customFormat="false" ht="15" hidden="false" customHeight="false" outlineLevel="0" collapsed="false">
      <c r="A1399" s="2" t="n">
        <v>382324984</v>
      </c>
      <c r="B1399" s="29" t="n">
        <v>46258.9375462963</v>
      </c>
      <c r="C1399" s="2" t="s">
        <v>153</v>
      </c>
      <c r="D1399" s="2" t="s">
        <v>1504</v>
      </c>
      <c r="E1399" s="2" t="s">
        <v>92</v>
      </c>
      <c r="F1399" s="2" t="s">
        <v>107</v>
      </c>
      <c r="G1399" s="30" t="n">
        <v>40</v>
      </c>
      <c r="H1399" s="11" t="n">
        <v>579.99</v>
      </c>
      <c r="I1399" s="11" t="s">
        <v>155</v>
      </c>
      <c r="J1399" s="11" t="n">
        <v>123.02</v>
      </c>
      <c r="K1399" s="11" t="n">
        <v>124.38</v>
      </c>
      <c r="L1399" s="11" t="n">
        <v>0.58</v>
      </c>
      <c r="M1399" s="11" t="n">
        <v>1.16</v>
      </c>
      <c r="N1399" s="11" t="n">
        <v>1</v>
      </c>
      <c r="O1399" s="11" t="n">
        <v>4.5</v>
      </c>
      <c r="P1399" s="11" t="n">
        <v>2.4</v>
      </c>
      <c r="Q1399" s="11" t="n">
        <v>18</v>
      </c>
      <c r="R1399" s="11" t="n">
        <f aca="false">SUM(K1399:Q1399)</f>
        <v>152.02</v>
      </c>
      <c r="S1399" s="11" t="n">
        <f aca="false">R1399/(1-Resumo!$C$6)</f>
        <v>172.75</v>
      </c>
      <c r="T1399" s="11" t="n">
        <f aca="false">S1399-J1399</f>
        <v>49.73</v>
      </c>
      <c r="U1399" s="12" t="n">
        <f aca="false">IFERROR(S1399/J1399-1,0)</f>
        <v>0.404243212485774</v>
      </c>
      <c r="V1399" s="2" t="str">
        <f aca="false">IF(S1399&lt;J1399,"SIM","NÃO")</f>
        <v>NÃO</v>
      </c>
      <c r="W1399" s="2" t="n">
        <v>10</v>
      </c>
      <c r="X1399" s="2" t="s">
        <v>156</v>
      </c>
    </row>
    <row r="1400" customFormat="false" ht="15" hidden="false" customHeight="false" outlineLevel="0" collapsed="false">
      <c r="A1400" s="2" t="n">
        <v>382333235</v>
      </c>
      <c r="B1400" s="29" t="n">
        <v>46258.9604976852</v>
      </c>
      <c r="C1400" s="2" t="s">
        <v>153</v>
      </c>
      <c r="D1400" s="2" t="s">
        <v>1505</v>
      </c>
      <c r="E1400" s="2" t="s">
        <v>92</v>
      </c>
      <c r="F1400" s="2" t="s">
        <v>106</v>
      </c>
      <c r="G1400" s="30" t="n">
        <v>27.4</v>
      </c>
      <c r="H1400" s="11" t="n">
        <v>369.99</v>
      </c>
      <c r="I1400" s="11" t="s">
        <v>155</v>
      </c>
      <c r="J1400" s="11" t="n">
        <v>108.95</v>
      </c>
      <c r="K1400" s="11" t="n">
        <v>114.95</v>
      </c>
      <c r="L1400" s="11" t="n">
        <v>0.37</v>
      </c>
      <c r="M1400" s="11" t="n">
        <v>0.74</v>
      </c>
      <c r="N1400" s="11" t="n">
        <v>1</v>
      </c>
      <c r="O1400" s="11" t="n">
        <v>4.5</v>
      </c>
      <c r="P1400" s="11" t="n">
        <v>1.68</v>
      </c>
      <c r="Q1400" s="11" t="n">
        <v>12.6</v>
      </c>
      <c r="R1400" s="11" t="n">
        <f aca="false">SUM(K1400:Q1400)</f>
        <v>135.84</v>
      </c>
      <c r="S1400" s="11" t="n">
        <f aca="false">R1400/(1-Resumo!$C$6)</f>
        <v>154.363636363636</v>
      </c>
      <c r="T1400" s="11" t="n">
        <f aca="false">S1400-J1400</f>
        <v>45.4136363636364</v>
      </c>
      <c r="U1400" s="12" t="n">
        <f aca="false">IFERROR(S1400/J1400-1,0)</f>
        <v>0.416830072176561</v>
      </c>
      <c r="V1400" s="2" t="str">
        <f aca="false">IF(S1400&lt;J1400,"SIM","NÃO")</f>
        <v>NÃO</v>
      </c>
      <c r="W1400" s="2" t="n">
        <v>10</v>
      </c>
      <c r="X1400" s="2" t="s">
        <v>156</v>
      </c>
    </row>
    <row r="1401" customFormat="false" ht="15" hidden="false" customHeight="false" outlineLevel="0" collapsed="false">
      <c r="A1401" s="2" t="n">
        <v>382607232</v>
      </c>
      <c r="B1401" s="29" t="n">
        <v>46259.4163425926</v>
      </c>
      <c r="C1401" s="2" t="s">
        <v>153</v>
      </c>
      <c r="D1401" s="2" t="s">
        <v>1506</v>
      </c>
      <c r="E1401" s="2" t="s">
        <v>78</v>
      </c>
      <c r="F1401" s="2" t="s">
        <v>108</v>
      </c>
      <c r="G1401" s="30" t="n">
        <v>45.3</v>
      </c>
      <c r="H1401" s="11" t="n">
        <v>630.04</v>
      </c>
      <c r="I1401" s="11" t="s">
        <v>155</v>
      </c>
      <c r="J1401" s="11" t="n">
        <v>103.6</v>
      </c>
      <c r="K1401" s="11" t="n">
        <v>93.97</v>
      </c>
      <c r="L1401" s="11" t="n">
        <v>0.63</v>
      </c>
      <c r="M1401" s="11" t="n">
        <v>1.2601</v>
      </c>
      <c r="N1401" s="11" t="n">
        <v>1</v>
      </c>
      <c r="O1401" s="11" t="n">
        <v>4.5</v>
      </c>
      <c r="P1401" s="11" t="n">
        <v>2.76</v>
      </c>
      <c r="Q1401" s="11" t="n">
        <v>20.7</v>
      </c>
      <c r="R1401" s="11" t="n">
        <f aca="false">SUM(K1401:Q1401)</f>
        <v>124.8201</v>
      </c>
      <c r="S1401" s="11" t="n">
        <f aca="false">R1401/(1-Resumo!$C$6)</f>
        <v>141.841022727273</v>
      </c>
      <c r="T1401" s="11" t="n">
        <f aca="false">S1401-J1401</f>
        <v>38.2410227272727</v>
      </c>
      <c r="U1401" s="12" t="n">
        <f aca="false">IFERROR(S1401/J1401-1,0)</f>
        <v>0.369121840996841</v>
      </c>
      <c r="V1401" s="2" t="str">
        <f aca="false">IF(S1401&lt;J1401,"SIM","NÃO")</f>
        <v>NÃO</v>
      </c>
      <c r="W1401" s="2" t="n">
        <v>5</v>
      </c>
      <c r="X1401" s="2" t="s">
        <v>156</v>
      </c>
    </row>
    <row r="1402" customFormat="false" ht="15" hidden="false" customHeight="false" outlineLevel="0" collapsed="false">
      <c r="A1402" s="2" t="n">
        <v>382624721</v>
      </c>
      <c r="B1402" s="29" t="n">
        <v>46259.4397916667</v>
      </c>
      <c r="C1402" s="2" t="s">
        <v>153</v>
      </c>
      <c r="D1402" s="2" t="s">
        <v>773</v>
      </c>
      <c r="E1402" s="2" t="s">
        <v>774</v>
      </c>
      <c r="F1402" s="2" t="s">
        <v>107</v>
      </c>
      <c r="G1402" s="30" t="n">
        <v>40</v>
      </c>
      <c r="H1402" s="11" t="n">
        <v>569.99</v>
      </c>
      <c r="I1402" s="11" t="s">
        <v>155</v>
      </c>
      <c r="J1402" s="11" t="n">
        <v>122.98</v>
      </c>
      <c r="K1402" s="11" t="n">
        <v>125.63</v>
      </c>
      <c r="L1402" s="11" t="n">
        <v>0.57</v>
      </c>
      <c r="M1402" s="11" t="n">
        <v>1.14</v>
      </c>
      <c r="N1402" s="11" t="n">
        <v>1</v>
      </c>
      <c r="O1402" s="11" t="n">
        <v>4.5</v>
      </c>
      <c r="P1402" s="11" t="n">
        <v>2.4</v>
      </c>
      <c r="Q1402" s="11" t="n">
        <v>18</v>
      </c>
      <c r="R1402" s="11" t="n">
        <f aca="false">SUM(K1402:Q1402)</f>
        <v>153.24</v>
      </c>
      <c r="S1402" s="11" t="n">
        <f aca="false">R1402/(1-Resumo!$C$6)</f>
        <v>174.136363636364</v>
      </c>
      <c r="T1402" s="11" t="n">
        <f aca="false">S1402-J1402</f>
        <v>51.1563636363637</v>
      </c>
      <c r="U1402" s="12" t="n">
        <f aca="false">IFERROR(S1402/J1402-1,0)</f>
        <v>0.415973033309186</v>
      </c>
      <c r="V1402" s="2" t="str">
        <f aca="false">IF(S1402&lt;J1402,"SIM","NÃO")</f>
        <v>NÃO</v>
      </c>
      <c r="W1402" s="2" t="n">
        <v>10</v>
      </c>
      <c r="X1402" s="2" t="s">
        <v>161</v>
      </c>
    </row>
    <row r="1403" customFormat="false" ht="15" hidden="false" customHeight="false" outlineLevel="0" collapsed="false">
      <c r="A1403" s="2" t="n">
        <v>382733594</v>
      </c>
      <c r="B1403" s="29" t="n">
        <v>46259.5651851852</v>
      </c>
      <c r="C1403" s="2" t="s">
        <v>158</v>
      </c>
      <c r="D1403" s="2" t="s">
        <v>1507</v>
      </c>
      <c r="E1403" s="2" t="s">
        <v>94</v>
      </c>
      <c r="F1403" s="2" t="s">
        <v>113</v>
      </c>
      <c r="G1403" s="30" t="n">
        <v>106.5</v>
      </c>
      <c r="H1403" s="11" t="n">
        <v>1099.99</v>
      </c>
      <c r="I1403" s="11" t="s">
        <v>155</v>
      </c>
      <c r="J1403" s="11" t="n">
        <v>195.1</v>
      </c>
      <c r="K1403" s="11" t="n">
        <v>201.59</v>
      </c>
      <c r="L1403" s="11" t="n">
        <v>1.1</v>
      </c>
      <c r="M1403" s="11" t="n">
        <v>2.2</v>
      </c>
      <c r="N1403" s="11" t="n">
        <v>1</v>
      </c>
      <c r="O1403" s="11" t="n">
        <v>9</v>
      </c>
      <c r="P1403" s="11" t="n">
        <v>6.42</v>
      </c>
      <c r="Q1403" s="11" t="n">
        <v>48.15</v>
      </c>
      <c r="R1403" s="11" t="n">
        <f aca="false">SUM(K1403:Q1403)</f>
        <v>269.46</v>
      </c>
      <c r="S1403" s="11" t="n">
        <f aca="false">R1403/(1-Resumo!$C$6)</f>
        <v>306.204545454545</v>
      </c>
      <c r="T1403" s="11" t="n">
        <f aca="false">S1403-J1403</f>
        <v>111.104545454545</v>
      </c>
      <c r="U1403" s="12" t="n">
        <f aca="false">IFERROR(S1403/J1403-1,0)</f>
        <v>0.56947486137645</v>
      </c>
      <c r="V1403" s="2" t="str">
        <f aca="false">IF(S1403&lt;J1403,"SIM","NÃO")</f>
        <v>NÃO</v>
      </c>
      <c r="W1403" s="2" t="n">
        <v>5</v>
      </c>
      <c r="X1403" s="2" t="s">
        <v>156</v>
      </c>
    </row>
    <row r="1404" customFormat="false" ht="15" hidden="false" customHeight="false" outlineLevel="0" collapsed="false">
      <c r="A1404" s="2" t="n">
        <v>382804280</v>
      </c>
      <c r="B1404" s="29" t="n">
        <v>46259.6659027778</v>
      </c>
      <c r="C1404" s="2" t="s">
        <v>153</v>
      </c>
      <c r="D1404" s="2" t="s">
        <v>1508</v>
      </c>
      <c r="E1404" s="2" t="s">
        <v>78</v>
      </c>
      <c r="F1404" s="2" t="s">
        <v>108</v>
      </c>
      <c r="G1404" s="30" t="n">
        <v>48.3</v>
      </c>
      <c r="H1404" s="11" t="n">
        <v>459.99</v>
      </c>
      <c r="I1404" s="11" t="s">
        <v>155</v>
      </c>
      <c r="J1404" s="11" t="n">
        <v>102.8</v>
      </c>
      <c r="K1404" s="11" t="n">
        <v>93.97</v>
      </c>
      <c r="L1404" s="11" t="n">
        <v>0.46</v>
      </c>
      <c r="M1404" s="11" t="n">
        <v>0.92</v>
      </c>
      <c r="N1404" s="11" t="n">
        <v>1</v>
      </c>
      <c r="O1404" s="11" t="n">
        <v>4.5</v>
      </c>
      <c r="P1404" s="11" t="n">
        <v>2.94</v>
      </c>
      <c r="Q1404" s="11" t="n">
        <v>22.05</v>
      </c>
      <c r="R1404" s="11" t="n">
        <f aca="false">SUM(K1404:Q1404)</f>
        <v>125.84</v>
      </c>
      <c r="S1404" s="11" t="n">
        <f aca="false">R1404/(1-Resumo!$C$6)</f>
        <v>143</v>
      </c>
      <c r="T1404" s="11" t="n">
        <f aca="false">S1404-J1404</f>
        <v>40.2</v>
      </c>
      <c r="U1404" s="12" t="n">
        <f aca="false">IFERROR(S1404/J1404-1,0)</f>
        <v>0.391050583657588</v>
      </c>
      <c r="V1404" s="2" t="str">
        <f aca="false">IF(S1404&lt;J1404,"SIM","NÃO")</f>
        <v>NÃO</v>
      </c>
      <c r="W1404" s="2" t="n">
        <v>5</v>
      </c>
      <c r="X1404" s="2" t="s">
        <v>156</v>
      </c>
    </row>
    <row r="1405" customFormat="false" ht="15" hidden="false" customHeight="false" outlineLevel="0" collapsed="false">
      <c r="A1405" s="2" t="n">
        <v>382342840</v>
      </c>
      <c r="B1405" s="29" t="n">
        <v>46259.672962963</v>
      </c>
      <c r="C1405" s="2" t="s">
        <v>194</v>
      </c>
      <c r="D1405" s="2" t="s">
        <v>159</v>
      </c>
      <c r="E1405" s="2" t="s">
        <v>160</v>
      </c>
      <c r="F1405" s="2" t="s">
        <v>107</v>
      </c>
      <c r="G1405" s="30" t="n">
        <v>37.2</v>
      </c>
      <c r="H1405" s="11" t="n">
        <v>439.99</v>
      </c>
      <c r="I1405" s="11" t="s">
        <v>155</v>
      </c>
      <c r="J1405" s="11" t="n">
        <v>113.07</v>
      </c>
      <c r="K1405" s="11" t="n">
        <v>93.97</v>
      </c>
      <c r="L1405" s="11" t="n">
        <v>0.44</v>
      </c>
      <c r="M1405" s="11" t="n">
        <v>0.88</v>
      </c>
      <c r="N1405" s="11" t="n">
        <v>1</v>
      </c>
      <c r="O1405" s="11" t="n">
        <v>4.5</v>
      </c>
      <c r="P1405" s="11" t="n">
        <v>2.28</v>
      </c>
      <c r="Q1405" s="11" t="n">
        <v>17.1</v>
      </c>
      <c r="R1405" s="11" t="n">
        <f aca="false">SUM(K1405:Q1405)</f>
        <v>120.17</v>
      </c>
      <c r="S1405" s="11" t="n">
        <f aca="false">R1405/(1-Resumo!$C$6)</f>
        <v>136.556818181818</v>
      </c>
      <c r="T1405" s="11" t="n">
        <f aca="false">S1405-J1405</f>
        <v>23.4868181818182</v>
      </c>
      <c r="U1405" s="12" t="n">
        <f aca="false">IFERROR(S1405/J1405-1,0)</f>
        <v>0.207719272855914</v>
      </c>
      <c r="V1405" s="2" t="str">
        <f aca="false">IF(S1405&lt;J1405,"SIM","NÃO")</f>
        <v>NÃO</v>
      </c>
      <c r="W1405" s="2" t="n">
        <v>5</v>
      </c>
      <c r="X1405" s="2" t="s">
        <v>161</v>
      </c>
    </row>
    <row r="1406" customFormat="false" ht="15" hidden="false" customHeight="false" outlineLevel="0" collapsed="false">
      <c r="A1406" s="2" t="n">
        <v>382810318</v>
      </c>
      <c r="B1406" s="29" t="n">
        <v>46259.6915509259</v>
      </c>
      <c r="C1406" s="2" t="s">
        <v>178</v>
      </c>
      <c r="D1406" s="2" t="s">
        <v>867</v>
      </c>
      <c r="E1406" s="2" t="s">
        <v>83</v>
      </c>
      <c r="F1406" s="2" t="s">
        <v>106</v>
      </c>
      <c r="G1406" s="30" t="n">
        <v>31.9</v>
      </c>
      <c r="H1406" s="11" t="n">
        <v>739.99</v>
      </c>
      <c r="I1406" s="11" t="s">
        <v>155</v>
      </c>
      <c r="J1406" s="11" t="n">
        <v>110.73</v>
      </c>
      <c r="K1406" s="11" t="n">
        <v>138.29</v>
      </c>
      <c r="L1406" s="11" t="n">
        <v>0.74</v>
      </c>
      <c r="M1406" s="11" t="n">
        <v>1.48</v>
      </c>
      <c r="N1406" s="11" t="n">
        <v>1</v>
      </c>
      <c r="O1406" s="11" t="n">
        <v>4.5</v>
      </c>
      <c r="P1406" s="11" t="n">
        <v>1.92</v>
      </c>
      <c r="Q1406" s="11" t="n">
        <v>14.4</v>
      </c>
      <c r="R1406" s="11" t="n">
        <f aca="false">SUM(K1406:Q1406)</f>
        <v>162.33</v>
      </c>
      <c r="S1406" s="11" t="n">
        <f aca="false">R1406/(1-Resumo!$C$6)</f>
        <v>184.465909090909</v>
      </c>
      <c r="T1406" s="11" t="n">
        <f aca="false">S1406-J1406</f>
        <v>73.7359090909091</v>
      </c>
      <c r="U1406" s="12" t="n">
        <f aca="false">IFERROR(S1406/J1406-1,0)</f>
        <v>0.665907243663949</v>
      </c>
      <c r="V1406" s="2" t="str">
        <f aca="false">IF(S1406&lt;J1406,"SIM","NÃO")</f>
        <v>NÃO</v>
      </c>
      <c r="W1406" s="2" t="n">
        <v>11</v>
      </c>
      <c r="X1406" s="2" t="s">
        <v>156</v>
      </c>
    </row>
    <row r="1407" customFormat="false" ht="15" hidden="false" customHeight="false" outlineLevel="0" collapsed="false">
      <c r="A1407" s="2" t="n">
        <v>382957836</v>
      </c>
      <c r="B1407" s="29" t="n">
        <v>46259.7281018519</v>
      </c>
      <c r="C1407" s="2" t="s">
        <v>158</v>
      </c>
      <c r="D1407" s="2" t="s">
        <v>1509</v>
      </c>
      <c r="E1407" s="2" t="s">
        <v>78</v>
      </c>
      <c r="F1407" s="2" t="s">
        <v>113</v>
      </c>
      <c r="G1407" s="30" t="n">
        <v>106.5</v>
      </c>
      <c r="H1407" s="11" t="n">
        <v>960</v>
      </c>
      <c r="I1407" s="11" t="s">
        <v>155</v>
      </c>
      <c r="J1407" s="11" t="n">
        <v>184.24</v>
      </c>
      <c r="K1407" s="11" t="n">
        <v>201.59</v>
      </c>
      <c r="L1407" s="11" t="n">
        <v>0.96</v>
      </c>
      <c r="M1407" s="11" t="n">
        <v>1.92</v>
      </c>
      <c r="N1407" s="11" t="n">
        <v>1</v>
      </c>
      <c r="O1407" s="11" t="n">
        <v>9</v>
      </c>
      <c r="P1407" s="11" t="n">
        <v>6.42</v>
      </c>
      <c r="Q1407" s="11" t="n">
        <v>48.15</v>
      </c>
      <c r="R1407" s="11" t="n">
        <f aca="false">SUM(K1407:Q1407)</f>
        <v>269.04</v>
      </c>
      <c r="S1407" s="11" t="n">
        <f aca="false">R1407/(1-Resumo!$C$6)</f>
        <v>305.727272727273</v>
      </c>
      <c r="T1407" s="11" t="n">
        <f aca="false">S1407-J1407</f>
        <v>121.487272727273</v>
      </c>
      <c r="U1407" s="12" t="n">
        <f aca="false">IFERROR(S1407/J1407-1,0)</f>
        <v>0.659396834168871</v>
      </c>
      <c r="V1407" s="2" t="str">
        <f aca="false">IF(S1407&lt;J1407,"SIM","NÃO")</f>
        <v>NÃO</v>
      </c>
      <c r="W1407" s="2" t="n">
        <v>5</v>
      </c>
      <c r="X1407" s="2" t="s">
        <v>156</v>
      </c>
    </row>
    <row r="1408" customFormat="false" ht="15" hidden="false" customHeight="false" outlineLevel="0" collapsed="false">
      <c r="A1408" s="2" t="n">
        <v>382891300</v>
      </c>
      <c r="B1408" s="29" t="n">
        <v>46259.7754166667</v>
      </c>
      <c r="C1408" s="2" t="s">
        <v>153</v>
      </c>
      <c r="D1408" s="2" t="s">
        <v>1510</v>
      </c>
      <c r="E1408" s="2" t="s">
        <v>78</v>
      </c>
      <c r="F1408" s="2" t="s">
        <v>106</v>
      </c>
      <c r="G1408" s="30" t="n">
        <v>23</v>
      </c>
      <c r="H1408" s="11" t="n">
        <v>349.99</v>
      </c>
      <c r="I1408" s="11" t="s">
        <v>155</v>
      </c>
      <c r="J1408" s="11" t="n">
        <v>82</v>
      </c>
      <c r="K1408" s="11" t="n">
        <v>82.21</v>
      </c>
      <c r="L1408" s="11" t="n">
        <v>0.35</v>
      </c>
      <c r="M1408" s="11" t="n">
        <v>0.7</v>
      </c>
      <c r="N1408" s="11" t="n">
        <v>1</v>
      </c>
      <c r="O1408" s="11" t="n">
        <v>4.5</v>
      </c>
      <c r="P1408" s="11" t="n">
        <v>1.38</v>
      </c>
      <c r="Q1408" s="11" t="n">
        <v>10.35</v>
      </c>
      <c r="R1408" s="11" t="n">
        <f aca="false">SUM(K1408:Q1408)</f>
        <v>100.49</v>
      </c>
      <c r="S1408" s="11" t="n">
        <f aca="false">R1408/(1-Resumo!$C$6)</f>
        <v>114.193181818182</v>
      </c>
      <c r="T1408" s="11" t="n">
        <f aca="false">S1408-J1408</f>
        <v>32.1931818181818</v>
      </c>
      <c r="U1408" s="12" t="n">
        <f aca="false">IFERROR(S1408/J1408-1,0)</f>
        <v>0.39259977827051</v>
      </c>
      <c r="V1408" s="2" t="str">
        <f aca="false">IF(S1408&lt;J1408,"SIM","NÃO")</f>
        <v>NÃO</v>
      </c>
      <c r="W1408" s="2" t="n">
        <v>5</v>
      </c>
      <c r="X1408" s="2" t="s">
        <v>156</v>
      </c>
    </row>
    <row r="1409" customFormat="false" ht="15" hidden="false" customHeight="false" outlineLevel="0" collapsed="false">
      <c r="A1409" s="2" t="n">
        <v>383013255</v>
      </c>
      <c r="B1409" s="29" t="n">
        <v>46259.8908101852</v>
      </c>
      <c r="C1409" s="2" t="s">
        <v>369</v>
      </c>
      <c r="D1409" s="2" t="s">
        <v>1511</v>
      </c>
      <c r="E1409" s="2" t="s">
        <v>78</v>
      </c>
      <c r="F1409" s="2" t="s">
        <v>107</v>
      </c>
      <c r="G1409" s="30" t="n">
        <v>40</v>
      </c>
      <c r="H1409" s="11" t="n">
        <v>569.99</v>
      </c>
      <c r="I1409" s="11" t="s">
        <v>155</v>
      </c>
      <c r="J1409" s="11" t="n">
        <v>92.59</v>
      </c>
      <c r="K1409" s="11" t="n">
        <v>93.97</v>
      </c>
      <c r="L1409" s="11" t="n">
        <v>0.57</v>
      </c>
      <c r="M1409" s="11" t="n">
        <v>1.14</v>
      </c>
      <c r="N1409" s="11" t="n">
        <v>1</v>
      </c>
      <c r="O1409" s="11" t="n">
        <v>4.5</v>
      </c>
      <c r="P1409" s="11" t="n">
        <v>2.4</v>
      </c>
      <c r="Q1409" s="11" t="n">
        <v>18</v>
      </c>
      <c r="R1409" s="11" t="n">
        <f aca="false">SUM(K1409:Q1409)</f>
        <v>121.58</v>
      </c>
      <c r="S1409" s="11" t="n">
        <f aca="false">R1409/(1-Resumo!$C$6)</f>
        <v>138.159090909091</v>
      </c>
      <c r="T1409" s="11" t="n">
        <f aca="false">S1409-J1409</f>
        <v>45.5690909090909</v>
      </c>
      <c r="U1409" s="12" t="n">
        <f aca="false">IFERROR(S1409/J1409-1,0)</f>
        <v>0.492159962297126</v>
      </c>
      <c r="V1409" s="2" t="str">
        <f aca="false">IF(S1409&lt;J1409,"SIM","NÃO")</f>
        <v>NÃO</v>
      </c>
      <c r="W1409" s="2" t="n">
        <v>5</v>
      </c>
      <c r="X1409" s="2" t="s">
        <v>156</v>
      </c>
    </row>
    <row r="1410" customFormat="false" ht="15" hidden="false" customHeight="false" outlineLevel="0" collapsed="false">
      <c r="A1410" s="2" t="n">
        <v>383034031</v>
      </c>
      <c r="B1410" s="29" t="n">
        <v>46259.9170717593</v>
      </c>
      <c r="C1410" s="2" t="s">
        <v>369</v>
      </c>
      <c r="D1410" s="2" t="s">
        <v>221</v>
      </c>
      <c r="E1410" s="2" t="s">
        <v>78</v>
      </c>
      <c r="F1410" s="2" t="s">
        <v>106</v>
      </c>
      <c r="G1410" s="30" t="n">
        <v>27.4</v>
      </c>
      <c r="H1410" s="11" t="n">
        <v>323.99</v>
      </c>
      <c r="I1410" s="11" t="s">
        <v>155</v>
      </c>
      <c r="J1410" s="11" t="n">
        <v>81.89</v>
      </c>
      <c r="K1410" s="11" t="n">
        <v>82.21</v>
      </c>
      <c r="L1410" s="11" t="n">
        <v>0.324</v>
      </c>
      <c r="M1410" s="11" t="n">
        <v>0.648</v>
      </c>
      <c r="N1410" s="11" t="n">
        <v>1</v>
      </c>
      <c r="O1410" s="11" t="n">
        <v>4.5</v>
      </c>
      <c r="P1410" s="11" t="n">
        <v>1.68</v>
      </c>
      <c r="Q1410" s="11" t="n">
        <v>12.6</v>
      </c>
      <c r="R1410" s="11" t="n">
        <f aca="false">SUM(K1410:Q1410)</f>
        <v>102.962</v>
      </c>
      <c r="S1410" s="11" t="n">
        <f aca="false">R1410/(1-Resumo!$C$6)</f>
        <v>117.002272727273</v>
      </c>
      <c r="T1410" s="11" t="n">
        <f aca="false">S1410-J1410</f>
        <v>35.1122727272727</v>
      </c>
      <c r="U1410" s="12" t="n">
        <f aca="false">IFERROR(S1410/J1410-1,0)</f>
        <v>0.428773632034103</v>
      </c>
      <c r="V1410" s="2" t="str">
        <f aca="false">IF(S1410&lt;J1410,"SIM","NÃO")</f>
        <v>NÃO</v>
      </c>
      <c r="W1410" s="2" t="n">
        <v>5</v>
      </c>
      <c r="X1410" s="2" t="s">
        <v>156</v>
      </c>
    </row>
    <row r="1411" customFormat="false" ht="15" hidden="false" customHeight="false" outlineLevel="0" collapsed="false">
      <c r="A1411" s="2" t="n">
        <v>383043854</v>
      </c>
      <c r="B1411" s="29" t="n">
        <v>46259.9566087963</v>
      </c>
      <c r="C1411" s="2" t="s">
        <v>153</v>
      </c>
      <c r="D1411" s="2" t="s">
        <v>1512</v>
      </c>
      <c r="E1411" s="2" t="s">
        <v>83</v>
      </c>
      <c r="F1411" s="2" t="s">
        <v>109</v>
      </c>
      <c r="G1411" s="30" t="n">
        <v>52.3</v>
      </c>
      <c r="H1411" s="11" t="n">
        <v>699.99</v>
      </c>
      <c r="I1411" s="11" t="s">
        <v>155</v>
      </c>
      <c r="J1411" s="11" t="n">
        <v>143.02</v>
      </c>
      <c r="K1411" s="11" t="n">
        <v>162.04</v>
      </c>
      <c r="L1411" s="11" t="n">
        <v>0.7</v>
      </c>
      <c r="M1411" s="11" t="n">
        <v>1.4</v>
      </c>
      <c r="N1411" s="11" t="n">
        <v>1</v>
      </c>
      <c r="O1411" s="11" t="n">
        <v>4.5</v>
      </c>
      <c r="P1411" s="11" t="n">
        <v>3.18</v>
      </c>
      <c r="Q1411" s="11" t="n">
        <v>23.85</v>
      </c>
      <c r="R1411" s="11" t="n">
        <f aca="false">SUM(K1411:Q1411)</f>
        <v>196.67</v>
      </c>
      <c r="S1411" s="11" t="n">
        <f aca="false">R1411/(1-Resumo!$C$6)</f>
        <v>223.488636363636</v>
      </c>
      <c r="T1411" s="11" t="n">
        <f aca="false">S1411-J1411</f>
        <v>80.4686363636363</v>
      </c>
      <c r="U1411" s="12" t="n">
        <f aca="false">IFERROR(S1411/J1411-1,0)</f>
        <v>0.562639046032977</v>
      </c>
      <c r="V1411" s="2" t="str">
        <f aca="false">IF(S1411&lt;J1411,"SIM","NÃO")</f>
        <v>NÃO</v>
      </c>
      <c r="W1411" s="2" t="n">
        <v>11</v>
      </c>
      <c r="X1411" s="2" t="s">
        <v>156</v>
      </c>
    </row>
    <row r="1412" customFormat="false" ht="15" hidden="false" customHeight="false" outlineLevel="0" collapsed="false">
      <c r="A1412" s="2" t="n">
        <v>383077490</v>
      </c>
      <c r="B1412" s="29" t="n">
        <v>46260.0084837963</v>
      </c>
      <c r="C1412" s="2" t="s">
        <v>153</v>
      </c>
      <c r="D1412" s="2" t="s">
        <v>1513</v>
      </c>
      <c r="E1412" s="2" t="s">
        <v>813</v>
      </c>
      <c r="F1412" s="2" t="s">
        <v>106</v>
      </c>
      <c r="G1412" s="30" t="n">
        <v>33.4</v>
      </c>
      <c r="H1412" s="11" t="n">
        <v>439.99</v>
      </c>
      <c r="I1412" s="11" t="s">
        <v>155</v>
      </c>
      <c r="J1412" s="11" t="n">
        <v>109.28</v>
      </c>
      <c r="K1412" s="11" t="n">
        <v>114.95</v>
      </c>
      <c r="L1412" s="11" t="n">
        <v>0.44</v>
      </c>
      <c r="M1412" s="11" t="n">
        <v>0.88</v>
      </c>
      <c r="N1412" s="11" t="n">
        <v>1</v>
      </c>
      <c r="O1412" s="11" t="n">
        <v>4.5</v>
      </c>
      <c r="P1412" s="11" t="n">
        <v>2.04</v>
      </c>
      <c r="Q1412" s="11" t="n">
        <v>15.3</v>
      </c>
      <c r="R1412" s="11" t="n">
        <f aca="false">SUM(K1412:Q1412)</f>
        <v>139.11</v>
      </c>
      <c r="S1412" s="11" t="n">
        <f aca="false">R1412/(1-Resumo!$C$6)</f>
        <v>158.079545454545</v>
      </c>
      <c r="T1412" s="11" t="n">
        <f aca="false">S1412-J1412</f>
        <v>48.7995454545455</v>
      </c>
      <c r="U1412" s="12" t="n">
        <f aca="false">IFERROR(S1412/J1412-1,0)</f>
        <v>0.446555137761214</v>
      </c>
      <c r="V1412" s="2" t="str">
        <f aca="false">IF(S1412&lt;J1412,"SIM","NÃO")</f>
        <v>NÃO</v>
      </c>
      <c r="W1412" s="2" t="n">
        <v>10</v>
      </c>
      <c r="X1412" s="2" t="s">
        <v>161</v>
      </c>
    </row>
    <row r="1413" customFormat="false" ht="15" hidden="false" customHeight="false" outlineLevel="0" collapsed="false">
      <c r="A1413" s="2" t="n">
        <v>383315549</v>
      </c>
      <c r="B1413" s="29" t="n">
        <v>46260.3809027778</v>
      </c>
      <c r="C1413" s="2" t="s">
        <v>191</v>
      </c>
      <c r="D1413" s="2" t="s">
        <v>1514</v>
      </c>
      <c r="E1413" s="2" t="s">
        <v>78</v>
      </c>
      <c r="F1413" s="2" t="s">
        <v>108</v>
      </c>
      <c r="G1413" s="30" t="n">
        <v>44.5</v>
      </c>
      <c r="H1413" s="11" t="n">
        <v>769.99</v>
      </c>
      <c r="I1413" s="11" t="s">
        <v>155</v>
      </c>
      <c r="J1413" s="11" t="n">
        <v>104.27</v>
      </c>
      <c r="K1413" s="11" t="n">
        <v>93.97</v>
      </c>
      <c r="L1413" s="11" t="n">
        <v>0.77</v>
      </c>
      <c r="M1413" s="11" t="n">
        <v>1.54</v>
      </c>
      <c r="N1413" s="11" t="n">
        <v>1</v>
      </c>
      <c r="O1413" s="11" t="n">
        <v>4.5</v>
      </c>
      <c r="P1413" s="11" t="n">
        <v>2.7</v>
      </c>
      <c r="Q1413" s="11" t="n">
        <v>20.25</v>
      </c>
      <c r="R1413" s="11" t="n">
        <f aca="false">SUM(K1413:Q1413)</f>
        <v>124.73</v>
      </c>
      <c r="S1413" s="11" t="n">
        <f aca="false">R1413/(1-Resumo!$C$6)</f>
        <v>141.738636363636</v>
      </c>
      <c r="T1413" s="11" t="n">
        <f aca="false">S1413-J1413</f>
        <v>37.4686363636364</v>
      </c>
      <c r="U1413" s="12" t="n">
        <f aca="false">IFERROR(S1413/J1413-1,0)</f>
        <v>0.359342441389051</v>
      </c>
      <c r="V1413" s="2" t="str">
        <f aca="false">IF(S1413&lt;J1413,"SIM","NÃO")</f>
        <v>NÃO</v>
      </c>
      <c r="W1413" s="2" t="n">
        <v>5</v>
      </c>
      <c r="X1413" s="2" t="s">
        <v>156</v>
      </c>
    </row>
    <row r="1414" customFormat="false" ht="15" hidden="false" customHeight="false" outlineLevel="0" collapsed="false">
      <c r="A1414" s="2" t="n">
        <v>383406966</v>
      </c>
      <c r="B1414" s="29" t="n">
        <v>46260.4856134259</v>
      </c>
      <c r="C1414" s="2" t="s">
        <v>153</v>
      </c>
      <c r="D1414" s="2" t="s">
        <v>1515</v>
      </c>
      <c r="E1414" s="2" t="s">
        <v>78</v>
      </c>
      <c r="F1414" s="2" t="s">
        <v>109</v>
      </c>
      <c r="G1414" s="30" t="n">
        <v>54</v>
      </c>
      <c r="H1414" s="11" t="n">
        <v>956.51</v>
      </c>
      <c r="I1414" s="11" t="s">
        <v>155</v>
      </c>
      <c r="J1414" s="11" t="n">
        <v>115.73</v>
      </c>
      <c r="K1414" s="11" t="n">
        <v>112.3</v>
      </c>
      <c r="L1414" s="11" t="n">
        <v>0.9565</v>
      </c>
      <c r="M1414" s="11" t="n">
        <v>1.913</v>
      </c>
      <c r="N1414" s="11" t="n">
        <v>1</v>
      </c>
      <c r="O1414" s="11" t="n">
        <v>4.5</v>
      </c>
      <c r="P1414" s="11" t="n">
        <v>3.24</v>
      </c>
      <c r="Q1414" s="11" t="n">
        <v>24.3</v>
      </c>
      <c r="R1414" s="11" t="n">
        <f aca="false">SUM(K1414:Q1414)</f>
        <v>148.2095</v>
      </c>
      <c r="S1414" s="11" t="n">
        <f aca="false">R1414/(1-Resumo!$C$6)</f>
        <v>168.419886363636</v>
      </c>
      <c r="T1414" s="11" t="n">
        <f aca="false">S1414-J1414</f>
        <v>52.6898863636364</v>
      </c>
      <c r="U1414" s="12" t="n">
        <f aca="false">IFERROR(S1414/J1414-1,0)</f>
        <v>0.455282868432009</v>
      </c>
      <c r="V1414" s="2" t="str">
        <f aca="false">IF(S1414&lt;J1414,"SIM","NÃO")</f>
        <v>NÃO</v>
      </c>
      <c r="W1414" s="2" t="n">
        <v>5</v>
      </c>
      <c r="X1414" s="2" t="s">
        <v>156</v>
      </c>
    </row>
    <row r="1415" customFormat="false" ht="15" hidden="false" customHeight="false" outlineLevel="0" collapsed="false">
      <c r="A1415" s="2" t="n">
        <v>383526672</v>
      </c>
      <c r="B1415" s="29" t="n">
        <v>46260.569537037</v>
      </c>
      <c r="C1415" s="2" t="s">
        <v>153</v>
      </c>
      <c r="D1415" s="2" t="s">
        <v>1516</v>
      </c>
      <c r="E1415" s="2" t="s">
        <v>83</v>
      </c>
      <c r="F1415" s="2" t="s">
        <v>108</v>
      </c>
      <c r="G1415" s="30" t="n">
        <v>41</v>
      </c>
      <c r="H1415" s="11" t="n">
        <v>487.99</v>
      </c>
      <c r="I1415" s="11" t="s">
        <v>155</v>
      </c>
      <c r="J1415" s="11" t="n">
        <v>130.51</v>
      </c>
      <c r="K1415" s="11" t="n">
        <v>152.54</v>
      </c>
      <c r="L1415" s="11" t="n">
        <v>0.488</v>
      </c>
      <c r="M1415" s="11" t="n">
        <v>0.976</v>
      </c>
      <c r="N1415" s="11" t="n">
        <v>1</v>
      </c>
      <c r="O1415" s="11" t="n">
        <v>4.5</v>
      </c>
      <c r="P1415" s="11" t="n">
        <v>2.46</v>
      </c>
      <c r="Q1415" s="11" t="n">
        <v>18.45</v>
      </c>
      <c r="R1415" s="11" t="n">
        <f aca="false">SUM(K1415:Q1415)</f>
        <v>180.414</v>
      </c>
      <c r="S1415" s="11" t="n">
        <f aca="false">R1415/(1-Resumo!$C$6)</f>
        <v>205.015909090909</v>
      </c>
      <c r="T1415" s="11" t="n">
        <f aca="false">S1415-J1415</f>
        <v>74.5059090909091</v>
      </c>
      <c r="U1415" s="12" t="n">
        <f aca="false">IFERROR(S1415/J1415-1,0)</f>
        <v>0.570882760638335</v>
      </c>
      <c r="V1415" s="2" t="str">
        <f aca="false">IF(S1415&lt;J1415,"SIM","NÃO")</f>
        <v>NÃO</v>
      </c>
      <c r="W1415" s="2" t="n">
        <v>11</v>
      </c>
      <c r="X1415" s="2" t="s">
        <v>156</v>
      </c>
    </row>
    <row r="1416" customFormat="false" ht="15" hidden="false" customHeight="false" outlineLevel="0" collapsed="false">
      <c r="A1416" s="2" t="n">
        <v>383500033</v>
      </c>
      <c r="B1416" s="29" t="n">
        <v>46260.6241550926</v>
      </c>
      <c r="C1416" s="2" t="s">
        <v>191</v>
      </c>
      <c r="D1416" s="2" t="s">
        <v>1517</v>
      </c>
      <c r="E1416" s="2" t="s">
        <v>412</v>
      </c>
      <c r="F1416" s="2" t="s">
        <v>109</v>
      </c>
      <c r="G1416" s="30" t="n">
        <v>52.3</v>
      </c>
      <c r="H1416" s="11" t="n">
        <v>532.49</v>
      </c>
      <c r="I1416" s="11" t="s">
        <v>155</v>
      </c>
      <c r="J1416" s="11" t="n">
        <v>142.2</v>
      </c>
      <c r="K1416" s="11" t="n">
        <v>142.32</v>
      </c>
      <c r="L1416" s="11" t="n">
        <v>0.5325</v>
      </c>
      <c r="M1416" s="11" t="n">
        <v>1.065</v>
      </c>
      <c r="N1416" s="11" t="n">
        <v>1</v>
      </c>
      <c r="O1416" s="11" t="n">
        <v>4.5</v>
      </c>
      <c r="P1416" s="11" t="n">
        <v>3.18</v>
      </c>
      <c r="Q1416" s="11" t="n">
        <v>23.85</v>
      </c>
      <c r="R1416" s="11" t="n">
        <f aca="false">SUM(K1416:Q1416)</f>
        <v>176.4475</v>
      </c>
      <c r="S1416" s="11" t="n">
        <f aca="false">R1416/(1-Resumo!$C$6)</f>
        <v>200.508522727273</v>
      </c>
      <c r="T1416" s="11" t="n">
        <f aca="false">S1416-J1416</f>
        <v>58.3085227272727</v>
      </c>
      <c r="U1416" s="12" t="n">
        <f aca="false">IFERROR(S1416/J1416-1,0)</f>
        <v>0.410045870093339</v>
      </c>
      <c r="V1416" s="2" t="str">
        <f aca="false">IF(S1416&lt;J1416,"SIM","NÃO")</f>
        <v>NÃO</v>
      </c>
      <c r="W1416" s="2" t="n">
        <v>10</v>
      </c>
      <c r="X1416" s="2" t="s">
        <v>161</v>
      </c>
    </row>
    <row r="1417" customFormat="false" ht="15" hidden="false" customHeight="false" outlineLevel="0" collapsed="false">
      <c r="A1417" s="2" t="n">
        <v>383603624</v>
      </c>
      <c r="B1417" s="29" t="n">
        <v>46260.7405439815</v>
      </c>
      <c r="C1417" s="2" t="s">
        <v>153</v>
      </c>
      <c r="D1417" s="2" t="s">
        <v>282</v>
      </c>
      <c r="E1417" s="2" t="s">
        <v>283</v>
      </c>
      <c r="F1417" s="2" t="s">
        <v>107</v>
      </c>
      <c r="G1417" s="30" t="n">
        <v>37.2</v>
      </c>
      <c r="H1417" s="11" t="n">
        <v>359.99</v>
      </c>
      <c r="I1417" s="11" t="s">
        <v>155</v>
      </c>
      <c r="J1417" s="11" t="n">
        <v>121.98</v>
      </c>
      <c r="K1417" s="11" t="n">
        <v>143.04</v>
      </c>
      <c r="L1417" s="11" t="n">
        <v>0.36</v>
      </c>
      <c r="M1417" s="11" t="n">
        <v>0.72</v>
      </c>
      <c r="N1417" s="11" t="n">
        <v>1</v>
      </c>
      <c r="O1417" s="11" t="n">
        <v>4.5</v>
      </c>
      <c r="P1417" s="11" t="n">
        <v>2.28</v>
      </c>
      <c r="Q1417" s="11" t="n">
        <v>17.1</v>
      </c>
      <c r="R1417" s="11" t="n">
        <f aca="false">SUM(K1417:Q1417)</f>
        <v>169</v>
      </c>
      <c r="S1417" s="11" t="n">
        <f aca="false">R1417/(1-Resumo!$C$6)</f>
        <v>192.045454545455</v>
      </c>
      <c r="T1417" s="11" t="n">
        <f aca="false">S1417-J1417</f>
        <v>70.0654545454545</v>
      </c>
      <c r="U1417" s="12" t="n">
        <f aca="false">IFERROR(S1417/J1417-1,0)</f>
        <v>0.574401168596938</v>
      </c>
      <c r="V1417" s="2" t="str">
        <f aca="false">IF(S1417&lt;J1417,"SIM","NÃO")</f>
        <v>NÃO</v>
      </c>
      <c r="W1417" s="2" t="n">
        <v>11</v>
      </c>
      <c r="X1417" s="2" t="s">
        <v>161</v>
      </c>
    </row>
    <row r="1418" customFormat="false" ht="15" hidden="false" customHeight="false" outlineLevel="0" collapsed="false">
      <c r="A1418" s="2" t="n">
        <v>383677748</v>
      </c>
      <c r="B1418" s="29" t="n">
        <v>46260.8353703704</v>
      </c>
      <c r="C1418" s="2" t="s">
        <v>153</v>
      </c>
      <c r="D1418" s="2" t="s">
        <v>1518</v>
      </c>
      <c r="E1418" s="2" t="s">
        <v>78</v>
      </c>
      <c r="F1418" s="2" t="s">
        <v>114</v>
      </c>
      <c r="G1418" s="30" t="n">
        <v>140.9</v>
      </c>
      <c r="H1418" s="11" t="n">
        <v>1799.99</v>
      </c>
      <c r="I1418" s="11" t="s">
        <v>155</v>
      </c>
      <c r="J1418" s="11" t="n">
        <v>234.92</v>
      </c>
      <c r="K1418" s="11" t="n">
        <v>239.25</v>
      </c>
      <c r="L1418" s="11" t="n">
        <v>1.8</v>
      </c>
      <c r="M1418" s="11" t="n">
        <v>3.6</v>
      </c>
      <c r="N1418" s="11" t="n">
        <v>1</v>
      </c>
      <c r="O1418" s="11" t="n">
        <v>9</v>
      </c>
      <c r="P1418" s="11" t="n">
        <v>8.46</v>
      </c>
      <c r="Q1418" s="11" t="n">
        <v>63.45</v>
      </c>
      <c r="R1418" s="11" t="n">
        <f aca="false">SUM(K1418:Q1418)</f>
        <v>326.56</v>
      </c>
      <c r="S1418" s="11" t="n">
        <f aca="false">R1418/(1-Resumo!$C$6)</f>
        <v>371.090909090909</v>
      </c>
      <c r="T1418" s="11" t="n">
        <f aca="false">S1418-J1418</f>
        <v>136.170909090909</v>
      </c>
      <c r="U1418" s="12" t="n">
        <f aca="false">IFERROR(S1418/J1418-1,0)</f>
        <v>0.579648003962664</v>
      </c>
      <c r="V1418" s="2" t="str">
        <f aca="false">IF(S1418&lt;J1418,"SIM","NÃO")</f>
        <v>NÃO</v>
      </c>
      <c r="W1418" s="2" t="n">
        <v>5</v>
      </c>
      <c r="X1418" s="2" t="s">
        <v>156</v>
      </c>
    </row>
    <row r="1419" customFormat="false" ht="15" hidden="false" customHeight="false" outlineLevel="0" collapsed="false">
      <c r="A1419" s="2" t="n">
        <v>383688889</v>
      </c>
      <c r="B1419" s="29" t="n">
        <v>46260.8521875</v>
      </c>
      <c r="C1419" s="2" t="s">
        <v>158</v>
      </c>
      <c r="D1419" s="2" t="s">
        <v>828</v>
      </c>
      <c r="E1419" s="2" t="s">
        <v>92</v>
      </c>
      <c r="F1419" s="2" t="s">
        <v>110</v>
      </c>
      <c r="G1419" s="30" t="n">
        <v>69.15</v>
      </c>
      <c r="H1419" s="11" t="n">
        <v>697.84</v>
      </c>
      <c r="I1419" s="11" t="s">
        <v>155</v>
      </c>
      <c r="J1419" s="11" t="n">
        <v>155.38</v>
      </c>
      <c r="K1419" s="11" t="n">
        <v>166.05</v>
      </c>
      <c r="L1419" s="11" t="n">
        <v>0.6978</v>
      </c>
      <c r="M1419" s="11" t="n">
        <v>1.3957</v>
      </c>
      <c r="N1419" s="11" t="n">
        <v>1</v>
      </c>
      <c r="O1419" s="11" t="n">
        <v>4.5</v>
      </c>
      <c r="P1419" s="11" t="n">
        <v>4.2</v>
      </c>
      <c r="Q1419" s="11" t="n">
        <v>31.5</v>
      </c>
      <c r="R1419" s="11" t="n">
        <f aca="false">SUM(K1419:Q1419)</f>
        <v>209.3435</v>
      </c>
      <c r="S1419" s="11" t="n">
        <f aca="false">R1419/(1-Resumo!$C$6)</f>
        <v>237.890340909091</v>
      </c>
      <c r="T1419" s="11" t="n">
        <f aca="false">S1419-J1419</f>
        <v>82.5103409090909</v>
      </c>
      <c r="U1419" s="12" t="n">
        <f aca="false">IFERROR(S1419/J1419-1,0)</f>
        <v>0.53102291742239</v>
      </c>
      <c r="V1419" s="2" t="str">
        <f aca="false">IF(S1419&lt;J1419,"SIM","NÃO")</f>
        <v>NÃO</v>
      </c>
      <c r="W1419" s="2" t="n">
        <v>10</v>
      </c>
      <c r="X1419" s="2" t="s">
        <v>156</v>
      </c>
    </row>
    <row r="1420" customFormat="false" ht="15" hidden="false" customHeight="false" outlineLevel="0" collapsed="false">
      <c r="A1420" s="2" t="n">
        <v>383754580</v>
      </c>
      <c r="B1420" s="29" t="n">
        <v>46260.9596759259</v>
      </c>
      <c r="C1420" s="2" t="s">
        <v>153</v>
      </c>
      <c r="D1420" s="2" t="s">
        <v>1519</v>
      </c>
      <c r="E1420" s="2" t="s">
        <v>91</v>
      </c>
      <c r="F1420" s="2" t="s">
        <v>106</v>
      </c>
      <c r="G1420" s="30" t="n">
        <v>33</v>
      </c>
      <c r="H1420" s="11" t="n">
        <v>389.99</v>
      </c>
      <c r="I1420" s="11" t="s">
        <v>155</v>
      </c>
      <c r="J1420" s="11" t="n">
        <v>109.05</v>
      </c>
      <c r="K1420" s="11" t="n">
        <v>114.95</v>
      </c>
      <c r="L1420" s="11" t="n">
        <v>0.39</v>
      </c>
      <c r="M1420" s="11" t="n">
        <v>0.78</v>
      </c>
      <c r="N1420" s="11" t="n">
        <v>1</v>
      </c>
      <c r="O1420" s="11" t="n">
        <v>4.5</v>
      </c>
      <c r="P1420" s="11" t="n">
        <v>1.98</v>
      </c>
      <c r="Q1420" s="11" t="n">
        <v>14.85</v>
      </c>
      <c r="R1420" s="11" t="n">
        <f aca="false">SUM(K1420:Q1420)</f>
        <v>138.45</v>
      </c>
      <c r="S1420" s="11" t="n">
        <f aca="false">R1420/(1-Resumo!$C$6)</f>
        <v>157.329545454545</v>
      </c>
      <c r="T1420" s="11" t="n">
        <f aca="false">S1420-J1420</f>
        <v>48.2795454545455</v>
      </c>
      <c r="U1420" s="12" t="n">
        <f aca="false">IFERROR(S1420/J1420-1,0)</f>
        <v>0.442728523196199</v>
      </c>
      <c r="V1420" s="2" t="str">
        <f aca="false">IF(S1420&lt;J1420,"SIM","NÃO")</f>
        <v>NÃO</v>
      </c>
      <c r="W1420" s="2" t="n">
        <v>10</v>
      </c>
      <c r="X1420" s="2" t="s">
        <v>156</v>
      </c>
    </row>
    <row r="1421" customFormat="false" ht="15" hidden="false" customHeight="false" outlineLevel="0" collapsed="false">
      <c r="A1421" s="2" t="n">
        <v>383776219</v>
      </c>
      <c r="B1421" s="29" t="n">
        <v>46261.015775463</v>
      </c>
      <c r="C1421" s="2" t="s">
        <v>153</v>
      </c>
      <c r="D1421" s="2" t="s">
        <v>587</v>
      </c>
      <c r="E1421" s="2" t="s">
        <v>78</v>
      </c>
      <c r="F1421" s="2" t="s">
        <v>107</v>
      </c>
      <c r="G1421" s="30" t="n">
        <v>35.3</v>
      </c>
      <c r="H1421" s="11" t="n">
        <v>499.99</v>
      </c>
      <c r="I1421" s="11" t="s">
        <v>155</v>
      </c>
      <c r="J1421" s="11" t="n">
        <v>92.25</v>
      </c>
      <c r="K1421" s="11" t="n">
        <v>93.97</v>
      </c>
      <c r="L1421" s="11" t="n">
        <v>0.5</v>
      </c>
      <c r="M1421" s="11" t="n">
        <v>1</v>
      </c>
      <c r="N1421" s="11" t="n">
        <v>1</v>
      </c>
      <c r="O1421" s="11" t="n">
        <v>4.5</v>
      </c>
      <c r="P1421" s="11" t="n">
        <v>2.16</v>
      </c>
      <c r="Q1421" s="11" t="n">
        <v>16.2</v>
      </c>
      <c r="R1421" s="11" t="n">
        <f aca="false">SUM(K1421:Q1421)</f>
        <v>119.33</v>
      </c>
      <c r="S1421" s="11" t="n">
        <f aca="false">R1421/(1-Resumo!$C$6)</f>
        <v>135.602272727273</v>
      </c>
      <c r="T1421" s="11" t="n">
        <f aca="false">S1421-J1421</f>
        <v>43.3522727272727</v>
      </c>
      <c r="U1421" s="12" t="n">
        <f aca="false">IFERROR(S1421/J1421-1,0)</f>
        <v>0.469943335796994</v>
      </c>
      <c r="V1421" s="2" t="str">
        <f aca="false">IF(S1421&lt;J1421,"SIM","NÃO")</f>
        <v>NÃO</v>
      </c>
      <c r="W1421" s="2" t="n">
        <v>5</v>
      </c>
      <c r="X1421" s="2" t="s">
        <v>156</v>
      </c>
    </row>
    <row r="1422" customFormat="false" ht="15" hidden="false" customHeight="false" outlineLevel="0" collapsed="false">
      <c r="A1422" s="2" t="n">
        <v>383936863</v>
      </c>
      <c r="B1422" s="29" t="n">
        <v>46261.3361921296</v>
      </c>
      <c r="C1422" s="2" t="s">
        <v>153</v>
      </c>
      <c r="D1422" s="2" t="s">
        <v>1520</v>
      </c>
      <c r="E1422" s="2" t="s">
        <v>78</v>
      </c>
      <c r="F1422" s="2" t="s">
        <v>106</v>
      </c>
      <c r="G1422" s="30" t="n">
        <v>33</v>
      </c>
      <c r="H1422" s="11" t="n">
        <v>589.99</v>
      </c>
      <c r="I1422" s="11" t="s">
        <v>155</v>
      </c>
      <c r="J1422" s="11" t="n">
        <v>83.15</v>
      </c>
      <c r="K1422" s="11" t="n">
        <v>82.21</v>
      </c>
      <c r="L1422" s="11" t="n">
        <v>0.59</v>
      </c>
      <c r="M1422" s="11" t="n">
        <v>1.18</v>
      </c>
      <c r="N1422" s="11" t="n">
        <v>1</v>
      </c>
      <c r="O1422" s="11" t="n">
        <v>4.5</v>
      </c>
      <c r="P1422" s="11" t="n">
        <v>1.98</v>
      </c>
      <c r="Q1422" s="11" t="n">
        <v>14.85</v>
      </c>
      <c r="R1422" s="11" t="n">
        <f aca="false">SUM(K1422:Q1422)</f>
        <v>106.31</v>
      </c>
      <c r="S1422" s="11" t="n">
        <f aca="false">R1422/(1-Resumo!$C$6)</f>
        <v>120.806818181818</v>
      </c>
      <c r="T1422" s="11" t="n">
        <f aca="false">S1422-J1422</f>
        <v>37.6568181818182</v>
      </c>
      <c r="U1422" s="12" t="n">
        <f aca="false">IFERROR(S1422/J1422-1,0)</f>
        <v>0.452878150112064</v>
      </c>
      <c r="V1422" s="2" t="str">
        <f aca="false">IF(S1422&lt;J1422,"SIM","NÃO")</f>
        <v>NÃO</v>
      </c>
      <c r="W1422" s="2" t="n">
        <v>5</v>
      </c>
      <c r="X1422" s="2" t="s">
        <v>156</v>
      </c>
    </row>
    <row r="1423" customFormat="false" ht="15" hidden="false" customHeight="false" outlineLevel="0" collapsed="false">
      <c r="A1423" s="2" t="n">
        <v>384390789</v>
      </c>
      <c r="B1423" s="29" t="n">
        <v>46261.4150231482</v>
      </c>
      <c r="C1423" s="2" t="s">
        <v>153</v>
      </c>
      <c r="D1423" s="2" t="s">
        <v>1521</v>
      </c>
      <c r="E1423" s="2" t="s">
        <v>1522</v>
      </c>
      <c r="F1423" s="2" t="s">
        <v>107</v>
      </c>
      <c r="G1423" s="30" t="n">
        <v>37.59</v>
      </c>
      <c r="H1423" s="11" t="n">
        <v>479.99</v>
      </c>
      <c r="I1423" s="11" t="s">
        <v>155</v>
      </c>
      <c r="J1423" s="11" t="n">
        <v>122.55</v>
      </c>
      <c r="K1423" s="11" t="n">
        <v>143.04</v>
      </c>
      <c r="L1423" s="11" t="n">
        <v>0.48</v>
      </c>
      <c r="M1423" s="11" t="n">
        <v>0.96</v>
      </c>
      <c r="N1423" s="11" t="n">
        <v>1</v>
      </c>
      <c r="O1423" s="11" t="n">
        <v>4.5</v>
      </c>
      <c r="P1423" s="11" t="n">
        <v>2.28</v>
      </c>
      <c r="Q1423" s="11" t="n">
        <v>17.1</v>
      </c>
      <c r="R1423" s="11" t="n">
        <f aca="false">SUM(K1423:Q1423)</f>
        <v>169.36</v>
      </c>
      <c r="S1423" s="11" t="n">
        <f aca="false">R1423/(1-Resumo!$C$6)</f>
        <v>192.454545454545</v>
      </c>
      <c r="T1423" s="11" t="n">
        <f aca="false">S1423-J1423</f>
        <v>69.9045454545454</v>
      </c>
      <c r="U1423" s="12" t="n">
        <f aca="false">IFERROR(S1423/J1423-1,0)</f>
        <v>0.57041652757687</v>
      </c>
      <c r="V1423" s="2" t="str">
        <f aca="false">IF(S1423&lt;J1423,"SIM","NÃO")</f>
        <v>NÃO</v>
      </c>
      <c r="W1423" s="2" t="n">
        <v>11</v>
      </c>
      <c r="X1423" s="2" t="s">
        <v>161</v>
      </c>
    </row>
    <row r="1424" customFormat="false" ht="15" hidden="false" customHeight="false" outlineLevel="0" collapsed="false">
      <c r="A1424" s="2" t="n">
        <v>384006619</v>
      </c>
      <c r="B1424" s="29" t="n">
        <v>46261.4413541667</v>
      </c>
      <c r="C1424" s="2" t="s">
        <v>153</v>
      </c>
      <c r="D1424" s="2" t="s">
        <v>1523</v>
      </c>
      <c r="E1424" s="2" t="s">
        <v>80</v>
      </c>
      <c r="F1424" s="2" t="s">
        <v>111</v>
      </c>
      <c r="G1424" s="30" t="n">
        <v>71.9</v>
      </c>
      <c r="H1424" s="11" t="n">
        <v>779.69</v>
      </c>
      <c r="I1424" s="11" t="s">
        <v>155</v>
      </c>
      <c r="J1424" s="11" t="n">
        <v>151.74</v>
      </c>
      <c r="K1424" s="11" t="n">
        <v>134.39</v>
      </c>
      <c r="L1424" s="11" t="n">
        <v>0.7797</v>
      </c>
      <c r="M1424" s="11" t="n">
        <v>1.5594</v>
      </c>
      <c r="N1424" s="11" t="n">
        <v>1</v>
      </c>
      <c r="O1424" s="11" t="n">
        <v>4.5</v>
      </c>
      <c r="P1424" s="11" t="n">
        <v>4.32</v>
      </c>
      <c r="Q1424" s="11" t="n">
        <v>32.4</v>
      </c>
      <c r="R1424" s="11" t="n">
        <f aca="false">SUM(K1424:Q1424)</f>
        <v>178.9491</v>
      </c>
      <c r="S1424" s="11" t="n">
        <f aca="false">R1424/(1-Resumo!$C$6)</f>
        <v>203.35125</v>
      </c>
      <c r="T1424" s="11" t="n">
        <f aca="false">S1424-J1424</f>
        <v>51.61125</v>
      </c>
      <c r="U1424" s="12" t="n">
        <f aca="false">IFERROR(S1424/J1424-1,0)</f>
        <v>0.340129497825227</v>
      </c>
      <c r="V1424" s="2" t="str">
        <f aca="false">IF(S1424&lt;J1424,"SIM","NÃO")</f>
        <v>NÃO</v>
      </c>
      <c r="W1424" s="2" t="n">
        <v>5</v>
      </c>
      <c r="X1424" s="2" t="s">
        <v>156</v>
      </c>
    </row>
    <row r="1425" customFormat="false" ht="15" hidden="false" customHeight="false" outlineLevel="0" collapsed="false">
      <c r="A1425" s="2" t="n">
        <v>384035356</v>
      </c>
      <c r="B1425" s="29" t="n">
        <v>46261.4814814815</v>
      </c>
      <c r="C1425" s="2" t="s">
        <v>158</v>
      </c>
      <c r="D1425" s="2" t="s">
        <v>1524</v>
      </c>
      <c r="E1425" s="2" t="s">
        <v>78</v>
      </c>
      <c r="F1425" s="2" t="s">
        <v>109</v>
      </c>
      <c r="G1425" s="30" t="n">
        <v>51.3</v>
      </c>
      <c r="H1425" s="11" t="n">
        <v>669.95</v>
      </c>
      <c r="I1425" s="11" t="s">
        <v>155</v>
      </c>
      <c r="J1425" s="11" t="n">
        <v>114.36</v>
      </c>
      <c r="K1425" s="11" t="n">
        <v>112.3</v>
      </c>
      <c r="L1425" s="11" t="n">
        <v>0.67</v>
      </c>
      <c r="M1425" s="11" t="n">
        <v>1.3399</v>
      </c>
      <c r="N1425" s="11" t="n">
        <v>1</v>
      </c>
      <c r="O1425" s="11" t="n">
        <v>4.5</v>
      </c>
      <c r="P1425" s="11" t="n">
        <v>3.12</v>
      </c>
      <c r="Q1425" s="11" t="n">
        <v>23.4</v>
      </c>
      <c r="R1425" s="11" t="n">
        <f aca="false">SUM(K1425:Q1425)</f>
        <v>146.3299</v>
      </c>
      <c r="S1425" s="11" t="n">
        <f aca="false">R1425/(1-Resumo!$C$6)</f>
        <v>166.283977272727</v>
      </c>
      <c r="T1425" s="11" t="n">
        <f aca="false">S1425-J1425</f>
        <v>51.9239772727273</v>
      </c>
      <c r="U1425" s="12" t="n">
        <f aca="false">IFERROR(S1425/J1425-1,0)</f>
        <v>0.454039675347388</v>
      </c>
      <c r="V1425" s="2" t="str">
        <f aca="false">IF(S1425&lt;J1425,"SIM","NÃO")</f>
        <v>NÃO</v>
      </c>
      <c r="W1425" s="2" t="n">
        <v>5</v>
      </c>
      <c r="X1425" s="2" t="s">
        <v>156</v>
      </c>
    </row>
    <row r="1426" customFormat="false" ht="15" hidden="false" customHeight="false" outlineLevel="0" collapsed="false">
      <c r="A1426" s="2" t="n">
        <v>384049640</v>
      </c>
      <c r="B1426" s="29" t="n">
        <v>46261.499837963</v>
      </c>
      <c r="C1426" s="2" t="s">
        <v>158</v>
      </c>
      <c r="D1426" s="2" t="s">
        <v>1525</v>
      </c>
      <c r="E1426" s="2" t="s">
        <v>96</v>
      </c>
      <c r="F1426" s="2" t="s">
        <v>113</v>
      </c>
      <c r="G1426" s="30" t="n">
        <v>117.5</v>
      </c>
      <c r="H1426" s="11" t="n">
        <v>1239</v>
      </c>
      <c r="I1426" s="11" t="s">
        <v>155</v>
      </c>
      <c r="J1426" s="11" t="n">
        <v>216.6</v>
      </c>
      <c r="K1426" s="11" t="n">
        <v>236.82</v>
      </c>
      <c r="L1426" s="11" t="n">
        <v>1.239</v>
      </c>
      <c r="M1426" s="11" t="n">
        <v>2.478</v>
      </c>
      <c r="N1426" s="11" t="n">
        <v>1</v>
      </c>
      <c r="O1426" s="11" t="n">
        <v>9</v>
      </c>
      <c r="P1426" s="11" t="n">
        <v>7.08</v>
      </c>
      <c r="Q1426" s="11" t="n">
        <v>53.1</v>
      </c>
      <c r="R1426" s="11" t="n">
        <f aca="false">SUM(K1426:Q1426)</f>
        <v>310.717</v>
      </c>
      <c r="S1426" s="11" t="n">
        <f aca="false">R1426/(1-Resumo!$C$6)</f>
        <v>353.0875</v>
      </c>
      <c r="T1426" s="11" t="n">
        <f aca="false">S1426-J1426</f>
        <v>136.4875</v>
      </c>
      <c r="U1426" s="12" t="n">
        <f aca="false">IFERROR(S1426/J1426-1,0)</f>
        <v>0.63013619575254</v>
      </c>
      <c r="V1426" s="2" t="str">
        <f aca="false">IF(S1426&lt;J1426,"SIM","NÃO")</f>
        <v>NÃO</v>
      </c>
      <c r="W1426" s="2" t="n">
        <v>10</v>
      </c>
      <c r="X1426" s="2" t="s">
        <v>156</v>
      </c>
    </row>
    <row r="1427" customFormat="false" ht="15" hidden="false" customHeight="false" outlineLevel="0" collapsed="false">
      <c r="A1427" s="2" t="n">
        <v>384130138</v>
      </c>
      <c r="B1427" s="29" t="n">
        <v>46261.6111689815</v>
      </c>
      <c r="C1427" s="2" t="s">
        <v>153</v>
      </c>
      <c r="D1427" s="2" t="s">
        <v>934</v>
      </c>
      <c r="E1427" s="2" t="s">
        <v>537</v>
      </c>
      <c r="F1427" s="2" t="s">
        <v>108</v>
      </c>
      <c r="G1427" s="30" t="n">
        <v>46.8</v>
      </c>
      <c r="H1427" s="11" t="n">
        <v>599.99</v>
      </c>
      <c r="I1427" s="11" t="s">
        <v>155</v>
      </c>
      <c r="J1427" s="11" t="n">
        <v>131.03</v>
      </c>
      <c r="K1427" s="11" t="n">
        <v>152.54</v>
      </c>
      <c r="L1427" s="11" t="n">
        <v>0.6</v>
      </c>
      <c r="M1427" s="11" t="n">
        <v>1.2</v>
      </c>
      <c r="N1427" s="11" t="n">
        <v>1</v>
      </c>
      <c r="O1427" s="11" t="n">
        <v>4.5</v>
      </c>
      <c r="P1427" s="11" t="n">
        <v>2.82</v>
      </c>
      <c r="Q1427" s="11" t="n">
        <v>21.15</v>
      </c>
      <c r="R1427" s="11" t="n">
        <f aca="false">SUM(K1427:Q1427)</f>
        <v>183.81</v>
      </c>
      <c r="S1427" s="11" t="n">
        <f aca="false">R1427/(1-Resumo!$C$6)</f>
        <v>208.875</v>
      </c>
      <c r="T1427" s="11" t="n">
        <f aca="false">S1427-J1427</f>
        <v>77.845</v>
      </c>
      <c r="U1427" s="12" t="n">
        <f aca="false">IFERROR(S1427/J1427-1,0)</f>
        <v>0.594100587651683</v>
      </c>
      <c r="V1427" s="2" t="str">
        <f aca="false">IF(S1427&lt;J1427,"SIM","NÃO")</f>
        <v>NÃO</v>
      </c>
      <c r="W1427" s="2" t="n">
        <v>11</v>
      </c>
      <c r="X1427" s="2" t="s">
        <v>161</v>
      </c>
    </row>
    <row r="1428" customFormat="false" ht="15" hidden="false" customHeight="false" outlineLevel="0" collapsed="false">
      <c r="A1428" s="2" t="n">
        <v>384146031</v>
      </c>
      <c r="B1428" s="29" t="n">
        <v>46261.6361805556</v>
      </c>
      <c r="C1428" s="2" t="s">
        <v>198</v>
      </c>
      <c r="D1428" s="2" t="s">
        <v>1526</v>
      </c>
      <c r="E1428" s="2" t="s">
        <v>78</v>
      </c>
      <c r="F1428" s="2" t="s">
        <v>114</v>
      </c>
      <c r="G1428" s="30" t="n">
        <v>128.1</v>
      </c>
      <c r="H1428" s="11" t="n">
        <v>1529.99</v>
      </c>
      <c r="I1428" s="11" t="s">
        <v>155</v>
      </c>
      <c r="J1428" s="11" t="n">
        <v>233.62</v>
      </c>
      <c r="K1428" s="11" t="n">
        <v>239.25</v>
      </c>
      <c r="L1428" s="11" t="n">
        <v>1.53</v>
      </c>
      <c r="M1428" s="11" t="n">
        <v>3.06</v>
      </c>
      <c r="N1428" s="11" t="n">
        <v>1</v>
      </c>
      <c r="O1428" s="11" t="n">
        <v>9</v>
      </c>
      <c r="P1428" s="11" t="n">
        <v>7.74</v>
      </c>
      <c r="Q1428" s="11" t="n">
        <v>58.05</v>
      </c>
      <c r="R1428" s="11" t="n">
        <f aca="false">SUM(K1428:Q1428)</f>
        <v>319.63</v>
      </c>
      <c r="S1428" s="11" t="n">
        <f aca="false">R1428/(1-Resumo!$C$6)</f>
        <v>363.215909090909</v>
      </c>
      <c r="T1428" s="11" t="n">
        <f aca="false">S1428-J1428</f>
        <v>129.595909090909</v>
      </c>
      <c r="U1428" s="12" t="n">
        <f aca="false">IFERROR(S1428/J1428-1,0)</f>
        <v>0.554729514129394</v>
      </c>
      <c r="V1428" s="2" t="str">
        <f aca="false">IF(S1428&lt;J1428,"SIM","NÃO")</f>
        <v>NÃO</v>
      </c>
      <c r="W1428" s="2" t="n">
        <v>5</v>
      </c>
      <c r="X1428" s="2" t="s">
        <v>156</v>
      </c>
    </row>
    <row r="1429" customFormat="false" ht="15" hidden="false" customHeight="false" outlineLevel="0" collapsed="false">
      <c r="A1429" s="2" t="n">
        <v>384146896</v>
      </c>
      <c r="B1429" s="29" t="n">
        <v>46261.6371412037</v>
      </c>
      <c r="C1429" s="2" t="s">
        <v>158</v>
      </c>
      <c r="D1429" s="2" t="s">
        <v>1527</v>
      </c>
      <c r="E1429" s="2" t="s">
        <v>79</v>
      </c>
      <c r="F1429" s="2" t="s">
        <v>106</v>
      </c>
      <c r="G1429" s="30" t="n">
        <v>22.6</v>
      </c>
      <c r="H1429" s="11" t="n">
        <v>489.95</v>
      </c>
      <c r="I1429" s="11" t="s">
        <v>155</v>
      </c>
      <c r="J1429" s="11" t="n">
        <v>101.74</v>
      </c>
      <c r="K1429" s="11" t="n">
        <v>100.58</v>
      </c>
      <c r="L1429" s="11" t="n">
        <v>0.49</v>
      </c>
      <c r="M1429" s="11" t="n">
        <v>0.9799</v>
      </c>
      <c r="N1429" s="11" t="n">
        <v>1</v>
      </c>
      <c r="O1429" s="11" t="n">
        <v>4.5</v>
      </c>
      <c r="P1429" s="11" t="n">
        <v>1.38</v>
      </c>
      <c r="Q1429" s="11" t="n">
        <v>10.35</v>
      </c>
      <c r="R1429" s="11" t="n">
        <f aca="false">SUM(K1429:Q1429)</f>
        <v>119.2799</v>
      </c>
      <c r="S1429" s="11" t="n">
        <f aca="false">R1429/(1-Resumo!$C$6)</f>
        <v>135.545340909091</v>
      </c>
      <c r="T1429" s="11" t="n">
        <f aca="false">S1429-J1429</f>
        <v>33.8053409090909</v>
      </c>
      <c r="U1429" s="12" t="n">
        <f aca="false">IFERROR(S1429/J1429-1,0)</f>
        <v>0.332271878406634</v>
      </c>
      <c r="V1429" s="2" t="str">
        <f aca="false">IF(S1429&lt;J1429,"SIM","NÃO")</f>
        <v>NÃO</v>
      </c>
      <c r="W1429" s="2" t="n">
        <v>7</v>
      </c>
      <c r="X1429" s="2" t="s">
        <v>156</v>
      </c>
    </row>
    <row r="1430" customFormat="false" ht="15" hidden="false" customHeight="false" outlineLevel="0" collapsed="false">
      <c r="A1430" s="2" t="n">
        <v>384198047</v>
      </c>
      <c r="B1430" s="29" t="n">
        <v>46261.7076273148</v>
      </c>
      <c r="C1430" s="2" t="s">
        <v>153</v>
      </c>
      <c r="D1430" s="2" t="s">
        <v>1528</v>
      </c>
      <c r="E1430" s="2" t="s">
        <v>89</v>
      </c>
      <c r="F1430" s="2" t="s">
        <v>112</v>
      </c>
      <c r="G1430" s="30" t="n">
        <v>90</v>
      </c>
      <c r="H1430" s="11" t="n">
        <v>859.99</v>
      </c>
      <c r="I1430" s="11" t="s">
        <v>155</v>
      </c>
      <c r="J1430" s="11" t="n">
        <v>192.72</v>
      </c>
      <c r="K1430" s="11" t="n">
        <v>197.35</v>
      </c>
      <c r="L1430" s="11" t="n">
        <v>0.86</v>
      </c>
      <c r="M1430" s="11" t="n">
        <v>1.72</v>
      </c>
      <c r="N1430" s="11" t="n">
        <v>1</v>
      </c>
      <c r="O1430" s="11" t="n">
        <v>4.5</v>
      </c>
      <c r="P1430" s="11" t="n">
        <v>5.4</v>
      </c>
      <c r="Q1430" s="11" t="n">
        <v>40.5</v>
      </c>
      <c r="R1430" s="11" t="n">
        <f aca="false">SUM(K1430:Q1430)</f>
        <v>251.33</v>
      </c>
      <c r="S1430" s="11" t="n">
        <f aca="false">R1430/(1-Resumo!$C$6)</f>
        <v>285.602272727273</v>
      </c>
      <c r="T1430" s="11" t="n">
        <f aca="false">S1430-J1430</f>
        <v>92.8822727272727</v>
      </c>
      <c r="U1430" s="12" t="n">
        <f aca="false">IFERROR(S1430/J1430-1,0)</f>
        <v>0.481954507717272</v>
      </c>
      <c r="V1430" s="2" t="str">
        <f aca="false">IF(S1430&lt;J1430,"SIM","NÃO")</f>
        <v>NÃO</v>
      </c>
      <c r="W1430" s="2" t="n">
        <v>8</v>
      </c>
      <c r="X1430" s="2" t="s">
        <v>156</v>
      </c>
    </row>
    <row r="1431" customFormat="false" ht="15" hidden="false" customHeight="false" outlineLevel="0" collapsed="false">
      <c r="A1431" s="2" t="n">
        <v>384199337</v>
      </c>
      <c r="B1431" s="29" t="n">
        <v>46261.7096527778</v>
      </c>
      <c r="C1431" s="2" t="s">
        <v>158</v>
      </c>
      <c r="D1431" s="2" t="s">
        <v>1529</v>
      </c>
      <c r="E1431" s="2" t="s">
        <v>78</v>
      </c>
      <c r="F1431" s="2" t="s">
        <v>105</v>
      </c>
      <c r="G1431" s="30" t="n">
        <v>13.18</v>
      </c>
      <c r="H1431" s="11" t="n">
        <v>246.99</v>
      </c>
      <c r="I1431" s="11" t="s">
        <v>155</v>
      </c>
      <c r="J1431" s="11" t="n">
        <v>64.39</v>
      </c>
      <c r="K1431" s="11" t="n">
        <v>46.98</v>
      </c>
      <c r="L1431" s="11" t="n">
        <v>0.247</v>
      </c>
      <c r="M1431" s="11" t="n">
        <v>0.494</v>
      </c>
      <c r="N1431" s="11" t="n">
        <v>1</v>
      </c>
      <c r="O1431" s="11" t="n">
        <v>4.5</v>
      </c>
      <c r="P1431" s="11" t="n">
        <v>0.84</v>
      </c>
      <c r="Q1431" s="11" t="n">
        <v>6.3</v>
      </c>
      <c r="R1431" s="11" t="n">
        <f aca="false">SUM(K1431:Q1431)</f>
        <v>60.361</v>
      </c>
      <c r="S1431" s="11" t="n">
        <f aca="false">R1431/(1-Resumo!$C$6)</f>
        <v>68.5920454545455</v>
      </c>
      <c r="T1431" s="11" t="n">
        <f aca="false">S1431-J1431</f>
        <v>4.20204545454546</v>
      </c>
      <c r="U1431" s="12" t="n">
        <f aca="false">IFERROR(S1431/J1431-1,0)</f>
        <v>0.0652592864504653</v>
      </c>
      <c r="V1431" s="2" t="str">
        <f aca="false">IF(S1431&lt;J1431,"SIM","NÃO")</f>
        <v>NÃO</v>
      </c>
      <c r="W1431" s="2" t="n">
        <v>5</v>
      </c>
      <c r="X1431" s="2" t="s">
        <v>156</v>
      </c>
    </row>
    <row r="1432" customFormat="false" ht="15" hidden="false" customHeight="false" outlineLevel="0" collapsed="false">
      <c r="A1432" s="2" t="n">
        <v>384209314</v>
      </c>
      <c r="B1432" s="29" t="n">
        <v>46261.7237615741</v>
      </c>
      <c r="C1432" s="2" t="s">
        <v>153</v>
      </c>
      <c r="D1432" s="2" t="s">
        <v>1530</v>
      </c>
      <c r="E1432" s="2" t="s">
        <v>283</v>
      </c>
      <c r="F1432" s="2" t="s">
        <v>105</v>
      </c>
      <c r="G1432" s="30" t="n">
        <v>19.9</v>
      </c>
      <c r="H1432" s="11" t="n">
        <v>299.99</v>
      </c>
      <c r="I1432" s="11" t="s">
        <v>155</v>
      </c>
      <c r="J1432" s="11" t="n">
        <v>80.09</v>
      </c>
      <c r="K1432" s="11" t="n">
        <v>124.04</v>
      </c>
      <c r="L1432" s="11" t="n">
        <v>0.3</v>
      </c>
      <c r="M1432" s="11" t="n">
        <v>0.6</v>
      </c>
      <c r="N1432" s="11" t="n">
        <v>1</v>
      </c>
      <c r="O1432" s="11" t="n">
        <v>4.5</v>
      </c>
      <c r="P1432" s="11" t="n">
        <v>1.2</v>
      </c>
      <c r="Q1432" s="11" t="n">
        <v>9</v>
      </c>
      <c r="R1432" s="11" t="n">
        <f aca="false">SUM(K1432:Q1432)</f>
        <v>140.64</v>
      </c>
      <c r="S1432" s="11" t="n">
        <f aca="false">R1432/(1-Resumo!$C$6)</f>
        <v>159.818181818182</v>
      </c>
      <c r="T1432" s="11" t="n">
        <f aca="false">S1432-J1432</f>
        <v>79.7281818181818</v>
      </c>
      <c r="U1432" s="12" t="n">
        <f aca="false">IFERROR(S1432/J1432-1,0)</f>
        <v>0.995482355077811</v>
      </c>
      <c r="V1432" s="2" t="str">
        <f aca="false">IF(S1432&lt;J1432,"SIM","NÃO")</f>
        <v>NÃO</v>
      </c>
      <c r="W1432" s="2" t="n">
        <v>11</v>
      </c>
      <c r="X1432" s="2" t="s">
        <v>161</v>
      </c>
    </row>
    <row r="1433" customFormat="false" ht="15" hidden="false" customHeight="false" outlineLevel="0" collapsed="false">
      <c r="A1433" s="2" t="n">
        <v>384253709</v>
      </c>
      <c r="B1433" s="29" t="n">
        <v>46261.7981134259</v>
      </c>
      <c r="C1433" s="2" t="s">
        <v>153</v>
      </c>
      <c r="D1433" s="2" t="s">
        <v>1198</v>
      </c>
      <c r="E1433" s="2" t="s">
        <v>84</v>
      </c>
      <c r="F1433" s="2" t="s">
        <v>110</v>
      </c>
      <c r="G1433" s="30" t="n">
        <v>63</v>
      </c>
      <c r="H1433" s="11" t="n">
        <v>829.99</v>
      </c>
      <c r="I1433" s="11" t="s">
        <v>155</v>
      </c>
      <c r="J1433" s="11" t="n">
        <v>140.41</v>
      </c>
      <c r="K1433" s="11" t="n">
        <v>131.02</v>
      </c>
      <c r="L1433" s="11" t="n">
        <v>0.83</v>
      </c>
      <c r="M1433" s="11" t="n">
        <v>1.66</v>
      </c>
      <c r="N1433" s="11" t="n">
        <v>1</v>
      </c>
      <c r="O1433" s="11" t="n">
        <v>4.5</v>
      </c>
      <c r="P1433" s="11" t="n">
        <v>3.78</v>
      </c>
      <c r="Q1433" s="11" t="n">
        <v>28.35</v>
      </c>
      <c r="R1433" s="11" t="n">
        <f aca="false">SUM(K1433:Q1433)</f>
        <v>171.14</v>
      </c>
      <c r="S1433" s="11" t="n">
        <f aca="false">R1433/(1-Resumo!$C$6)</f>
        <v>194.477272727273</v>
      </c>
      <c r="T1433" s="11" t="n">
        <f aca="false">S1433-J1433</f>
        <v>54.0672727272728</v>
      </c>
      <c r="U1433" s="12" t="n">
        <f aca="false">IFERROR(S1433/J1433-1,0)</f>
        <v>0.385067108662294</v>
      </c>
      <c r="V1433" s="2" t="str">
        <f aca="false">IF(S1433&lt;J1433,"SIM","NÃO")</f>
        <v>NÃO</v>
      </c>
      <c r="W1433" s="2" t="n">
        <v>5</v>
      </c>
      <c r="X1433" s="2" t="s">
        <v>156</v>
      </c>
    </row>
    <row r="1434" customFormat="false" ht="15" hidden="false" customHeight="false" outlineLevel="0" collapsed="false">
      <c r="A1434" s="2" t="n">
        <v>384330809</v>
      </c>
      <c r="B1434" s="29" t="n">
        <v>46261.9417592593</v>
      </c>
      <c r="C1434" s="2" t="s">
        <v>191</v>
      </c>
      <c r="D1434" s="2" t="s">
        <v>1531</v>
      </c>
      <c r="E1434" s="2" t="s">
        <v>92</v>
      </c>
      <c r="F1434" s="2" t="s">
        <v>111</v>
      </c>
      <c r="G1434" s="30" t="n">
        <v>71.9</v>
      </c>
      <c r="H1434" s="11" t="n">
        <v>796.49</v>
      </c>
      <c r="I1434" s="11" t="s">
        <v>155</v>
      </c>
      <c r="J1434" s="11" t="n">
        <v>168.13</v>
      </c>
      <c r="K1434" s="11" t="n">
        <v>166.05</v>
      </c>
      <c r="L1434" s="11" t="n">
        <v>0.7965</v>
      </c>
      <c r="M1434" s="11" t="n">
        <v>1.593</v>
      </c>
      <c r="N1434" s="11" t="n">
        <v>1</v>
      </c>
      <c r="O1434" s="11" t="n">
        <v>4.5</v>
      </c>
      <c r="P1434" s="11" t="n">
        <v>4.32</v>
      </c>
      <c r="Q1434" s="11" t="n">
        <v>32.4</v>
      </c>
      <c r="R1434" s="11" t="n">
        <f aca="false">SUM(K1434:Q1434)</f>
        <v>210.6595</v>
      </c>
      <c r="S1434" s="11" t="n">
        <f aca="false">R1434/(1-Resumo!$C$6)</f>
        <v>239.385795454545</v>
      </c>
      <c r="T1434" s="11" t="n">
        <f aca="false">S1434-J1434</f>
        <v>71.2557954545455</v>
      </c>
      <c r="U1434" s="12" t="n">
        <f aca="false">IFERROR(S1434/J1434-1,0)</f>
        <v>0.423813688541875</v>
      </c>
      <c r="V1434" s="2" t="str">
        <f aca="false">IF(S1434&lt;J1434,"SIM","NÃO")</f>
        <v>NÃO</v>
      </c>
      <c r="W1434" s="2" t="n">
        <v>10</v>
      </c>
      <c r="X1434" s="2" t="s">
        <v>156</v>
      </c>
    </row>
    <row r="1435" customFormat="false" ht="15" hidden="false" customHeight="false" outlineLevel="0" collapsed="false">
      <c r="A1435" s="2" t="n">
        <v>384357499</v>
      </c>
      <c r="B1435" s="29" t="n">
        <v>46261.9910185185</v>
      </c>
      <c r="C1435" s="2" t="s">
        <v>153</v>
      </c>
      <c r="D1435" s="2" t="s">
        <v>1532</v>
      </c>
      <c r="E1435" s="2" t="s">
        <v>89</v>
      </c>
      <c r="F1435" s="2" t="s">
        <v>111</v>
      </c>
      <c r="G1435" s="30" t="n">
        <v>71.9</v>
      </c>
      <c r="H1435" s="11" t="n">
        <v>779.69</v>
      </c>
      <c r="I1435" s="11" t="s">
        <v>155</v>
      </c>
      <c r="J1435" s="11" t="n">
        <v>168.06</v>
      </c>
      <c r="K1435" s="11" t="n">
        <v>166.05</v>
      </c>
      <c r="L1435" s="11" t="n">
        <v>0.7797</v>
      </c>
      <c r="M1435" s="11" t="n">
        <v>1.5594</v>
      </c>
      <c r="N1435" s="11" t="n">
        <v>1</v>
      </c>
      <c r="O1435" s="11" t="n">
        <v>4.5</v>
      </c>
      <c r="P1435" s="11" t="n">
        <v>4.32</v>
      </c>
      <c r="Q1435" s="11" t="n">
        <v>32.4</v>
      </c>
      <c r="R1435" s="11" t="n">
        <f aca="false">SUM(K1435:Q1435)</f>
        <v>210.6091</v>
      </c>
      <c r="S1435" s="11" t="n">
        <f aca="false">R1435/(1-Resumo!$C$6)</f>
        <v>239.328522727273</v>
      </c>
      <c r="T1435" s="11" t="n">
        <f aca="false">S1435-J1435</f>
        <v>71.2685227272727</v>
      </c>
      <c r="U1435" s="12" t="n">
        <f aca="false">IFERROR(S1435/J1435-1,0)</f>
        <v>0.424065945062911</v>
      </c>
      <c r="V1435" s="2" t="str">
        <f aca="false">IF(S1435&lt;J1435,"SIM","NÃO")</f>
        <v>NÃO</v>
      </c>
      <c r="W1435" s="2" t="n">
        <v>8</v>
      </c>
      <c r="X1435" s="2" t="s">
        <v>156</v>
      </c>
    </row>
    <row r="1436" customFormat="false" ht="15" hidden="false" customHeight="false" outlineLevel="0" collapsed="false">
      <c r="A1436" s="2" t="n">
        <v>384404979</v>
      </c>
      <c r="B1436" s="29" t="n">
        <v>46262.0945486111</v>
      </c>
      <c r="C1436" s="2" t="s">
        <v>158</v>
      </c>
      <c r="D1436" s="2" t="s">
        <v>1533</v>
      </c>
      <c r="E1436" s="2" t="s">
        <v>78</v>
      </c>
      <c r="F1436" s="2" t="s">
        <v>111</v>
      </c>
      <c r="G1436" s="30" t="n">
        <v>79.4</v>
      </c>
      <c r="H1436" s="11" t="n">
        <v>949.62</v>
      </c>
      <c r="I1436" s="11" t="s">
        <v>155</v>
      </c>
      <c r="J1436" s="11" t="n">
        <v>137.03</v>
      </c>
      <c r="K1436" s="11" t="n">
        <v>134.39</v>
      </c>
      <c r="L1436" s="11" t="n">
        <v>0.9496</v>
      </c>
      <c r="M1436" s="11" t="n">
        <v>1.8992</v>
      </c>
      <c r="N1436" s="11" t="n">
        <v>1</v>
      </c>
      <c r="O1436" s="11" t="n">
        <v>4.5</v>
      </c>
      <c r="P1436" s="11" t="n">
        <v>4.8</v>
      </c>
      <c r="Q1436" s="11" t="n">
        <v>36</v>
      </c>
      <c r="R1436" s="11" t="n">
        <f aca="false">SUM(K1436:Q1436)</f>
        <v>183.5388</v>
      </c>
      <c r="S1436" s="11" t="n">
        <f aca="false">R1436/(1-Resumo!$C$6)</f>
        <v>208.566818181818</v>
      </c>
      <c r="T1436" s="11" t="n">
        <f aca="false">S1436-J1436</f>
        <v>71.5368181818182</v>
      </c>
      <c r="U1436" s="12" t="n">
        <f aca="false">IFERROR(S1436/J1436-1,0)</f>
        <v>0.52205223806333</v>
      </c>
      <c r="V1436" s="2" t="str">
        <f aca="false">IF(S1436&lt;J1436,"SIM","NÃO")</f>
        <v>NÃO</v>
      </c>
      <c r="W1436" s="2" t="n">
        <v>5</v>
      </c>
      <c r="X1436" s="2" t="s">
        <v>156</v>
      </c>
    </row>
    <row r="1437" customFormat="false" ht="15" hidden="false" customHeight="false" outlineLevel="0" collapsed="false">
      <c r="A1437" s="2" t="n">
        <v>384536620</v>
      </c>
      <c r="B1437" s="29" t="n">
        <v>46262.3971180556</v>
      </c>
      <c r="C1437" s="2" t="s">
        <v>153</v>
      </c>
      <c r="D1437" s="2" t="s">
        <v>1534</v>
      </c>
      <c r="E1437" s="2" t="s">
        <v>78</v>
      </c>
      <c r="F1437" s="2" t="s">
        <v>108</v>
      </c>
      <c r="G1437" s="30" t="n">
        <v>48.3</v>
      </c>
      <c r="H1437" s="11" t="n">
        <v>459.99</v>
      </c>
      <c r="I1437" s="11" t="s">
        <v>155</v>
      </c>
      <c r="J1437" s="11" t="n">
        <v>102.8</v>
      </c>
      <c r="K1437" s="11" t="n">
        <v>93.97</v>
      </c>
      <c r="L1437" s="11" t="n">
        <v>0.46</v>
      </c>
      <c r="M1437" s="11" t="n">
        <v>0.92</v>
      </c>
      <c r="N1437" s="11" t="n">
        <v>1</v>
      </c>
      <c r="O1437" s="11" t="n">
        <v>4.5</v>
      </c>
      <c r="P1437" s="11" t="n">
        <v>2.94</v>
      </c>
      <c r="Q1437" s="11" t="n">
        <v>22.05</v>
      </c>
      <c r="R1437" s="11" t="n">
        <f aca="false">SUM(K1437:Q1437)</f>
        <v>125.84</v>
      </c>
      <c r="S1437" s="11" t="n">
        <f aca="false">R1437/(1-Resumo!$C$6)</f>
        <v>143</v>
      </c>
      <c r="T1437" s="11" t="n">
        <f aca="false">S1437-J1437</f>
        <v>40.2</v>
      </c>
      <c r="U1437" s="12" t="n">
        <f aca="false">IFERROR(S1437/J1437-1,0)</f>
        <v>0.391050583657588</v>
      </c>
      <c r="V1437" s="2" t="str">
        <f aca="false">IF(S1437&lt;J1437,"SIM","NÃO")</f>
        <v>NÃO</v>
      </c>
      <c r="W1437" s="2" t="n">
        <v>5</v>
      </c>
      <c r="X1437" s="2" t="s">
        <v>156</v>
      </c>
    </row>
    <row r="1438" customFormat="false" ht="15" hidden="false" customHeight="false" outlineLevel="0" collapsed="false">
      <c r="A1438" s="2" t="n">
        <v>384547504</v>
      </c>
      <c r="B1438" s="29" t="n">
        <v>46262.4158217593</v>
      </c>
      <c r="C1438" s="2" t="s">
        <v>153</v>
      </c>
      <c r="D1438" s="2" t="s">
        <v>1535</v>
      </c>
      <c r="E1438" s="2" t="s">
        <v>78</v>
      </c>
      <c r="F1438" s="2" t="s">
        <v>109</v>
      </c>
      <c r="G1438" s="30" t="n">
        <v>52.3</v>
      </c>
      <c r="H1438" s="11" t="n">
        <v>627.28</v>
      </c>
      <c r="I1438" s="11" t="s">
        <v>155</v>
      </c>
      <c r="J1438" s="11" t="n">
        <v>114.15</v>
      </c>
      <c r="K1438" s="11" t="n">
        <v>112.3</v>
      </c>
      <c r="L1438" s="11" t="n">
        <v>0.6273</v>
      </c>
      <c r="M1438" s="11" t="n">
        <v>1.2546</v>
      </c>
      <c r="N1438" s="11" t="n">
        <v>1</v>
      </c>
      <c r="O1438" s="11" t="n">
        <v>4.5</v>
      </c>
      <c r="P1438" s="11" t="n">
        <v>3.18</v>
      </c>
      <c r="Q1438" s="11" t="n">
        <v>23.85</v>
      </c>
      <c r="R1438" s="11" t="n">
        <f aca="false">SUM(K1438:Q1438)</f>
        <v>146.7119</v>
      </c>
      <c r="S1438" s="11" t="n">
        <f aca="false">R1438/(1-Resumo!$C$6)</f>
        <v>166.718068181818</v>
      </c>
      <c r="T1438" s="11" t="n">
        <f aca="false">S1438-J1438</f>
        <v>52.5680681818182</v>
      </c>
      <c r="U1438" s="12" t="n">
        <f aca="false">IFERROR(S1438/J1438-1,0)</f>
        <v>0.460517461075936</v>
      </c>
      <c r="V1438" s="2" t="str">
        <f aca="false">IF(S1438&lt;J1438,"SIM","NÃO")</f>
        <v>NÃO</v>
      </c>
      <c r="W1438" s="2" t="n">
        <v>5</v>
      </c>
      <c r="X1438" s="2" t="s">
        <v>156</v>
      </c>
    </row>
    <row r="1439" customFormat="false" ht="15" hidden="false" customHeight="false" outlineLevel="0" collapsed="false">
      <c r="A1439" s="2" t="n">
        <v>384634120</v>
      </c>
      <c r="B1439" s="29" t="n">
        <v>46262.5377199074</v>
      </c>
      <c r="C1439" s="2" t="s">
        <v>153</v>
      </c>
      <c r="D1439" s="2" t="s">
        <v>1536</v>
      </c>
      <c r="E1439" s="2" t="s">
        <v>78</v>
      </c>
      <c r="F1439" s="2" t="s">
        <v>109</v>
      </c>
      <c r="G1439" s="30" t="n">
        <v>51.3</v>
      </c>
      <c r="H1439" s="11" t="n">
        <v>649.99</v>
      </c>
      <c r="I1439" s="11" t="s">
        <v>155</v>
      </c>
      <c r="J1439" s="11" t="n">
        <v>114.26</v>
      </c>
      <c r="K1439" s="11" t="n">
        <v>112.3</v>
      </c>
      <c r="L1439" s="11" t="n">
        <v>0.65</v>
      </c>
      <c r="M1439" s="11" t="n">
        <v>1.3</v>
      </c>
      <c r="N1439" s="11" t="n">
        <v>1</v>
      </c>
      <c r="O1439" s="11" t="n">
        <v>4.5</v>
      </c>
      <c r="P1439" s="11" t="n">
        <v>3.12</v>
      </c>
      <c r="Q1439" s="11" t="n">
        <v>23.4</v>
      </c>
      <c r="R1439" s="11" t="n">
        <f aca="false">SUM(K1439:Q1439)</f>
        <v>146.27</v>
      </c>
      <c r="S1439" s="11" t="n">
        <f aca="false">R1439/(1-Resumo!$C$6)</f>
        <v>166.215909090909</v>
      </c>
      <c r="T1439" s="11" t="n">
        <f aca="false">S1439-J1439</f>
        <v>51.9559090909091</v>
      </c>
      <c r="U1439" s="12" t="n">
        <f aca="false">IFERROR(S1439/J1439-1,0)</f>
        <v>0.454716515761501</v>
      </c>
      <c r="V1439" s="2" t="str">
        <f aca="false">IF(S1439&lt;J1439,"SIM","NÃO")</f>
        <v>NÃO</v>
      </c>
      <c r="W1439" s="2" t="n">
        <v>5</v>
      </c>
      <c r="X1439" s="2" t="s">
        <v>156</v>
      </c>
    </row>
    <row r="1440" customFormat="false" ht="15" hidden="false" customHeight="false" outlineLevel="0" collapsed="false">
      <c r="A1440" s="2" t="n">
        <v>384686178</v>
      </c>
      <c r="B1440" s="29" t="n">
        <v>46262.6190856482</v>
      </c>
      <c r="C1440" s="2" t="s">
        <v>153</v>
      </c>
      <c r="D1440" s="2" t="s">
        <v>1537</v>
      </c>
      <c r="E1440" s="2" t="s">
        <v>83</v>
      </c>
      <c r="F1440" s="2" t="s">
        <v>106</v>
      </c>
      <c r="G1440" s="30" t="n">
        <v>27</v>
      </c>
      <c r="H1440" s="11" t="n">
        <v>319.99</v>
      </c>
      <c r="I1440" s="11" t="s">
        <v>155</v>
      </c>
      <c r="J1440" s="11" t="n">
        <v>108.72</v>
      </c>
      <c r="K1440" s="11" t="n">
        <v>138.29</v>
      </c>
      <c r="L1440" s="11" t="n">
        <v>0.32</v>
      </c>
      <c r="M1440" s="11" t="n">
        <v>0.64</v>
      </c>
      <c r="N1440" s="11" t="n">
        <v>1</v>
      </c>
      <c r="O1440" s="11" t="n">
        <v>4.5</v>
      </c>
      <c r="P1440" s="11" t="n">
        <v>1.62</v>
      </c>
      <c r="Q1440" s="11" t="n">
        <v>12.15</v>
      </c>
      <c r="R1440" s="11" t="n">
        <f aca="false">SUM(K1440:Q1440)</f>
        <v>158.52</v>
      </c>
      <c r="S1440" s="11" t="n">
        <f aca="false">R1440/(1-Resumo!$C$6)</f>
        <v>180.136363636364</v>
      </c>
      <c r="T1440" s="11" t="n">
        <f aca="false">S1440-J1440</f>
        <v>71.4163636363637</v>
      </c>
      <c r="U1440" s="12" t="n">
        <f aca="false">IFERROR(S1440/J1440-1,0)</f>
        <v>0.656883403572146</v>
      </c>
      <c r="V1440" s="2" t="str">
        <f aca="false">IF(S1440&lt;J1440,"SIM","NÃO")</f>
        <v>NÃO</v>
      </c>
      <c r="W1440" s="2" t="n">
        <v>11</v>
      </c>
      <c r="X1440" s="2" t="s">
        <v>156</v>
      </c>
    </row>
    <row r="1441" customFormat="false" ht="15" hidden="false" customHeight="false" outlineLevel="0" collapsed="false">
      <c r="A1441" s="2" t="n">
        <v>384731455</v>
      </c>
      <c r="B1441" s="29" t="n">
        <v>46262.6906712963</v>
      </c>
      <c r="C1441" s="2" t="s">
        <v>153</v>
      </c>
      <c r="D1441" s="2" t="s">
        <v>1538</v>
      </c>
      <c r="E1441" s="2" t="s">
        <v>94</v>
      </c>
      <c r="F1441" s="2" t="s">
        <v>108</v>
      </c>
      <c r="G1441" s="30" t="n">
        <v>45.3</v>
      </c>
      <c r="H1441" s="11" t="n">
        <v>630.04</v>
      </c>
      <c r="I1441" s="11" t="s">
        <v>155</v>
      </c>
      <c r="J1441" s="11" t="n">
        <v>117.09</v>
      </c>
      <c r="K1441" s="11" t="n">
        <v>93.97</v>
      </c>
      <c r="L1441" s="11" t="n">
        <v>0.63</v>
      </c>
      <c r="M1441" s="11" t="n">
        <v>1.2601</v>
      </c>
      <c r="N1441" s="11" t="n">
        <v>1</v>
      </c>
      <c r="O1441" s="11" t="n">
        <v>4.5</v>
      </c>
      <c r="P1441" s="11" t="n">
        <v>2.76</v>
      </c>
      <c r="Q1441" s="11" t="n">
        <v>20.7</v>
      </c>
      <c r="R1441" s="11" t="n">
        <f aca="false">SUM(K1441:Q1441)</f>
        <v>124.8201</v>
      </c>
      <c r="S1441" s="11" t="n">
        <f aca="false">R1441/(1-Resumo!$C$6)</f>
        <v>141.841022727273</v>
      </c>
      <c r="T1441" s="11" t="n">
        <f aca="false">S1441-J1441</f>
        <v>24.7510227272727</v>
      </c>
      <c r="U1441" s="12" t="n">
        <f aca="false">IFERROR(S1441/J1441-1,0)</f>
        <v>0.211384599259311</v>
      </c>
      <c r="V1441" s="2" t="str">
        <f aca="false">IF(S1441&lt;J1441,"SIM","NÃO")</f>
        <v>NÃO</v>
      </c>
      <c r="W1441" s="2" t="n">
        <v>5</v>
      </c>
      <c r="X1441" s="2" t="s">
        <v>156</v>
      </c>
    </row>
    <row r="1442" customFormat="false" ht="15" hidden="false" customHeight="false" outlineLevel="0" collapsed="false">
      <c r="A1442" s="2" t="n">
        <v>384777364</v>
      </c>
      <c r="B1442" s="29" t="n">
        <v>46262.7674421296</v>
      </c>
      <c r="C1442" s="2" t="s">
        <v>194</v>
      </c>
      <c r="D1442" s="2" t="s">
        <v>1539</v>
      </c>
      <c r="E1442" s="2" t="s">
        <v>80</v>
      </c>
      <c r="F1442" s="2" t="s">
        <v>105</v>
      </c>
      <c r="G1442" s="30" t="n">
        <v>2.83</v>
      </c>
      <c r="H1442" s="11" t="n">
        <v>239.99</v>
      </c>
      <c r="I1442" s="11" t="s">
        <v>155</v>
      </c>
      <c r="J1442" s="11" t="n">
        <v>74.99</v>
      </c>
      <c r="K1442" s="11" t="n">
        <v>46.98</v>
      </c>
      <c r="L1442" s="11" t="n">
        <v>0.24</v>
      </c>
      <c r="M1442" s="11" t="n">
        <v>0.48</v>
      </c>
      <c r="N1442" s="11" t="n">
        <v>1</v>
      </c>
      <c r="O1442" s="11" t="n">
        <v>4.5</v>
      </c>
      <c r="P1442" s="11" t="n">
        <v>0.18</v>
      </c>
      <c r="Q1442" s="11" t="n">
        <v>1.35</v>
      </c>
      <c r="R1442" s="11" t="n">
        <f aca="false">SUM(K1442:Q1442)</f>
        <v>54.73</v>
      </c>
      <c r="S1442" s="11" t="n">
        <f aca="false">R1442/(1-Resumo!$C$6)</f>
        <v>62.1931818181818</v>
      </c>
      <c r="T1442" s="11" t="n">
        <f aca="false">S1442-J1442</f>
        <v>-12.7968181818182</v>
      </c>
      <c r="U1442" s="12" t="n">
        <f aca="false">IFERROR(S1442/J1442-1,0)</f>
        <v>-0.170646995356957</v>
      </c>
      <c r="V1442" s="2" t="str">
        <f aca="false">IF(S1442&lt;J1442,"SIM","NÃO")</f>
        <v>SIM</v>
      </c>
      <c r="W1442" s="2" t="n">
        <v>5</v>
      </c>
      <c r="X1442" s="2" t="s">
        <v>156</v>
      </c>
    </row>
    <row r="1443" customFormat="false" ht="15" hidden="false" customHeight="false" outlineLevel="0" collapsed="false">
      <c r="A1443" s="2" t="n">
        <v>384806872</v>
      </c>
      <c r="B1443" s="29" t="n">
        <v>46262.8150231482</v>
      </c>
      <c r="C1443" s="2" t="s">
        <v>158</v>
      </c>
      <c r="D1443" s="2" t="s">
        <v>517</v>
      </c>
      <c r="E1443" s="2" t="s">
        <v>78</v>
      </c>
      <c r="F1443" s="2" t="s">
        <v>114</v>
      </c>
      <c r="G1443" s="30" t="n">
        <v>124.2</v>
      </c>
      <c r="H1443" s="11" t="n">
        <v>1611.28</v>
      </c>
      <c r="I1443" s="11" t="s">
        <v>155</v>
      </c>
      <c r="J1443" s="11" t="n">
        <v>234.01</v>
      </c>
      <c r="K1443" s="11" t="n">
        <v>239.25</v>
      </c>
      <c r="L1443" s="11" t="n">
        <v>1.6113</v>
      </c>
      <c r="M1443" s="11" t="n">
        <v>3.2226</v>
      </c>
      <c r="N1443" s="11" t="n">
        <v>1</v>
      </c>
      <c r="O1443" s="11" t="n">
        <v>9</v>
      </c>
      <c r="P1443" s="11" t="n">
        <v>7.5</v>
      </c>
      <c r="Q1443" s="11" t="n">
        <v>56.25</v>
      </c>
      <c r="R1443" s="11" t="n">
        <f aca="false">SUM(K1443:Q1443)</f>
        <v>317.8339</v>
      </c>
      <c r="S1443" s="11" t="n">
        <f aca="false">R1443/(1-Resumo!$C$6)</f>
        <v>361.174886363636</v>
      </c>
      <c r="T1443" s="11" t="n">
        <f aca="false">S1443-J1443</f>
        <v>127.164886363636</v>
      </c>
      <c r="U1443" s="12" t="n">
        <f aca="false">IFERROR(S1443/J1443-1,0)</f>
        <v>0.543416462388942</v>
      </c>
      <c r="V1443" s="2" t="str">
        <f aca="false">IF(S1443&lt;J1443,"SIM","NÃO")</f>
        <v>NÃO</v>
      </c>
      <c r="W1443" s="2" t="n">
        <v>5</v>
      </c>
      <c r="X1443" s="2" t="s">
        <v>156</v>
      </c>
    </row>
    <row r="1444" customFormat="false" ht="15" hidden="false" customHeight="false" outlineLevel="0" collapsed="false">
      <c r="A1444" s="2" t="n">
        <v>384820107</v>
      </c>
      <c r="B1444" s="29" t="n">
        <v>46262.8352430556</v>
      </c>
      <c r="C1444" s="2" t="s">
        <v>153</v>
      </c>
      <c r="D1444" s="2" t="s">
        <v>1540</v>
      </c>
      <c r="E1444" s="2" t="s">
        <v>79</v>
      </c>
      <c r="F1444" s="2" t="s">
        <v>107</v>
      </c>
      <c r="G1444" s="30" t="n">
        <v>36.8</v>
      </c>
      <c r="H1444" s="11" t="n">
        <v>469.99</v>
      </c>
      <c r="I1444" s="11" t="s">
        <v>155</v>
      </c>
      <c r="J1444" s="11" t="n">
        <v>113.2</v>
      </c>
      <c r="K1444" s="11" t="n">
        <v>114.95</v>
      </c>
      <c r="L1444" s="11" t="n">
        <v>0.47</v>
      </c>
      <c r="M1444" s="11" t="n">
        <v>0.94</v>
      </c>
      <c r="N1444" s="11" t="n">
        <v>1</v>
      </c>
      <c r="O1444" s="11" t="n">
        <v>4.5</v>
      </c>
      <c r="P1444" s="11" t="n">
        <v>2.22</v>
      </c>
      <c r="Q1444" s="11" t="n">
        <v>16.65</v>
      </c>
      <c r="R1444" s="11" t="n">
        <f aca="false">SUM(K1444:Q1444)</f>
        <v>140.73</v>
      </c>
      <c r="S1444" s="11" t="n">
        <f aca="false">R1444/(1-Resumo!$C$6)</f>
        <v>159.920454545455</v>
      </c>
      <c r="T1444" s="11" t="n">
        <f aca="false">S1444-J1444</f>
        <v>46.7204545454545</v>
      </c>
      <c r="U1444" s="12" t="n">
        <f aca="false">IFERROR(S1444/J1444-1,0)</f>
        <v>0.412724863475747</v>
      </c>
      <c r="V1444" s="2" t="str">
        <f aca="false">IF(S1444&lt;J1444,"SIM","NÃO")</f>
        <v>NÃO</v>
      </c>
      <c r="W1444" s="2" t="n">
        <v>7</v>
      </c>
      <c r="X1444" s="2" t="s">
        <v>156</v>
      </c>
    </row>
    <row r="1445" customFormat="false" ht="15" hidden="false" customHeight="false" outlineLevel="0" collapsed="false">
      <c r="A1445" s="2" t="n">
        <v>384893965</v>
      </c>
      <c r="B1445" s="29" t="n">
        <v>46262.9852430556</v>
      </c>
      <c r="C1445" s="2" t="s">
        <v>191</v>
      </c>
      <c r="D1445" s="2" t="s">
        <v>1541</v>
      </c>
      <c r="E1445" s="2" t="s">
        <v>90</v>
      </c>
      <c r="F1445" s="2" t="s">
        <v>107</v>
      </c>
      <c r="G1445" s="30" t="n">
        <v>37.2</v>
      </c>
      <c r="H1445" s="11" t="n">
        <v>439.99</v>
      </c>
      <c r="I1445" s="11" t="s">
        <v>155</v>
      </c>
      <c r="J1445" s="11" t="n">
        <v>122.35</v>
      </c>
      <c r="K1445" s="11" t="n">
        <v>114.95</v>
      </c>
      <c r="L1445" s="11" t="n">
        <v>0.44</v>
      </c>
      <c r="M1445" s="11" t="n">
        <v>0.88</v>
      </c>
      <c r="N1445" s="11" t="n">
        <v>1</v>
      </c>
      <c r="O1445" s="11" t="n">
        <v>4.5</v>
      </c>
      <c r="P1445" s="11" t="n">
        <v>2.28</v>
      </c>
      <c r="Q1445" s="11" t="n">
        <v>17.1</v>
      </c>
      <c r="R1445" s="11" t="n">
        <f aca="false">SUM(K1445:Q1445)</f>
        <v>141.15</v>
      </c>
      <c r="S1445" s="11" t="n">
        <f aca="false">R1445/(1-Resumo!$C$6)</f>
        <v>160.397727272727</v>
      </c>
      <c r="T1445" s="11" t="n">
        <f aca="false">S1445-J1445</f>
        <v>38.0477272727273</v>
      </c>
      <c r="U1445" s="12" t="n">
        <f aca="false">IFERROR(S1445/J1445-1,0)</f>
        <v>0.310974477096259</v>
      </c>
      <c r="V1445" s="2" t="str">
        <f aca="false">IF(S1445&lt;J1445,"SIM","NÃO")</f>
        <v>NÃO</v>
      </c>
      <c r="W1445" s="2" t="n">
        <v>7</v>
      </c>
      <c r="X1445" s="2" t="s">
        <v>156</v>
      </c>
    </row>
    <row r="1446" customFormat="false" ht="15" hidden="false" customHeight="false" outlineLevel="0" collapsed="false">
      <c r="A1446" s="2" t="n">
        <v>385113103</v>
      </c>
      <c r="B1446" s="29" t="n">
        <v>46263.4127546296</v>
      </c>
      <c r="C1446" s="2" t="s">
        <v>153</v>
      </c>
      <c r="D1446" s="2" t="s">
        <v>940</v>
      </c>
      <c r="E1446" s="2" t="s">
        <v>78</v>
      </c>
      <c r="F1446" s="2" t="s">
        <v>108</v>
      </c>
      <c r="G1446" s="30" t="n">
        <v>41</v>
      </c>
      <c r="H1446" s="11" t="n">
        <v>559.99</v>
      </c>
      <c r="I1446" s="11" t="s">
        <v>155</v>
      </c>
      <c r="J1446" s="11" t="n">
        <v>103.27</v>
      </c>
      <c r="K1446" s="11" t="n">
        <v>93.97</v>
      </c>
      <c r="L1446" s="11" t="n">
        <v>0.56</v>
      </c>
      <c r="M1446" s="11" t="n">
        <v>1.12</v>
      </c>
      <c r="N1446" s="11" t="n">
        <v>1</v>
      </c>
      <c r="O1446" s="11" t="n">
        <v>4.5</v>
      </c>
      <c r="P1446" s="11" t="n">
        <v>2.46</v>
      </c>
      <c r="Q1446" s="11" t="n">
        <v>18.45</v>
      </c>
      <c r="R1446" s="11" t="n">
        <f aca="false">SUM(K1446:Q1446)</f>
        <v>122.06</v>
      </c>
      <c r="S1446" s="11" t="n">
        <f aca="false">R1446/(1-Resumo!$C$6)</f>
        <v>138.704545454545</v>
      </c>
      <c r="T1446" s="11" t="n">
        <f aca="false">S1446-J1446</f>
        <v>35.4345454545455</v>
      </c>
      <c r="U1446" s="12" t="n">
        <f aca="false">IFERROR(S1446/J1446-1,0)</f>
        <v>0.343125258589576</v>
      </c>
      <c r="V1446" s="2" t="str">
        <f aca="false">IF(S1446&lt;J1446,"SIM","NÃO")</f>
        <v>NÃO</v>
      </c>
      <c r="W1446" s="2" t="n">
        <v>5</v>
      </c>
      <c r="X1446" s="2" t="s">
        <v>156</v>
      </c>
    </row>
    <row r="1447" customFormat="false" ht="15" hidden="false" customHeight="false" outlineLevel="0" collapsed="false">
      <c r="A1447" s="2" t="n">
        <v>385146624</v>
      </c>
      <c r="B1447" s="29" t="n">
        <v>46263.4552083333</v>
      </c>
      <c r="C1447" s="2" t="s">
        <v>369</v>
      </c>
      <c r="D1447" s="2" t="s">
        <v>1542</v>
      </c>
      <c r="E1447" s="2" t="s">
        <v>342</v>
      </c>
      <c r="F1447" s="2" t="s">
        <v>108</v>
      </c>
      <c r="G1447" s="30" t="n">
        <v>49.6</v>
      </c>
      <c r="H1447" s="11" t="n">
        <v>611.99</v>
      </c>
      <c r="I1447" s="11" t="s">
        <v>155</v>
      </c>
      <c r="J1447" s="11" t="n">
        <v>131.08</v>
      </c>
      <c r="K1447" s="11" t="n">
        <v>129.29</v>
      </c>
      <c r="L1447" s="11" t="n">
        <v>0.612</v>
      </c>
      <c r="M1447" s="11" t="n">
        <v>1.224</v>
      </c>
      <c r="N1447" s="11" t="n">
        <v>1</v>
      </c>
      <c r="O1447" s="11" t="n">
        <v>4.5</v>
      </c>
      <c r="P1447" s="11" t="n">
        <v>3</v>
      </c>
      <c r="Q1447" s="11" t="n">
        <v>22.5</v>
      </c>
      <c r="R1447" s="11" t="n">
        <f aca="false">SUM(K1447:Q1447)</f>
        <v>162.126</v>
      </c>
      <c r="S1447" s="11" t="n">
        <f aca="false">R1447/(1-Resumo!$C$6)</f>
        <v>184.234090909091</v>
      </c>
      <c r="T1447" s="11" t="n">
        <f aca="false">S1447-J1447</f>
        <v>53.1540909090909</v>
      </c>
      <c r="U1447" s="12" t="n">
        <f aca="false">IFERROR(S1447/J1447-1,0)</f>
        <v>0.405508780203623</v>
      </c>
      <c r="V1447" s="2" t="str">
        <f aca="false">IF(S1447&lt;J1447,"SIM","NÃO")</f>
        <v>NÃO</v>
      </c>
      <c r="W1447" s="2" t="n">
        <v>10</v>
      </c>
      <c r="X1447" s="2" t="s">
        <v>161</v>
      </c>
    </row>
    <row r="1448" customFormat="false" ht="15" hidden="false" customHeight="false" outlineLevel="0" collapsed="false">
      <c r="A1448" s="2" t="n">
        <v>385165833</v>
      </c>
      <c r="B1448" s="29" t="n">
        <v>46263.5053819444</v>
      </c>
      <c r="C1448" s="2" t="s">
        <v>158</v>
      </c>
      <c r="D1448" s="2" t="s">
        <v>1543</v>
      </c>
      <c r="E1448" s="2" t="s">
        <v>78</v>
      </c>
      <c r="F1448" s="2" t="s">
        <v>106</v>
      </c>
      <c r="G1448" s="30" t="n">
        <v>27.5</v>
      </c>
      <c r="H1448" s="11" t="n">
        <v>338</v>
      </c>
      <c r="I1448" s="11" t="s">
        <v>155</v>
      </c>
      <c r="J1448" s="11" t="n">
        <v>81.95</v>
      </c>
      <c r="K1448" s="11" t="n">
        <v>82.21</v>
      </c>
      <c r="L1448" s="11" t="n">
        <v>0.338</v>
      </c>
      <c r="M1448" s="11" t="n">
        <v>0.676</v>
      </c>
      <c r="N1448" s="11" t="n">
        <v>1</v>
      </c>
      <c r="O1448" s="11" t="n">
        <v>4.5</v>
      </c>
      <c r="P1448" s="11" t="n">
        <v>1.68</v>
      </c>
      <c r="Q1448" s="11" t="n">
        <v>12.6</v>
      </c>
      <c r="R1448" s="11" t="n">
        <f aca="false">SUM(K1448:Q1448)</f>
        <v>103.004</v>
      </c>
      <c r="S1448" s="11" t="n">
        <f aca="false">R1448/(1-Resumo!$C$6)</f>
        <v>117.05</v>
      </c>
      <c r="T1448" s="11" t="n">
        <f aca="false">S1448-J1448</f>
        <v>35.1</v>
      </c>
      <c r="U1448" s="12" t="n">
        <f aca="false">IFERROR(S1448/J1448-1,0)</f>
        <v>0.428309945088468</v>
      </c>
      <c r="V1448" s="2" t="str">
        <f aca="false">IF(S1448&lt;J1448,"SIM","NÃO")</f>
        <v>NÃO</v>
      </c>
      <c r="W1448" s="2" t="n">
        <v>5</v>
      </c>
      <c r="X1448" s="2" t="s">
        <v>156</v>
      </c>
    </row>
    <row r="1449" customFormat="false" ht="15" hidden="false" customHeight="false" outlineLevel="0" collapsed="false">
      <c r="A1449" s="2" t="n">
        <v>385178796</v>
      </c>
      <c r="B1449" s="29" t="n">
        <v>46263.5300694444</v>
      </c>
      <c r="C1449" s="2" t="s">
        <v>153</v>
      </c>
      <c r="D1449" s="2" t="s">
        <v>1544</v>
      </c>
      <c r="E1449" s="2" t="s">
        <v>78</v>
      </c>
      <c r="F1449" s="2" t="s">
        <v>110</v>
      </c>
      <c r="G1449" s="30" t="n">
        <v>69.15</v>
      </c>
      <c r="H1449" s="11" t="n">
        <v>859.99</v>
      </c>
      <c r="I1449" s="11" t="s">
        <v>155</v>
      </c>
      <c r="J1449" s="11" t="n">
        <v>125.33</v>
      </c>
      <c r="K1449" s="11" t="n">
        <v>131.02</v>
      </c>
      <c r="L1449" s="11" t="n">
        <v>0.86</v>
      </c>
      <c r="M1449" s="11" t="n">
        <v>1.72</v>
      </c>
      <c r="N1449" s="11" t="n">
        <v>1</v>
      </c>
      <c r="O1449" s="11" t="n">
        <v>4.5</v>
      </c>
      <c r="P1449" s="11" t="n">
        <v>4.2</v>
      </c>
      <c r="Q1449" s="11" t="n">
        <v>31.5</v>
      </c>
      <c r="R1449" s="11" t="n">
        <f aca="false">SUM(K1449:Q1449)</f>
        <v>174.8</v>
      </c>
      <c r="S1449" s="11" t="n">
        <f aca="false">R1449/(1-Resumo!$C$6)</f>
        <v>198.636363636364</v>
      </c>
      <c r="T1449" s="11" t="n">
        <f aca="false">S1449-J1449</f>
        <v>73.3063636363637</v>
      </c>
      <c r="U1449" s="12" t="n">
        <f aca="false">IFERROR(S1449/J1449-1,0)</f>
        <v>0.584906755257031</v>
      </c>
      <c r="V1449" s="2" t="str">
        <f aca="false">IF(S1449&lt;J1449,"SIM","NÃO")</f>
        <v>NÃO</v>
      </c>
      <c r="W1449" s="2" t="n">
        <v>5</v>
      </c>
      <c r="X1449" s="2" t="s">
        <v>156</v>
      </c>
    </row>
    <row r="1450" customFormat="false" ht="15" hidden="false" customHeight="false" outlineLevel="0" collapsed="false">
      <c r="A1450" s="2" t="n">
        <v>385206442</v>
      </c>
      <c r="B1450" s="29" t="n">
        <v>46263.5816203704</v>
      </c>
      <c r="C1450" s="2" t="s">
        <v>153</v>
      </c>
      <c r="D1450" s="2" t="s">
        <v>1545</v>
      </c>
      <c r="E1450" s="2" t="s">
        <v>84</v>
      </c>
      <c r="F1450" s="2" t="s">
        <v>107</v>
      </c>
      <c r="G1450" s="30" t="n">
        <v>35.3</v>
      </c>
      <c r="H1450" s="11" t="n">
        <v>499.99</v>
      </c>
      <c r="I1450" s="11" t="s">
        <v>155</v>
      </c>
      <c r="J1450" s="11" t="n">
        <v>113.35</v>
      </c>
      <c r="K1450" s="11" t="n">
        <v>93.97</v>
      </c>
      <c r="L1450" s="11" t="n">
        <v>0.5</v>
      </c>
      <c r="M1450" s="11" t="n">
        <v>1</v>
      </c>
      <c r="N1450" s="11" t="n">
        <v>1</v>
      </c>
      <c r="O1450" s="11" t="n">
        <v>4.5</v>
      </c>
      <c r="P1450" s="11" t="n">
        <v>2.16</v>
      </c>
      <c r="Q1450" s="11" t="n">
        <v>16.2</v>
      </c>
      <c r="R1450" s="11" t="n">
        <f aca="false">SUM(K1450:Q1450)</f>
        <v>119.33</v>
      </c>
      <c r="S1450" s="11" t="n">
        <f aca="false">R1450/(1-Resumo!$C$6)</f>
        <v>135.602272727273</v>
      </c>
      <c r="T1450" s="11" t="n">
        <f aca="false">S1450-J1450</f>
        <v>22.2522727272727</v>
      </c>
      <c r="U1450" s="12" t="n">
        <f aca="false">IFERROR(S1450/J1450-1,0)</f>
        <v>0.196314713076954</v>
      </c>
      <c r="V1450" s="2" t="str">
        <f aca="false">IF(S1450&lt;J1450,"SIM","NÃO")</f>
        <v>NÃO</v>
      </c>
      <c r="W1450" s="2" t="n">
        <v>5</v>
      </c>
      <c r="X1450" s="2" t="s">
        <v>156</v>
      </c>
    </row>
    <row r="1451" customFormat="false" ht="15" hidden="false" customHeight="false" outlineLevel="0" collapsed="false">
      <c r="A1451" s="2" t="n">
        <v>385211355</v>
      </c>
      <c r="B1451" s="29" t="n">
        <v>46263.5910763889</v>
      </c>
      <c r="C1451" s="2" t="s">
        <v>153</v>
      </c>
      <c r="D1451" s="2" t="s">
        <v>810</v>
      </c>
      <c r="E1451" s="2" t="s">
        <v>78</v>
      </c>
      <c r="F1451" s="2" t="s">
        <v>112</v>
      </c>
      <c r="G1451" s="30" t="n">
        <v>93.8</v>
      </c>
      <c r="H1451" s="11" t="n">
        <v>999.99</v>
      </c>
      <c r="I1451" s="11" t="s">
        <v>155</v>
      </c>
      <c r="J1451" s="11" t="n">
        <v>163.89</v>
      </c>
      <c r="K1451" s="11" t="n">
        <v>167.99</v>
      </c>
      <c r="L1451" s="11" t="n">
        <v>1</v>
      </c>
      <c r="M1451" s="11" t="n">
        <v>2</v>
      </c>
      <c r="N1451" s="11" t="n">
        <v>1</v>
      </c>
      <c r="O1451" s="11" t="n">
        <v>4.5</v>
      </c>
      <c r="P1451" s="11" t="n">
        <v>5.64</v>
      </c>
      <c r="Q1451" s="11" t="n">
        <v>42.3</v>
      </c>
      <c r="R1451" s="11" t="n">
        <f aca="false">SUM(K1451:Q1451)</f>
        <v>224.43</v>
      </c>
      <c r="S1451" s="11" t="n">
        <f aca="false">R1451/(1-Resumo!$C$6)</f>
        <v>255.034090909091</v>
      </c>
      <c r="T1451" s="11" t="n">
        <f aca="false">S1451-J1451</f>
        <v>91.1440909090909</v>
      </c>
      <c r="U1451" s="12" t="n">
        <f aca="false">IFERROR(S1451/J1451-1,0)</f>
        <v>0.556129665684855</v>
      </c>
      <c r="V1451" s="2" t="str">
        <f aca="false">IF(S1451&lt;J1451,"SIM","NÃO")</f>
        <v>NÃO</v>
      </c>
      <c r="W1451" s="2" t="n">
        <v>5</v>
      </c>
      <c r="X1451" s="2" t="s">
        <v>156</v>
      </c>
    </row>
    <row r="1452" customFormat="false" ht="15" hidden="false" customHeight="false" outlineLevel="0" collapsed="false">
      <c r="A1452" s="2" t="n">
        <v>385221301</v>
      </c>
      <c r="B1452" s="29" t="n">
        <v>46263.6106134259</v>
      </c>
      <c r="C1452" s="2" t="s">
        <v>153</v>
      </c>
      <c r="D1452" s="2" t="s">
        <v>1546</v>
      </c>
      <c r="E1452" s="2" t="s">
        <v>80</v>
      </c>
      <c r="F1452" s="2" t="s">
        <v>113</v>
      </c>
      <c r="G1452" s="30" t="n">
        <v>106.5</v>
      </c>
      <c r="H1452" s="11" t="n">
        <v>1077.9</v>
      </c>
      <c r="I1452" s="11" t="s">
        <v>155</v>
      </c>
      <c r="J1452" s="11" t="n">
        <v>195.01</v>
      </c>
      <c r="K1452" s="11" t="n">
        <v>201.59</v>
      </c>
      <c r="L1452" s="11" t="n">
        <v>1.0779</v>
      </c>
      <c r="M1452" s="11" t="n">
        <v>2.1558</v>
      </c>
      <c r="N1452" s="11" t="n">
        <v>1</v>
      </c>
      <c r="O1452" s="11" t="n">
        <v>9</v>
      </c>
      <c r="P1452" s="11" t="n">
        <v>6.42</v>
      </c>
      <c r="Q1452" s="11" t="n">
        <v>48.15</v>
      </c>
      <c r="R1452" s="11" t="n">
        <f aca="false">SUM(K1452:Q1452)</f>
        <v>269.3937</v>
      </c>
      <c r="S1452" s="11" t="n">
        <f aca="false">R1452/(1-Resumo!$C$6)</f>
        <v>306.129204545455</v>
      </c>
      <c r="T1452" s="11" t="n">
        <f aca="false">S1452-J1452</f>
        <v>111.119204545455</v>
      </c>
      <c r="U1452" s="12" t="n">
        <f aca="false">IFERROR(S1452/J1452-1,0)</f>
        <v>0.569812853420104</v>
      </c>
      <c r="V1452" s="2" t="str">
        <f aca="false">IF(S1452&lt;J1452,"SIM","NÃO")</f>
        <v>NÃO</v>
      </c>
      <c r="W1452" s="2" t="n">
        <v>5</v>
      </c>
      <c r="X1452" s="2" t="s">
        <v>156</v>
      </c>
    </row>
    <row r="1453" customFormat="false" ht="15" hidden="false" customHeight="false" outlineLevel="0" collapsed="false">
      <c r="A1453" s="2" t="n">
        <v>385247902</v>
      </c>
      <c r="B1453" s="29" t="n">
        <v>46263.6619675926</v>
      </c>
      <c r="C1453" s="2" t="s">
        <v>158</v>
      </c>
      <c r="D1453" s="2" t="s">
        <v>1547</v>
      </c>
      <c r="E1453" s="2" t="s">
        <v>78</v>
      </c>
      <c r="F1453" s="2" t="s">
        <v>110</v>
      </c>
      <c r="G1453" s="30" t="n">
        <v>69.15</v>
      </c>
      <c r="H1453" s="11" t="n">
        <v>697.84</v>
      </c>
      <c r="I1453" s="11" t="s">
        <v>155</v>
      </c>
      <c r="J1453" s="11" t="n">
        <v>124.56</v>
      </c>
      <c r="K1453" s="11" t="n">
        <v>131.02</v>
      </c>
      <c r="L1453" s="11" t="n">
        <v>0.6978</v>
      </c>
      <c r="M1453" s="11" t="n">
        <v>1.3957</v>
      </c>
      <c r="N1453" s="11" t="n">
        <v>1</v>
      </c>
      <c r="O1453" s="11" t="n">
        <v>4.5</v>
      </c>
      <c r="P1453" s="11" t="n">
        <v>4.2</v>
      </c>
      <c r="Q1453" s="11" t="n">
        <v>31.5</v>
      </c>
      <c r="R1453" s="11" t="n">
        <f aca="false">SUM(K1453:Q1453)</f>
        <v>174.3135</v>
      </c>
      <c r="S1453" s="11" t="n">
        <f aca="false">R1453/(1-Resumo!$C$6)</f>
        <v>198.083522727273</v>
      </c>
      <c r="T1453" s="11" t="n">
        <f aca="false">S1453-J1453</f>
        <v>73.5235227272727</v>
      </c>
      <c r="U1453" s="12" t="n">
        <f aca="false">IFERROR(S1453/J1453-1,0)</f>
        <v>0.59026591784901</v>
      </c>
      <c r="V1453" s="2" t="str">
        <f aca="false">IF(S1453&lt;J1453,"SIM","NÃO")</f>
        <v>NÃO</v>
      </c>
      <c r="W1453" s="2" t="n">
        <v>5</v>
      </c>
      <c r="X1453" s="2" t="s">
        <v>156</v>
      </c>
    </row>
    <row r="1454" customFormat="false" ht="15" hidden="false" customHeight="false" outlineLevel="0" collapsed="false">
      <c r="A1454" s="2" t="n">
        <v>385282833</v>
      </c>
      <c r="B1454" s="29" t="n">
        <v>46263.7193634259</v>
      </c>
      <c r="C1454" s="2" t="s">
        <v>158</v>
      </c>
      <c r="D1454" s="2" t="s">
        <v>1548</v>
      </c>
      <c r="E1454" s="2" t="s">
        <v>78</v>
      </c>
      <c r="F1454" s="2" t="s">
        <v>105</v>
      </c>
      <c r="G1454" s="30" t="n">
        <v>13.18</v>
      </c>
      <c r="H1454" s="11" t="n">
        <v>259.95</v>
      </c>
      <c r="I1454" s="11" t="s">
        <v>155</v>
      </c>
      <c r="J1454" s="11" t="n">
        <v>64.47</v>
      </c>
      <c r="K1454" s="11" t="n">
        <v>46.98</v>
      </c>
      <c r="L1454" s="11" t="n">
        <v>0.26</v>
      </c>
      <c r="M1454" s="11" t="n">
        <v>0.5199</v>
      </c>
      <c r="N1454" s="11" t="n">
        <v>1</v>
      </c>
      <c r="O1454" s="11" t="n">
        <v>4.5</v>
      </c>
      <c r="P1454" s="11" t="n">
        <v>0.84</v>
      </c>
      <c r="Q1454" s="11" t="n">
        <v>6.3</v>
      </c>
      <c r="R1454" s="11" t="n">
        <f aca="false">SUM(K1454:Q1454)</f>
        <v>60.3999</v>
      </c>
      <c r="S1454" s="11" t="n">
        <f aca="false">R1454/(1-Resumo!$C$6)</f>
        <v>68.63625</v>
      </c>
      <c r="T1454" s="11" t="n">
        <f aca="false">S1454-J1454</f>
        <v>4.16624999999999</v>
      </c>
      <c r="U1454" s="12" t="n">
        <f aca="false">IFERROR(S1454/J1454-1,0)</f>
        <v>0.0646230805025592</v>
      </c>
      <c r="V1454" s="2" t="str">
        <f aca="false">IF(S1454&lt;J1454,"SIM","NÃO")</f>
        <v>NÃO</v>
      </c>
      <c r="W1454" s="2" t="n">
        <v>5</v>
      </c>
      <c r="X1454" s="2" t="s">
        <v>156</v>
      </c>
    </row>
    <row r="1455" customFormat="false" ht="15" hidden="false" customHeight="false" outlineLevel="0" collapsed="false">
      <c r="A1455" s="2" t="n">
        <v>385321354</v>
      </c>
      <c r="B1455" s="29" t="n">
        <v>46263.7881018519</v>
      </c>
      <c r="C1455" s="2" t="s">
        <v>153</v>
      </c>
      <c r="D1455" s="2" t="s">
        <v>1549</v>
      </c>
      <c r="E1455" s="2" t="s">
        <v>80</v>
      </c>
      <c r="F1455" s="2" t="s">
        <v>108</v>
      </c>
      <c r="G1455" s="30" t="n">
        <v>44.6</v>
      </c>
      <c r="H1455" s="11" t="n">
        <v>549.99</v>
      </c>
      <c r="I1455" s="11" t="s">
        <v>155</v>
      </c>
      <c r="J1455" s="11" t="n">
        <v>116.7</v>
      </c>
      <c r="K1455" s="11" t="n">
        <v>93.97</v>
      </c>
      <c r="L1455" s="11" t="n">
        <v>0.55</v>
      </c>
      <c r="M1455" s="11" t="n">
        <v>1.1</v>
      </c>
      <c r="N1455" s="11" t="n">
        <v>1</v>
      </c>
      <c r="O1455" s="11" t="n">
        <v>4.5</v>
      </c>
      <c r="P1455" s="11" t="n">
        <v>2.7</v>
      </c>
      <c r="Q1455" s="11" t="n">
        <v>20.25</v>
      </c>
      <c r="R1455" s="11" t="n">
        <f aca="false">SUM(K1455:Q1455)</f>
        <v>124.07</v>
      </c>
      <c r="S1455" s="11" t="n">
        <f aca="false">R1455/(1-Resumo!$C$6)</f>
        <v>140.988636363636</v>
      </c>
      <c r="T1455" s="11" t="n">
        <f aca="false">S1455-J1455</f>
        <v>24.2886363636363</v>
      </c>
      <c r="U1455" s="12" t="n">
        <f aca="false">IFERROR(S1455/J1455-1,0)</f>
        <v>0.208128846303653</v>
      </c>
      <c r="V1455" s="2" t="str">
        <f aca="false">IF(S1455&lt;J1455,"SIM","NÃO")</f>
        <v>NÃO</v>
      </c>
      <c r="W1455" s="2" t="n">
        <v>5</v>
      </c>
      <c r="X1455" s="2" t="s">
        <v>156</v>
      </c>
    </row>
    <row r="1456" customFormat="false" ht="15" hidden="false" customHeight="false" outlineLevel="0" collapsed="false">
      <c r="A1456" s="2" t="n">
        <v>385350376</v>
      </c>
      <c r="B1456" s="29" t="n">
        <v>46263.8332638889</v>
      </c>
      <c r="C1456" s="2" t="s">
        <v>158</v>
      </c>
      <c r="D1456" s="2" t="s">
        <v>1550</v>
      </c>
      <c r="E1456" s="2" t="s">
        <v>95</v>
      </c>
      <c r="F1456" s="2" t="s">
        <v>109</v>
      </c>
      <c r="G1456" s="30" t="n">
        <v>52.3</v>
      </c>
      <c r="H1456" s="11" t="n">
        <v>640.44</v>
      </c>
      <c r="I1456" s="11" t="s">
        <v>155</v>
      </c>
      <c r="J1456" s="11" t="n">
        <v>142.74</v>
      </c>
      <c r="K1456" s="11" t="n">
        <v>127.03</v>
      </c>
      <c r="L1456" s="11" t="n">
        <v>0.6404</v>
      </c>
      <c r="M1456" s="11" t="n">
        <v>1.2809</v>
      </c>
      <c r="N1456" s="11" t="n">
        <v>1</v>
      </c>
      <c r="O1456" s="11" t="n">
        <v>4.5</v>
      </c>
      <c r="P1456" s="11" t="n">
        <v>3.18</v>
      </c>
      <c r="Q1456" s="11" t="n">
        <v>23.85</v>
      </c>
      <c r="R1456" s="11" t="n">
        <f aca="false">SUM(K1456:Q1456)</f>
        <v>161.4813</v>
      </c>
      <c r="S1456" s="11" t="n">
        <f aca="false">R1456/(1-Resumo!$C$6)</f>
        <v>183.501477272727</v>
      </c>
      <c r="T1456" s="11" t="n">
        <f aca="false">S1456-J1456</f>
        <v>40.7614772727273</v>
      </c>
      <c r="U1456" s="12" t="n">
        <f aca="false">IFERROR(S1456/J1456-1,0)</f>
        <v>0.285564503802209</v>
      </c>
      <c r="V1456" s="2" t="str">
        <f aca="false">IF(S1456&lt;J1456,"SIM","NÃO")</f>
        <v>NÃO</v>
      </c>
      <c r="W1456" s="2" t="n">
        <v>6</v>
      </c>
      <c r="X1456" s="2" t="s">
        <v>156</v>
      </c>
    </row>
    <row r="1457" customFormat="false" ht="15" hidden="false" customHeight="false" outlineLevel="0" collapsed="false">
      <c r="A1457" s="2" t="n">
        <v>385361210</v>
      </c>
      <c r="B1457" s="29" t="n">
        <v>46263.85625</v>
      </c>
      <c r="C1457" s="2" t="s">
        <v>153</v>
      </c>
      <c r="D1457" s="2" t="s">
        <v>1551</v>
      </c>
      <c r="E1457" s="2" t="s">
        <v>89</v>
      </c>
      <c r="F1457" s="2" t="s">
        <v>108</v>
      </c>
      <c r="G1457" s="30" t="n">
        <v>46.8</v>
      </c>
      <c r="H1457" s="11" t="n">
        <v>599.99</v>
      </c>
      <c r="I1457" s="11" t="s">
        <v>155</v>
      </c>
      <c r="J1457" s="11" t="n">
        <v>131.03</v>
      </c>
      <c r="K1457" s="11" t="n">
        <v>124.38</v>
      </c>
      <c r="L1457" s="11" t="n">
        <v>0.6</v>
      </c>
      <c r="M1457" s="11" t="n">
        <v>1.2</v>
      </c>
      <c r="N1457" s="11" t="n">
        <v>1</v>
      </c>
      <c r="O1457" s="11" t="n">
        <v>4.5</v>
      </c>
      <c r="P1457" s="11" t="n">
        <v>2.82</v>
      </c>
      <c r="Q1457" s="11" t="n">
        <v>21.15</v>
      </c>
      <c r="R1457" s="11" t="n">
        <f aca="false">SUM(K1457:Q1457)</f>
        <v>155.65</v>
      </c>
      <c r="S1457" s="11" t="n">
        <f aca="false">R1457/(1-Resumo!$C$6)</f>
        <v>176.875</v>
      </c>
      <c r="T1457" s="11" t="n">
        <f aca="false">S1457-J1457</f>
        <v>45.845</v>
      </c>
      <c r="U1457" s="12" t="n">
        <f aca="false">IFERROR(S1457/J1457-1,0)</f>
        <v>0.349881706479432</v>
      </c>
      <c r="V1457" s="2" t="str">
        <f aca="false">IF(S1457&lt;J1457,"SIM","NÃO")</f>
        <v>NÃO</v>
      </c>
      <c r="W1457" s="2" t="n">
        <v>8</v>
      </c>
      <c r="X1457" s="2" t="s">
        <v>156</v>
      </c>
    </row>
    <row r="1458" customFormat="false" ht="15" hidden="false" customHeight="false" outlineLevel="0" collapsed="false">
      <c r="A1458" s="2" t="n">
        <v>385409515</v>
      </c>
      <c r="B1458" s="29" t="n">
        <v>46263.9572453704</v>
      </c>
      <c r="C1458" s="2" t="s">
        <v>153</v>
      </c>
      <c r="D1458" s="2" t="s">
        <v>479</v>
      </c>
      <c r="E1458" s="2" t="s">
        <v>90</v>
      </c>
      <c r="F1458" s="2" t="s">
        <v>107</v>
      </c>
      <c r="G1458" s="30" t="n">
        <v>36.8</v>
      </c>
      <c r="H1458" s="11" t="n">
        <v>469.99</v>
      </c>
      <c r="I1458" s="11" t="s">
        <v>155</v>
      </c>
      <c r="J1458" s="11" t="n">
        <v>122.5</v>
      </c>
      <c r="K1458" s="11" t="n">
        <v>114.95</v>
      </c>
      <c r="L1458" s="11" t="n">
        <v>0.47</v>
      </c>
      <c r="M1458" s="11" t="n">
        <v>0.94</v>
      </c>
      <c r="N1458" s="11" t="n">
        <v>1</v>
      </c>
      <c r="O1458" s="11" t="n">
        <v>4.5</v>
      </c>
      <c r="P1458" s="11" t="n">
        <v>2.22</v>
      </c>
      <c r="Q1458" s="11" t="n">
        <v>16.65</v>
      </c>
      <c r="R1458" s="11" t="n">
        <f aca="false">SUM(K1458:Q1458)</f>
        <v>140.73</v>
      </c>
      <c r="S1458" s="11" t="n">
        <f aca="false">R1458/(1-Resumo!$C$6)</f>
        <v>159.920454545455</v>
      </c>
      <c r="T1458" s="11" t="n">
        <f aca="false">S1458-J1458</f>
        <v>37.4204545454545</v>
      </c>
      <c r="U1458" s="12" t="n">
        <f aca="false">IFERROR(S1458/J1458-1,0)</f>
        <v>0.305473098330241</v>
      </c>
      <c r="V1458" s="2" t="str">
        <f aca="false">IF(S1458&lt;J1458,"SIM","NÃO")</f>
        <v>NÃO</v>
      </c>
      <c r="W1458" s="2" t="n">
        <v>7</v>
      </c>
      <c r="X1458" s="2" t="s">
        <v>156</v>
      </c>
    </row>
    <row r="1459" customFormat="false" ht="15" hidden="false" customHeight="false" outlineLevel="0" collapsed="false">
      <c r="A1459" s="2" t="n">
        <v>385433694</v>
      </c>
      <c r="B1459" s="29" t="n">
        <v>46264.0006134259</v>
      </c>
      <c r="C1459" s="2" t="s">
        <v>153</v>
      </c>
      <c r="D1459" s="2" t="s">
        <v>1552</v>
      </c>
      <c r="E1459" s="2" t="s">
        <v>96</v>
      </c>
      <c r="F1459" s="2" t="s">
        <v>107</v>
      </c>
      <c r="G1459" s="30" t="n">
        <v>37.59</v>
      </c>
      <c r="H1459" s="11" t="n">
        <v>479.99</v>
      </c>
      <c r="I1459" s="11" t="s">
        <v>155</v>
      </c>
      <c r="J1459" s="11" t="n">
        <v>122.55</v>
      </c>
      <c r="K1459" s="11" t="n">
        <v>125.63</v>
      </c>
      <c r="L1459" s="11" t="n">
        <v>0.48</v>
      </c>
      <c r="M1459" s="11" t="n">
        <v>0.96</v>
      </c>
      <c r="N1459" s="11" t="n">
        <v>1</v>
      </c>
      <c r="O1459" s="11" t="n">
        <v>4.5</v>
      </c>
      <c r="P1459" s="11" t="n">
        <v>2.28</v>
      </c>
      <c r="Q1459" s="11" t="n">
        <v>17.1</v>
      </c>
      <c r="R1459" s="11" t="n">
        <f aca="false">SUM(K1459:Q1459)</f>
        <v>151.95</v>
      </c>
      <c r="S1459" s="11" t="n">
        <f aca="false">R1459/(1-Resumo!$C$6)</f>
        <v>172.670454545455</v>
      </c>
      <c r="T1459" s="11" t="n">
        <f aca="false">S1459-J1459</f>
        <v>50.1204545454545</v>
      </c>
      <c r="U1459" s="12" t="n">
        <f aca="false">IFERROR(S1459/J1459-1,0)</f>
        <v>0.408979637253811</v>
      </c>
      <c r="V1459" s="2" t="str">
        <f aca="false">IF(S1459&lt;J1459,"SIM","NÃO")</f>
        <v>NÃO</v>
      </c>
      <c r="W1459" s="2" t="n">
        <v>10</v>
      </c>
      <c r="X1459" s="2" t="s">
        <v>156</v>
      </c>
    </row>
    <row r="1460" customFormat="false" ht="15" hidden="false" customHeight="false" outlineLevel="0" collapsed="false">
      <c r="A1460" s="2" t="n">
        <v>385490918</v>
      </c>
      <c r="B1460" s="29" t="n">
        <v>46264.0778935185</v>
      </c>
      <c r="C1460" s="2" t="s">
        <v>153</v>
      </c>
      <c r="D1460" s="2" t="s">
        <v>1553</v>
      </c>
      <c r="E1460" s="2" t="s">
        <v>239</v>
      </c>
      <c r="F1460" s="2" t="s">
        <v>106</v>
      </c>
      <c r="G1460" s="30" t="n">
        <v>30.94</v>
      </c>
      <c r="H1460" s="11" t="n">
        <v>419.99</v>
      </c>
      <c r="I1460" s="11" t="s">
        <v>155</v>
      </c>
      <c r="J1460" s="11" t="n">
        <v>109.19</v>
      </c>
      <c r="K1460" s="11" t="n">
        <v>120.78</v>
      </c>
      <c r="L1460" s="11" t="n">
        <v>0.42</v>
      </c>
      <c r="M1460" s="11" t="n">
        <v>0.84</v>
      </c>
      <c r="N1460" s="11" t="n">
        <v>1</v>
      </c>
      <c r="O1460" s="11" t="n">
        <v>4.5</v>
      </c>
      <c r="P1460" s="11" t="n">
        <v>1.86</v>
      </c>
      <c r="Q1460" s="11" t="n">
        <v>13.95</v>
      </c>
      <c r="R1460" s="11" t="n">
        <f aca="false">SUM(K1460:Q1460)</f>
        <v>143.35</v>
      </c>
      <c r="S1460" s="11" t="n">
        <f aca="false">R1460/(1-Resumo!$C$6)</f>
        <v>162.897727272727</v>
      </c>
      <c r="T1460" s="11" t="n">
        <f aca="false">S1460-J1460</f>
        <v>53.7077272727273</v>
      </c>
      <c r="U1460" s="12" t="n">
        <f aca="false">IFERROR(S1460/J1460-1,0)</f>
        <v>0.491874047739969</v>
      </c>
      <c r="V1460" s="2" t="str">
        <f aca="false">IF(S1460&lt;J1460,"SIM","NÃO")</f>
        <v>NÃO</v>
      </c>
      <c r="W1460" s="2" t="n">
        <v>10</v>
      </c>
      <c r="X1460" s="2" t="s">
        <v>161</v>
      </c>
    </row>
    <row r="1461" customFormat="false" ht="15" hidden="false" customHeight="false" outlineLevel="0" collapsed="false">
      <c r="A1461" s="2" t="n">
        <v>385863558</v>
      </c>
      <c r="B1461" s="29" t="n">
        <v>46264.4151157407</v>
      </c>
      <c r="C1461" s="2" t="s">
        <v>153</v>
      </c>
      <c r="D1461" s="2" t="s">
        <v>1554</v>
      </c>
      <c r="E1461" s="2" t="s">
        <v>79</v>
      </c>
      <c r="F1461" s="2" t="s">
        <v>108</v>
      </c>
      <c r="G1461" s="30" t="n">
        <v>46.8</v>
      </c>
      <c r="H1461" s="11" t="n">
        <v>599.99</v>
      </c>
      <c r="I1461" s="11" t="s">
        <v>155</v>
      </c>
      <c r="J1461" s="11" t="n">
        <v>116.95</v>
      </c>
      <c r="K1461" s="11" t="n">
        <v>114.95</v>
      </c>
      <c r="L1461" s="11" t="n">
        <v>0.6</v>
      </c>
      <c r="M1461" s="11" t="n">
        <v>1.2</v>
      </c>
      <c r="N1461" s="11" t="n">
        <v>1</v>
      </c>
      <c r="O1461" s="11" t="n">
        <v>4.5</v>
      </c>
      <c r="P1461" s="11" t="n">
        <v>2.82</v>
      </c>
      <c r="Q1461" s="11" t="n">
        <v>21.15</v>
      </c>
      <c r="R1461" s="11" t="n">
        <f aca="false">SUM(K1461:Q1461)</f>
        <v>146.22</v>
      </c>
      <c r="S1461" s="11" t="n">
        <f aca="false">R1461/(1-Resumo!$C$6)</f>
        <v>166.159090909091</v>
      </c>
      <c r="T1461" s="11" t="n">
        <f aca="false">S1461-J1461</f>
        <v>49.2090909090909</v>
      </c>
      <c r="U1461" s="12" t="n">
        <f aca="false">IFERROR(S1461/J1461-1,0)</f>
        <v>0.420770336973843</v>
      </c>
      <c r="V1461" s="2" t="str">
        <f aca="false">IF(S1461&lt;J1461,"SIM","NÃO")</f>
        <v>NÃO</v>
      </c>
      <c r="W1461" s="2" t="n">
        <v>7</v>
      </c>
      <c r="X1461" s="2" t="s">
        <v>156</v>
      </c>
    </row>
    <row r="1462" customFormat="false" ht="15" hidden="false" customHeight="false" outlineLevel="0" collapsed="false">
      <c r="A1462" s="2" t="n">
        <v>385910859</v>
      </c>
      <c r="B1462" s="29" t="n">
        <v>46264.497962963</v>
      </c>
      <c r="C1462" s="2" t="s">
        <v>153</v>
      </c>
      <c r="D1462" s="2" t="s">
        <v>1555</v>
      </c>
      <c r="E1462" s="2" t="s">
        <v>85</v>
      </c>
      <c r="F1462" s="2" t="s">
        <v>106</v>
      </c>
      <c r="G1462" s="30" t="n">
        <v>33</v>
      </c>
      <c r="H1462" s="11" t="n">
        <v>429.99</v>
      </c>
      <c r="I1462" s="11" t="s">
        <v>155</v>
      </c>
      <c r="J1462" s="11" t="n">
        <v>109.24</v>
      </c>
      <c r="K1462" s="11" t="n">
        <v>138.29</v>
      </c>
      <c r="L1462" s="11" t="n">
        <v>0.43</v>
      </c>
      <c r="M1462" s="11" t="n">
        <v>0.86</v>
      </c>
      <c r="N1462" s="11" t="n">
        <v>1</v>
      </c>
      <c r="O1462" s="11" t="n">
        <v>4.5</v>
      </c>
      <c r="P1462" s="11" t="n">
        <v>1.98</v>
      </c>
      <c r="Q1462" s="11" t="n">
        <v>14.85</v>
      </c>
      <c r="R1462" s="11" t="n">
        <f aca="false">SUM(K1462:Q1462)</f>
        <v>161.91</v>
      </c>
      <c r="S1462" s="11" t="n">
        <f aca="false">R1462/(1-Resumo!$C$6)</f>
        <v>183.988636363636</v>
      </c>
      <c r="T1462" s="11" t="n">
        <f aca="false">S1462-J1462</f>
        <v>74.7486363636364</v>
      </c>
      <c r="U1462" s="12" t="n">
        <f aca="false">IFERROR(S1462/J1462-1,0)</f>
        <v>0.684260677074665</v>
      </c>
      <c r="V1462" s="2" t="str">
        <f aca="false">IF(S1462&lt;J1462,"SIM","NÃO")</f>
        <v>NÃO</v>
      </c>
      <c r="W1462" s="2" t="n">
        <v>11</v>
      </c>
      <c r="X1462" s="2" t="s">
        <v>156</v>
      </c>
    </row>
    <row r="1463" customFormat="false" ht="15" hidden="false" customHeight="false" outlineLevel="0" collapsed="false">
      <c r="A1463" s="2" t="n">
        <v>385954379</v>
      </c>
      <c r="B1463" s="29" t="n">
        <v>46264.5630787037</v>
      </c>
      <c r="C1463" s="2" t="s">
        <v>153</v>
      </c>
      <c r="D1463" s="2" t="s">
        <v>1556</v>
      </c>
      <c r="E1463" s="2" t="s">
        <v>81</v>
      </c>
      <c r="F1463" s="2" t="s">
        <v>107</v>
      </c>
      <c r="G1463" s="30" t="n">
        <v>37.2</v>
      </c>
      <c r="H1463" s="11" t="n">
        <v>366.5</v>
      </c>
      <c r="I1463" s="11" t="s">
        <v>155</v>
      </c>
      <c r="J1463" s="11" t="n">
        <v>112.7</v>
      </c>
      <c r="K1463" s="11" t="n">
        <v>93.97</v>
      </c>
      <c r="L1463" s="11" t="n">
        <v>0.3665</v>
      </c>
      <c r="M1463" s="11" t="n">
        <v>0.733</v>
      </c>
      <c r="N1463" s="11" t="n">
        <v>1</v>
      </c>
      <c r="O1463" s="11" t="n">
        <v>4.5</v>
      </c>
      <c r="P1463" s="11" t="n">
        <v>2.28</v>
      </c>
      <c r="Q1463" s="11" t="n">
        <v>17.1</v>
      </c>
      <c r="R1463" s="11" t="n">
        <f aca="false">SUM(K1463:Q1463)</f>
        <v>119.9495</v>
      </c>
      <c r="S1463" s="11" t="n">
        <f aca="false">R1463/(1-Resumo!$C$6)</f>
        <v>136.30625</v>
      </c>
      <c r="T1463" s="11" t="n">
        <f aca="false">S1463-J1463</f>
        <v>23.60625</v>
      </c>
      <c r="U1463" s="12" t="n">
        <f aca="false">IFERROR(S1463/J1463-1,0)</f>
        <v>0.209460958296362</v>
      </c>
      <c r="V1463" s="2" t="str">
        <f aca="false">IF(S1463&lt;J1463,"SIM","NÃO")</f>
        <v>NÃO</v>
      </c>
      <c r="W1463" s="2" t="n">
        <v>5</v>
      </c>
      <c r="X1463" s="2" t="s">
        <v>156</v>
      </c>
    </row>
    <row r="1464" customFormat="false" ht="15" hidden="false" customHeight="false" outlineLevel="0" collapsed="false">
      <c r="A1464" s="2" t="n">
        <v>386046900</v>
      </c>
      <c r="B1464" s="29" t="n">
        <v>46264.5783912037</v>
      </c>
      <c r="C1464" s="2" t="s">
        <v>158</v>
      </c>
      <c r="D1464" s="2" t="s">
        <v>1557</v>
      </c>
      <c r="E1464" s="2" t="s">
        <v>78</v>
      </c>
      <c r="F1464" s="2" t="s">
        <v>113</v>
      </c>
      <c r="G1464" s="30" t="n">
        <v>117.5</v>
      </c>
      <c r="H1464" s="11" t="n">
        <v>1252.9</v>
      </c>
      <c r="I1464" s="11" t="s">
        <v>155</v>
      </c>
      <c r="J1464" s="11" t="n">
        <v>185.66</v>
      </c>
      <c r="K1464" s="11" t="n">
        <v>201.59</v>
      </c>
      <c r="L1464" s="11" t="n">
        <v>1.2529</v>
      </c>
      <c r="M1464" s="11" t="n">
        <v>2.5058</v>
      </c>
      <c r="N1464" s="11" t="n">
        <v>1</v>
      </c>
      <c r="O1464" s="11" t="n">
        <v>9</v>
      </c>
      <c r="P1464" s="11" t="n">
        <v>7.08</v>
      </c>
      <c r="Q1464" s="11" t="n">
        <v>53.1</v>
      </c>
      <c r="R1464" s="11" t="n">
        <f aca="false">SUM(K1464:Q1464)</f>
        <v>275.5287</v>
      </c>
      <c r="S1464" s="11" t="n">
        <f aca="false">R1464/(1-Resumo!$C$6)</f>
        <v>313.100795454545</v>
      </c>
      <c r="T1464" s="11" t="n">
        <f aca="false">S1464-J1464</f>
        <v>127.440795454545</v>
      </c>
      <c r="U1464" s="12" t="n">
        <f aca="false">IFERROR(S1464/J1464-1,0)</f>
        <v>0.686420313770039</v>
      </c>
      <c r="V1464" s="2" t="str">
        <f aca="false">IF(S1464&lt;J1464,"SIM","NÃO")</f>
        <v>NÃO</v>
      </c>
      <c r="W1464" s="2" t="n">
        <v>5</v>
      </c>
      <c r="X1464" s="2" t="s">
        <v>156</v>
      </c>
    </row>
    <row r="1465" customFormat="false" ht="15" hidden="false" customHeight="false" outlineLevel="0" collapsed="false">
      <c r="A1465" s="2" t="n">
        <v>386053353</v>
      </c>
      <c r="B1465" s="29" t="n">
        <v>46264.5876041667</v>
      </c>
      <c r="C1465" s="2" t="s">
        <v>158</v>
      </c>
      <c r="D1465" s="2" t="s">
        <v>1165</v>
      </c>
      <c r="E1465" s="2" t="s">
        <v>78</v>
      </c>
      <c r="F1465" s="2" t="s">
        <v>107</v>
      </c>
      <c r="G1465" s="30" t="n">
        <v>36.8</v>
      </c>
      <c r="H1465" s="11" t="n">
        <v>431.64</v>
      </c>
      <c r="I1465" s="11" t="s">
        <v>155</v>
      </c>
      <c r="J1465" s="11" t="n">
        <v>91.92</v>
      </c>
      <c r="K1465" s="11" t="n">
        <v>93.97</v>
      </c>
      <c r="L1465" s="11" t="n">
        <v>0.4316</v>
      </c>
      <c r="M1465" s="11" t="n">
        <v>0.8633</v>
      </c>
      <c r="N1465" s="11" t="n">
        <v>1</v>
      </c>
      <c r="O1465" s="11" t="n">
        <v>4.5</v>
      </c>
      <c r="P1465" s="11" t="n">
        <v>2.22</v>
      </c>
      <c r="Q1465" s="11" t="n">
        <v>16.65</v>
      </c>
      <c r="R1465" s="11" t="n">
        <f aca="false">SUM(K1465:Q1465)</f>
        <v>119.6349</v>
      </c>
      <c r="S1465" s="11" t="n">
        <f aca="false">R1465/(1-Resumo!$C$6)</f>
        <v>135.94875</v>
      </c>
      <c r="T1465" s="11" t="n">
        <f aca="false">S1465-J1465</f>
        <v>44.02875</v>
      </c>
      <c r="U1465" s="12" t="n">
        <f aca="false">IFERROR(S1465/J1465-1,0)</f>
        <v>0.478989882506527</v>
      </c>
      <c r="V1465" s="2" t="str">
        <f aca="false">IF(S1465&lt;J1465,"SIM","NÃO")</f>
        <v>NÃO</v>
      </c>
      <c r="W1465" s="2" t="n">
        <v>5</v>
      </c>
      <c r="X1465" s="2" t="s">
        <v>156</v>
      </c>
    </row>
    <row r="1466" customFormat="false" ht="15" hidden="false" customHeight="false" outlineLevel="0" collapsed="false">
      <c r="A1466" s="2" t="n">
        <v>386006143</v>
      </c>
      <c r="B1466" s="29" t="n">
        <v>46264.6411689815</v>
      </c>
      <c r="C1466" s="2" t="s">
        <v>153</v>
      </c>
      <c r="D1466" s="2" t="s">
        <v>659</v>
      </c>
      <c r="E1466" s="2" t="s">
        <v>660</v>
      </c>
      <c r="F1466" s="2" t="s">
        <v>105</v>
      </c>
      <c r="G1466" s="30" t="n">
        <v>17</v>
      </c>
      <c r="H1466" s="11" t="n">
        <v>269.99</v>
      </c>
      <c r="I1466" s="11" t="s">
        <v>155</v>
      </c>
      <c r="J1466" s="11" t="n">
        <v>79.95</v>
      </c>
      <c r="K1466" s="11" t="n">
        <v>106.53</v>
      </c>
      <c r="L1466" s="11" t="n">
        <v>0.27</v>
      </c>
      <c r="M1466" s="11" t="n">
        <v>0.54</v>
      </c>
      <c r="N1466" s="11" t="n">
        <v>1</v>
      </c>
      <c r="O1466" s="11" t="n">
        <v>4.5</v>
      </c>
      <c r="P1466" s="11" t="n">
        <v>1.02</v>
      </c>
      <c r="Q1466" s="11" t="n">
        <v>7.65</v>
      </c>
      <c r="R1466" s="11" t="n">
        <f aca="false">SUM(K1466:Q1466)</f>
        <v>121.51</v>
      </c>
      <c r="S1466" s="11" t="n">
        <f aca="false">R1466/(1-Resumo!$C$6)</f>
        <v>138.079545454545</v>
      </c>
      <c r="T1466" s="11" t="n">
        <f aca="false">S1466-J1466</f>
        <v>58.1295454545455</v>
      </c>
      <c r="U1466" s="12" t="n">
        <f aca="false">IFERROR(S1466/J1466-1,0)</f>
        <v>0.727073739268861</v>
      </c>
      <c r="V1466" s="2" t="str">
        <f aca="false">IF(S1466&lt;J1466,"SIM","NÃO")</f>
        <v>NÃO</v>
      </c>
      <c r="W1466" s="2" t="n">
        <v>10</v>
      </c>
      <c r="X1466" s="2" t="s">
        <v>161</v>
      </c>
    </row>
    <row r="1467" customFormat="false" ht="15" hidden="false" customHeight="false" outlineLevel="0" collapsed="false">
      <c r="A1467" s="2" t="n">
        <v>386101171</v>
      </c>
      <c r="B1467" s="29" t="n">
        <v>46264.6690625</v>
      </c>
      <c r="C1467" s="2" t="s">
        <v>158</v>
      </c>
      <c r="D1467" s="2" t="s">
        <v>1558</v>
      </c>
      <c r="E1467" s="2" t="s">
        <v>78</v>
      </c>
      <c r="F1467" s="2" t="s">
        <v>109</v>
      </c>
      <c r="G1467" s="30" t="n">
        <v>55</v>
      </c>
      <c r="H1467" s="11" t="n">
        <v>676</v>
      </c>
      <c r="I1467" s="11" t="s">
        <v>155</v>
      </c>
      <c r="J1467" s="11" t="n">
        <v>114.39</v>
      </c>
      <c r="K1467" s="11" t="n">
        <v>112.3</v>
      </c>
      <c r="L1467" s="11" t="n">
        <v>0.676</v>
      </c>
      <c r="M1467" s="11" t="n">
        <v>1.352</v>
      </c>
      <c r="N1467" s="11" t="n">
        <v>1</v>
      </c>
      <c r="O1467" s="11" t="n">
        <v>4.5</v>
      </c>
      <c r="P1467" s="11" t="n">
        <v>3.3</v>
      </c>
      <c r="Q1467" s="11" t="n">
        <v>24.75</v>
      </c>
      <c r="R1467" s="11" t="n">
        <f aca="false">SUM(K1467:Q1467)</f>
        <v>147.878</v>
      </c>
      <c r="S1467" s="11" t="n">
        <f aca="false">R1467/(1-Resumo!$C$6)</f>
        <v>168.043181818182</v>
      </c>
      <c r="T1467" s="11" t="n">
        <f aca="false">S1467-J1467</f>
        <v>53.6531818181818</v>
      </c>
      <c r="U1467" s="12" t="n">
        <f aca="false">IFERROR(S1467/J1467-1,0)</f>
        <v>0.469037344332387</v>
      </c>
      <c r="V1467" s="2" t="str">
        <f aca="false">IF(S1467&lt;J1467,"SIM","NÃO")</f>
        <v>NÃO</v>
      </c>
      <c r="W1467" s="2" t="n">
        <v>5</v>
      </c>
      <c r="X1467" s="2" t="s">
        <v>156</v>
      </c>
    </row>
    <row r="1468" customFormat="false" ht="15" hidden="false" customHeight="false" outlineLevel="0" collapsed="false">
      <c r="A1468" s="2" t="n">
        <v>386028737</v>
      </c>
      <c r="B1468" s="29" t="n">
        <v>46264.6761226852</v>
      </c>
      <c r="C1468" s="2" t="s">
        <v>153</v>
      </c>
      <c r="D1468" s="2" t="s">
        <v>931</v>
      </c>
      <c r="E1468" s="2" t="s">
        <v>78</v>
      </c>
      <c r="F1468" s="2" t="s">
        <v>113</v>
      </c>
      <c r="G1468" s="30" t="n">
        <v>106.5</v>
      </c>
      <c r="H1468" s="11" t="n">
        <v>1077.9</v>
      </c>
      <c r="I1468" s="11" t="s">
        <v>155</v>
      </c>
      <c r="J1468" s="11" t="n">
        <v>184.82</v>
      </c>
      <c r="K1468" s="11" t="n">
        <v>201.59</v>
      </c>
      <c r="L1468" s="11" t="n">
        <v>1.0779</v>
      </c>
      <c r="M1468" s="11" t="n">
        <v>2.1558</v>
      </c>
      <c r="N1468" s="11" t="n">
        <v>1</v>
      </c>
      <c r="O1468" s="11" t="n">
        <v>9</v>
      </c>
      <c r="P1468" s="11" t="n">
        <v>6.42</v>
      </c>
      <c r="Q1468" s="11" t="n">
        <v>48.15</v>
      </c>
      <c r="R1468" s="11" t="n">
        <f aca="false">SUM(K1468:Q1468)</f>
        <v>269.3937</v>
      </c>
      <c r="S1468" s="11" t="n">
        <f aca="false">R1468/(1-Resumo!$C$6)</f>
        <v>306.129204545455</v>
      </c>
      <c r="T1468" s="11" t="n">
        <f aca="false">S1468-J1468</f>
        <v>121.309204545455</v>
      </c>
      <c r="U1468" s="12" t="n">
        <f aca="false">IFERROR(S1468/J1468-1,0)</f>
        <v>0.656364054460851</v>
      </c>
      <c r="V1468" s="2" t="str">
        <f aca="false">IF(S1468&lt;J1468,"SIM","NÃO")</f>
        <v>NÃO</v>
      </c>
      <c r="W1468" s="2" t="n">
        <v>5</v>
      </c>
      <c r="X1468" s="2" t="s">
        <v>156</v>
      </c>
    </row>
    <row r="1469" customFormat="false" ht="15" hidden="false" customHeight="false" outlineLevel="0" collapsed="false">
      <c r="A1469" s="2" t="n">
        <v>386038391</v>
      </c>
      <c r="B1469" s="29" t="n">
        <v>46264.6938310185</v>
      </c>
      <c r="C1469" s="2" t="s">
        <v>191</v>
      </c>
      <c r="D1469" s="2" t="s">
        <v>1559</v>
      </c>
      <c r="E1469" s="2" t="s">
        <v>80</v>
      </c>
      <c r="F1469" s="2" t="s">
        <v>113</v>
      </c>
      <c r="G1469" s="30" t="n">
        <v>106.5</v>
      </c>
      <c r="H1469" s="11" t="n">
        <v>947.49</v>
      </c>
      <c r="I1469" s="11" t="s">
        <v>155</v>
      </c>
      <c r="J1469" s="11" t="n">
        <v>194.36</v>
      </c>
      <c r="K1469" s="11" t="n">
        <v>201.59</v>
      </c>
      <c r="L1469" s="11" t="n">
        <v>0.9475</v>
      </c>
      <c r="M1469" s="11" t="n">
        <v>1.895</v>
      </c>
      <c r="N1469" s="11" t="n">
        <v>1</v>
      </c>
      <c r="O1469" s="11" t="n">
        <v>9</v>
      </c>
      <c r="P1469" s="11" t="n">
        <v>6.42</v>
      </c>
      <c r="Q1469" s="11" t="n">
        <v>48.15</v>
      </c>
      <c r="R1469" s="11" t="n">
        <f aca="false">SUM(K1469:Q1469)</f>
        <v>269.0025</v>
      </c>
      <c r="S1469" s="11" t="n">
        <f aca="false">R1469/(1-Resumo!$C$6)</f>
        <v>305.684659090909</v>
      </c>
      <c r="T1469" s="11" t="n">
        <f aca="false">S1469-J1469</f>
        <v>111.324659090909</v>
      </c>
      <c r="U1469" s="12" t="n">
        <f aca="false">IFERROR(S1469/J1469-1,0)</f>
        <v>0.572775566427809</v>
      </c>
      <c r="V1469" s="2" t="str">
        <f aca="false">IF(S1469&lt;J1469,"SIM","NÃO")</f>
        <v>NÃO</v>
      </c>
      <c r="W1469" s="2" t="n">
        <v>5</v>
      </c>
      <c r="X1469" s="2" t="s">
        <v>156</v>
      </c>
    </row>
    <row r="1470" customFormat="false" ht="15" hidden="false" customHeight="false" outlineLevel="0" collapsed="false">
      <c r="A1470" s="2" t="n">
        <v>386062475</v>
      </c>
      <c r="B1470" s="29" t="n">
        <v>46264.7291550926</v>
      </c>
      <c r="C1470" s="2" t="s">
        <v>153</v>
      </c>
      <c r="D1470" s="2" t="s">
        <v>1560</v>
      </c>
      <c r="E1470" s="2" t="s">
        <v>78</v>
      </c>
      <c r="F1470" s="2" t="s">
        <v>113</v>
      </c>
      <c r="G1470" s="30" t="n">
        <v>106.5</v>
      </c>
      <c r="H1470" s="11" t="n">
        <v>1077.9</v>
      </c>
      <c r="I1470" s="11" t="s">
        <v>155</v>
      </c>
      <c r="J1470" s="11" t="n">
        <v>184.82</v>
      </c>
      <c r="K1470" s="11" t="n">
        <v>201.59</v>
      </c>
      <c r="L1470" s="11" t="n">
        <v>1.0779</v>
      </c>
      <c r="M1470" s="11" t="n">
        <v>2.1558</v>
      </c>
      <c r="N1470" s="11" t="n">
        <v>1</v>
      </c>
      <c r="O1470" s="11" t="n">
        <v>9</v>
      </c>
      <c r="P1470" s="11" t="n">
        <v>6.42</v>
      </c>
      <c r="Q1470" s="11" t="n">
        <v>48.15</v>
      </c>
      <c r="R1470" s="11" t="n">
        <f aca="false">SUM(K1470:Q1470)</f>
        <v>269.3937</v>
      </c>
      <c r="S1470" s="11" t="n">
        <f aca="false">R1470/(1-Resumo!$C$6)</f>
        <v>306.129204545455</v>
      </c>
      <c r="T1470" s="11" t="n">
        <f aca="false">S1470-J1470</f>
        <v>121.309204545455</v>
      </c>
      <c r="U1470" s="12" t="n">
        <f aca="false">IFERROR(S1470/J1470-1,0)</f>
        <v>0.656364054460851</v>
      </c>
      <c r="V1470" s="2" t="str">
        <f aca="false">IF(S1470&lt;J1470,"SIM","NÃO")</f>
        <v>NÃO</v>
      </c>
      <c r="W1470" s="2" t="n">
        <v>5</v>
      </c>
      <c r="X1470" s="2" t="s">
        <v>156</v>
      </c>
    </row>
    <row r="1471" customFormat="false" ht="15" hidden="false" customHeight="false" outlineLevel="0" collapsed="false">
      <c r="A1471" s="2" t="n">
        <v>386075289</v>
      </c>
      <c r="B1471" s="29" t="n">
        <v>46264.7536921296</v>
      </c>
      <c r="C1471" s="2" t="s">
        <v>153</v>
      </c>
      <c r="D1471" s="2" t="s">
        <v>1561</v>
      </c>
      <c r="E1471" s="2" t="s">
        <v>88</v>
      </c>
      <c r="F1471" s="2" t="s">
        <v>106</v>
      </c>
      <c r="G1471" s="30" t="n">
        <v>27.5</v>
      </c>
      <c r="H1471" s="11" t="n">
        <v>335.12</v>
      </c>
      <c r="I1471" s="11" t="s">
        <v>155</v>
      </c>
      <c r="J1471" s="11" t="n">
        <v>108.78</v>
      </c>
      <c r="K1471" s="11" t="n">
        <v>108.83</v>
      </c>
      <c r="L1471" s="11" t="n">
        <v>0.3351</v>
      </c>
      <c r="M1471" s="11" t="n">
        <v>0.6702</v>
      </c>
      <c r="N1471" s="11" t="n">
        <v>1</v>
      </c>
      <c r="O1471" s="11" t="n">
        <v>4.5</v>
      </c>
      <c r="P1471" s="11" t="n">
        <v>1.68</v>
      </c>
      <c r="Q1471" s="11" t="n">
        <v>12.6</v>
      </c>
      <c r="R1471" s="11" t="n">
        <f aca="false">SUM(K1471:Q1471)</f>
        <v>129.6153</v>
      </c>
      <c r="S1471" s="11" t="n">
        <f aca="false">R1471/(1-Resumo!$C$6)</f>
        <v>147.290113636364</v>
      </c>
      <c r="T1471" s="11" t="n">
        <f aca="false">S1471-J1471</f>
        <v>38.5101136363636</v>
      </c>
      <c r="U1471" s="12" t="n">
        <f aca="false">IFERROR(S1471/J1471-1,0)</f>
        <v>0.354018327232613</v>
      </c>
      <c r="V1471" s="2" t="str">
        <f aca="false">IF(S1471&lt;J1471,"SIM","NÃO")</f>
        <v>NÃO</v>
      </c>
      <c r="W1471" s="2" t="n">
        <v>10</v>
      </c>
      <c r="X1471" s="2" t="s">
        <v>156</v>
      </c>
    </row>
    <row r="1472" customFormat="false" ht="15" hidden="false" customHeight="false" outlineLevel="0" collapsed="false">
      <c r="A1472" s="2" t="n">
        <v>386093745</v>
      </c>
      <c r="B1472" s="29" t="n">
        <v>46264.783275463</v>
      </c>
      <c r="C1472" s="2" t="s">
        <v>153</v>
      </c>
      <c r="D1472" s="2" t="s">
        <v>1562</v>
      </c>
      <c r="E1472" s="2" t="s">
        <v>95</v>
      </c>
      <c r="F1472" s="2" t="s">
        <v>105</v>
      </c>
      <c r="G1472" s="30" t="n">
        <v>19.5</v>
      </c>
      <c r="H1472" s="11" t="n">
        <v>549.99</v>
      </c>
      <c r="I1472" s="11" t="s">
        <v>155</v>
      </c>
      <c r="J1472" s="11" t="n">
        <v>81.3</v>
      </c>
      <c r="K1472" s="11" t="n">
        <v>89.03</v>
      </c>
      <c r="L1472" s="11" t="n">
        <v>0.55</v>
      </c>
      <c r="M1472" s="11" t="n">
        <v>1.1</v>
      </c>
      <c r="N1472" s="11" t="n">
        <v>1</v>
      </c>
      <c r="O1472" s="11" t="n">
        <v>4.5</v>
      </c>
      <c r="P1472" s="11" t="n">
        <v>1.2</v>
      </c>
      <c r="Q1472" s="11" t="n">
        <v>9</v>
      </c>
      <c r="R1472" s="11" t="n">
        <f aca="false">SUM(K1472:Q1472)</f>
        <v>106.38</v>
      </c>
      <c r="S1472" s="11" t="n">
        <f aca="false">R1472/(1-Resumo!$C$6)</f>
        <v>120.886363636364</v>
      </c>
      <c r="T1472" s="11" t="n">
        <f aca="false">S1472-J1472</f>
        <v>39.5863636363636</v>
      </c>
      <c r="U1472" s="12" t="n">
        <f aca="false">IFERROR(S1472/J1472-1,0)</f>
        <v>0.486917141898692</v>
      </c>
      <c r="V1472" s="2" t="str">
        <f aca="false">IF(S1472&lt;J1472,"SIM","NÃO")</f>
        <v>NÃO</v>
      </c>
      <c r="W1472" s="2" t="n">
        <v>6</v>
      </c>
      <c r="X1472" s="2" t="s">
        <v>156</v>
      </c>
    </row>
    <row r="1473" customFormat="false" ht="15" hidden="false" customHeight="false" outlineLevel="0" collapsed="false">
      <c r="A1473" s="2" t="n">
        <v>386144293</v>
      </c>
      <c r="B1473" s="29" t="n">
        <v>46264.847962963</v>
      </c>
      <c r="C1473" s="2" t="s">
        <v>158</v>
      </c>
      <c r="D1473" s="2" t="s">
        <v>1563</v>
      </c>
      <c r="E1473" s="2" t="s">
        <v>81</v>
      </c>
      <c r="F1473" s="2" t="s">
        <v>106</v>
      </c>
      <c r="G1473" s="30" t="n">
        <v>27.5</v>
      </c>
      <c r="H1473" s="11" t="n">
        <v>343</v>
      </c>
      <c r="I1473" s="11" t="s">
        <v>155</v>
      </c>
      <c r="J1473" s="11" t="n">
        <v>101.05</v>
      </c>
      <c r="K1473" s="11" t="n">
        <v>82.21</v>
      </c>
      <c r="L1473" s="11" t="n">
        <v>0.343</v>
      </c>
      <c r="M1473" s="11" t="n">
        <v>0.686</v>
      </c>
      <c r="N1473" s="11" t="n">
        <v>1</v>
      </c>
      <c r="O1473" s="11" t="n">
        <v>4.5</v>
      </c>
      <c r="P1473" s="11" t="n">
        <v>1.68</v>
      </c>
      <c r="Q1473" s="11" t="n">
        <v>12.6</v>
      </c>
      <c r="R1473" s="11" t="n">
        <f aca="false">SUM(K1473:Q1473)</f>
        <v>103.019</v>
      </c>
      <c r="S1473" s="11" t="n">
        <f aca="false">R1473/(1-Resumo!$C$6)</f>
        <v>117.067045454545</v>
      </c>
      <c r="T1473" s="11" t="n">
        <f aca="false">S1473-J1473</f>
        <v>16.0170454545455</v>
      </c>
      <c r="U1473" s="12" t="n">
        <f aca="false">IFERROR(S1473/J1473-1,0)</f>
        <v>0.158506140074671</v>
      </c>
      <c r="V1473" s="2" t="str">
        <f aca="false">IF(S1473&lt;J1473,"SIM","NÃO")</f>
        <v>NÃO</v>
      </c>
      <c r="W1473" s="2" t="n">
        <v>5</v>
      </c>
      <c r="X1473" s="2" t="s">
        <v>156</v>
      </c>
    </row>
    <row r="1474" customFormat="false" ht="15" hidden="false" customHeight="false" outlineLevel="0" collapsed="false">
      <c r="A1474" s="2" t="n">
        <v>386207806</v>
      </c>
      <c r="B1474" s="29" t="n">
        <v>46264.9767708333</v>
      </c>
      <c r="C1474" s="2" t="s">
        <v>153</v>
      </c>
      <c r="D1474" s="2" t="s">
        <v>1564</v>
      </c>
      <c r="E1474" s="2" t="s">
        <v>1565</v>
      </c>
      <c r="F1474" s="2" t="s">
        <v>110</v>
      </c>
      <c r="G1474" s="30" t="n">
        <v>66.8</v>
      </c>
      <c r="H1474" s="11" t="n">
        <v>719.99</v>
      </c>
      <c r="I1474" s="11" t="s">
        <v>155</v>
      </c>
      <c r="J1474" s="11" t="n">
        <v>155.47</v>
      </c>
      <c r="K1474" s="11" t="n">
        <v>171.54</v>
      </c>
      <c r="L1474" s="11" t="n">
        <v>0.72</v>
      </c>
      <c r="M1474" s="11" t="n">
        <v>1.44</v>
      </c>
      <c r="N1474" s="11" t="n">
        <v>1</v>
      </c>
      <c r="O1474" s="11" t="n">
        <v>4.5</v>
      </c>
      <c r="P1474" s="11" t="n">
        <v>4.02</v>
      </c>
      <c r="Q1474" s="11" t="n">
        <v>30.15</v>
      </c>
      <c r="R1474" s="11" t="n">
        <f aca="false">SUM(K1474:Q1474)</f>
        <v>213.37</v>
      </c>
      <c r="S1474" s="11" t="n">
        <f aca="false">R1474/(1-Resumo!$C$6)</f>
        <v>242.465909090909</v>
      </c>
      <c r="T1474" s="11" t="n">
        <f aca="false">S1474-J1474</f>
        <v>86.9959090909091</v>
      </c>
      <c r="U1474" s="12" t="n">
        <f aca="false">IFERROR(S1474/J1474-1,0)</f>
        <v>0.559567177532058</v>
      </c>
      <c r="V1474" s="2" t="str">
        <f aca="false">IF(S1474&lt;J1474,"SIM","NÃO")</f>
        <v>NÃO</v>
      </c>
      <c r="W1474" s="2" t="n">
        <v>11</v>
      </c>
      <c r="X1474" s="2" t="s">
        <v>161</v>
      </c>
    </row>
    <row r="1475" customFormat="false" ht="15" hidden="false" customHeight="false" outlineLevel="0" collapsed="false">
      <c r="A1475" s="2" t="n">
        <v>386216093</v>
      </c>
      <c r="B1475" s="29" t="n">
        <v>46264.990625</v>
      </c>
      <c r="C1475" s="2" t="s">
        <v>158</v>
      </c>
      <c r="D1475" s="2" t="s">
        <v>1566</v>
      </c>
      <c r="E1475" s="2" t="s">
        <v>85</v>
      </c>
      <c r="F1475" s="2" t="s">
        <v>109</v>
      </c>
      <c r="G1475" s="30" t="n">
        <v>52.3</v>
      </c>
      <c r="H1475" s="11" t="n">
        <v>616.99</v>
      </c>
      <c r="I1475" s="11" t="s">
        <v>155</v>
      </c>
      <c r="J1475" s="11" t="n">
        <v>142.61</v>
      </c>
      <c r="K1475" s="11" t="n">
        <v>162.04</v>
      </c>
      <c r="L1475" s="11" t="n">
        <v>0.617</v>
      </c>
      <c r="M1475" s="11" t="n">
        <v>1.234</v>
      </c>
      <c r="N1475" s="11" t="n">
        <v>1</v>
      </c>
      <c r="O1475" s="11" t="n">
        <v>4.5</v>
      </c>
      <c r="P1475" s="11" t="n">
        <v>3.18</v>
      </c>
      <c r="Q1475" s="11" t="n">
        <v>23.85</v>
      </c>
      <c r="R1475" s="11" t="n">
        <f aca="false">SUM(K1475:Q1475)</f>
        <v>196.421</v>
      </c>
      <c r="S1475" s="11" t="n">
        <f aca="false">R1475/(1-Resumo!$C$6)</f>
        <v>223.205681818182</v>
      </c>
      <c r="T1475" s="11" t="n">
        <f aca="false">S1475-J1475</f>
        <v>80.5956818181818</v>
      </c>
      <c r="U1475" s="12" t="n">
        <f aca="false">IFERROR(S1475/J1475-1,0)</f>
        <v>0.565147477863977</v>
      </c>
      <c r="V1475" s="2" t="str">
        <f aca="false">IF(S1475&lt;J1475,"SIM","NÃO")</f>
        <v>NÃO</v>
      </c>
      <c r="W1475" s="2" t="n">
        <v>11</v>
      </c>
      <c r="X1475" s="2" t="s">
        <v>156</v>
      </c>
    </row>
    <row r="1476" customFormat="false" ht="15" hidden="false" customHeight="false" outlineLevel="0" collapsed="false">
      <c r="A1476" s="2" t="n">
        <v>386384292</v>
      </c>
      <c r="B1476" s="29" t="n">
        <v>46265.3753587963</v>
      </c>
      <c r="C1476" s="2" t="s">
        <v>153</v>
      </c>
      <c r="D1476" s="2" t="s">
        <v>383</v>
      </c>
      <c r="E1476" s="2" t="s">
        <v>384</v>
      </c>
      <c r="F1476" s="2" t="s">
        <v>109</v>
      </c>
      <c r="G1476" s="30" t="n">
        <v>52.3</v>
      </c>
      <c r="H1476" s="11" t="n">
        <v>627.28</v>
      </c>
      <c r="I1476" s="11" t="s">
        <v>155</v>
      </c>
      <c r="J1476" s="11" t="n">
        <v>142.67</v>
      </c>
      <c r="K1476" s="11" t="n">
        <v>162.04</v>
      </c>
      <c r="L1476" s="11" t="n">
        <v>0.6273</v>
      </c>
      <c r="M1476" s="11" t="n">
        <v>1.2546</v>
      </c>
      <c r="N1476" s="11" t="n">
        <v>1</v>
      </c>
      <c r="O1476" s="11" t="n">
        <v>4.5</v>
      </c>
      <c r="P1476" s="11" t="n">
        <v>3.18</v>
      </c>
      <c r="Q1476" s="11" t="n">
        <v>23.85</v>
      </c>
      <c r="R1476" s="11" t="n">
        <f aca="false">SUM(K1476:Q1476)</f>
        <v>196.4519</v>
      </c>
      <c r="S1476" s="11" t="n">
        <f aca="false">R1476/(1-Resumo!$C$6)</f>
        <v>223.240795454545</v>
      </c>
      <c r="T1476" s="11" t="n">
        <f aca="false">S1476-J1476</f>
        <v>80.5707954545455</v>
      </c>
      <c r="U1476" s="12" t="n">
        <f aca="false">IFERROR(S1476/J1476-1,0)</f>
        <v>0.564735371518508</v>
      </c>
      <c r="V1476" s="2" t="str">
        <f aca="false">IF(S1476&lt;J1476,"SIM","NÃO")</f>
        <v>NÃO</v>
      </c>
      <c r="W1476" s="2" t="n">
        <v>11</v>
      </c>
      <c r="X1476" s="2" t="s">
        <v>161</v>
      </c>
    </row>
    <row r="1477" customFormat="false" ht="15" hidden="false" customHeight="false" outlineLevel="0" collapsed="false">
      <c r="A1477" s="2" t="n">
        <v>386481536</v>
      </c>
      <c r="B1477" s="29" t="n">
        <v>46265.3817013889</v>
      </c>
      <c r="C1477" s="2" t="s">
        <v>158</v>
      </c>
      <c r="D1477" s="2" t="s">
        <v>1567</v>
      </c>
      <c r="E1477" s="2" t="s">
        <v>78</v>
      </c>
      <c r="F1477" s="2" t="s">
        <v>114</v>
      </c>
      <c r="G1477" s="30" t="n">
        <v>124.2</v>
      </c>
      <c r="H1477" s="11" t="n">
        <v>1699.99</v>
      </c>
      <c r="I1477" s="11" t="s">
        <v>155</v>
      </c>
      <c r="J1477" s="11" t="n">
        <v>234.44</v>
      </c>
      <c r="K1477" s="11" t="n">
        <v>239.25</v>
      </c>
      <c r="L1477" s="11" t="n">
        <v>1.7</v>
      </c>
      <c r="M1477" s="11" t="n">
        <v>3.4</v>
      </c>
      <c r="N1477" s="11" t="n">
        <v>1</v>
      </c>
      <c r="O1477" s="11" t="n">
        <v>9</v>
      </c>
      <c r="P1477" s="11" t="n">
        <v>7.5</v>
      </c>
      <c r="Q1477" s="11" t="n">
        <v>56.25</v>
      </c>
      <c r="R1477" s="11" t="n">
        <f aca="false">SUM(K1477:Q1477)</f>
        <v>318.1</v>
      </c>
      <c r="S1477" s="11" t="n">
        <f aca="false">R1477/(1-Resumo!$C$6)</f>
        <v>361.477272727273</v>
      </c>
      <c r="T1477" s="11" t="n">
        <f aca="false">S1477-J1477</f>
        <v>127.037272727273</v>
      </c>
      <c r="U1477" s="12" t="n">
        <f aca="false">IFERROR(S1477/J1477-1,0)</f>
        <v>0.54187541685409</v>
      </c>
      <c r="V1477" s="2" t="str">
        <f aca="false">IF(S1477&lt;J1477,"SIM","NÃO")</f>
        <v>NÃO</v>
      </c>
      <c r="W1477" s="2" t="n">
        <v>5</v>
      </c>
      <c r="X1477" s="2" t="s">
        <v>156</v>
      </c>
    </row>
    <row r="1478" customFormat="false" ht="15" hidden="false" customHeight="false" outlineLevel="0" collapsed="false">
      <c r="A1478" s="2" t="n">
        <v>386489157</v>
      </c>
      <c r="B1478" s="29" t="n">
        <v>46265.5163657407</v>
      </c>
      <c r="C1478" s="2" t="s">
        <v>153</v>
      </c>
      <c r="D1478" s="2" t="s">
        <v>1568</v>
      </c>
      <c r="E1478" s="2" t="s">
        <v>78</v>
      </c>
      <c r="F1478" s="2" t="s">
        <v>109</v>
      </c>
      <c r="G1478" s="30" t="n">
        <v>52.3</v>
      </c>
      <c r="H1478" s="11" t="n">
        <v>699.99</v>
      </c>
      <c r="I1478" s="11" t="s">
        <v>155</v>
      </c>
      <c r="J1478" s="11" t="n">
        <v>114.5</v>
      </c>
      <c r="K1478" s="11" t="n">
        <v>112.3</v>
      </c>
      <c r="L1478" s="11" t="n">
        <v>0.7</v>
      </c>
      <c r="M1478" s="11" t="n">
        <v>1.4</v>
      </c>
      <c r="N1478" s="11" t="n">
        <v>1</v>
      </c>
      <c r="O1478" s="11" t="n">
        <v>4.5</v>
      </c>
      <c r="P1478" s="11" t="n">
        <v>3.18</v>
      </c>
      <c r="Q1478" s="11" t="n">
        <v>23.85</v>
      </c>
      <c r="R1478" s="11" t="n">
        <f aca="false">SUM(K1478:Q1478)</f>
        <v>146.93</v>
      </c>
      <c r="S1478" s="11" t="n">
        <f aca="false">R1478/(1-Resumo!$C$6)</f>
        <v>166.965909090909</v>
      </c>
      <c r="T1478" s="11" t="n">
        <f aca="false">S1478-J1478</f>
        <v>52.4659090909091</v>
      </c>
      <c r="U1478" s="12" t="n">
        <f aca="false">IFERROR(S1478/J1478-1,0)</f>
        <v>0.458217546645494</v>
      </c>
      <c r="V1478" s="2" t="str">
        <f aca="false">IF(S1478&lt;J1478,"SIM","NÃO")</f>
        <v>NÃO</v>
      </c>
      <c r="W1478" s="2" t="n">
        <v>5</v>
      </c>
      <c r="X1478" s="2" t="s">
        <v>156</v>
      </c>
    </row>
    <row r="1479" customFormat="false" ht="15" hidden="false" customHeight="false" outlineLevel="0" collapsed="false">
      <c r="A1479" s="2" t="n">
        <v>386522327</v>
      </c>
      <c r="B1479" s="29" t="n">
        <v>46265.5685648148</v>
      </c>
      <c r="C1479" s="2" t="s">
        <v>153</v>
      </c>
      <c r="D1479" s="2" t="s">
        <v>659</v>
      </c>
      <c r="E1479" s="2" t="s">
        <v>660</v>
      </c>
      <c r="F1479" s="2" t="s">
        <v>109</v>
      </c>
      <c r="G1479" s="30" t="n">
        <v>52.3</v>
      </c>
      <c r="H1479" s="11" t="n">
        <v>699.99</v>
      </c>
      <c r="I1479" s="11" t="s">
        <v>155</v>
      </c>
      <c r="J1479" s="11" t="n">
        <v>143.02</v>
      </c>
      <c r="K1479" s="11" t="n">
        <v>144.53</v>
      </c>
      <c r="L1479" s="11" t="n">
        <v>0.7</v>
      </c>
      <c r="M1479" s="11" t="n">
        <v>1.4</v>
      </c>
      <c r="N1479" s="11" t="n">
        <v>1</v>
      </c>
      <c r="O1479" s="11" t="n">
        <v>4.5</v>
      </c>
      <c r="P1479" s="11" t="n">
        <v>3.18</v>
      </c>
      <c r="Q1479" s="11" t="n">
        <v>23.85</v>
      </c>
      <c r="R1479" s="11" t="n">
        <f aca="false">SUM(K1479:Q1479)</f>
        <v>179.16</v>
      </c>
      <c r="S1479" s="11" t="n">
        <f aca="false">R1479/(1-Resumo!$C$6)</f>
        <v>203.590909090909</v>
      </c>
      <c r="T1479" s="11" t="n">
        <f aca="false">S1479-J1479</f>
        <v>60.5709090909091</v>
      </c>
      <c r="U1479" s="12" t="n">
        <f aca="false">IFERROR(S1479/J1479-1,0)</f>
        <v>0.423513558180038</v>
      </c>
      <c r="V1479" s="2" t="str">
        <f aca="false">IF(S1479&lt;J1479,"SIM","NÃO")</f>
        <v>NÃO</v>
      </c>
      <c r="W1479" s="2" t="n">
        <v>10</v>
      </c>
      <c r="X1479" s="2" t="s">
        <v>161</v>
      </c>
    </row>
    <row r="1480" customFormat="false" ht="15" hidden="false" customHeight="false" outlineLevel="0" collapsed="false">
      <c r="A1480" s="2" t="n">
        <v>386636858</v>
      </c>
      <c r="B1480" s="29" t="n">
        <v>46265.6210416667</v>
      </c>
      <c r="C1480" s="2" t="s">
        <v>158</v>
      </c>
      <c r="D1480" s="2" t="s">
        <v>1569</v>
      </c>
      <c r="E1480" s="2" t="s">
        <v>83</v>
      </c>
      <c r="F1480" s="2" t="s">
        <v>113</v>
      </c>
      <c r="G1480" s="30" t="n">
        <v>106.5</v>
      </c>
      <c r="H1480" s="11" t="n">
        <v>1083.69</v>
      </c>
      <c r="I1480" s="11" t="s">
        <v>155</v>
      </c>
      <c r="J1480" s="11" t="n">
        <v>215.85</v>
      </c>
      <c r="K1480" s="11" t="n">
        <v>236.82</v>
      </c>
      <c r="L1480" s="11" t="n">
        <v>1.0837</v>
      </c>
      <c r="M1480" s="11" t="n">
        <v>2.1674</v>
      </c>
      <c r="N1480" s="11" t="n">
        <v>1</v>
      </c>
      <c r="O1480" s="11" t="n">
        <v>9</v>
      </c>
      <c r="P1480" s="11" t="n">
        <v>6.42</v>
      </c>
      <c r="Q1480" s="11" t="n">
        <v>48.15</v>
      </c>
      <c r="R1480" s="11" t="n">
        <f aca="false">SUM(K1480:Q1480)</f>
        <v>304.6411</v>
      </c>
      <c r="S1480" s="11" t="n">
        <f aca="false">R1480/(1-Resumo!$C$6)</f>
        <v>346.183068181818</v>
      </c>
      <c r="T1480" s="11" t="n">
        <f aca="false">S1480-J1480</f>
        <v>130.333068181818</v>
      </c>
      <c r="U1480" s="12" t="n">
        <f aca="false">IFERROR(S1480/J1480-1,0)</f>
        <v>0.603813148861794</v>
      </c>
      <c r="V1480" s="2" t="str">
        <f aca="false">IF(S1480&lt;J1480,"SIM","NÃO")</f>
        <v>NÃO</v>
      </c>
      <c r="W1480" s="2" t="n">
        <v>11</v>
      </c>
      <c r="X1480" s="2" t="s">
        <v>156</v>
      </c>
    </row>
    <row r="1481" customFormat="false" ht="15" hidden="false" customHeight="false" outlineLevel="0" collapsed="false">
      <c r="A1481" s="2" t="n">
        <v>386563645</v>
      </c>
      <c r="B1481" s="29" t="n">
        <v>46265.6374189815</v>
      </c>
      <c r="C1481" s="2" t="s">
        <v>153</v>
      </c>
      <c r="D1481" s="2" t="s">
        <v>1570</v>
      </c>
      <c r="E1481" s="2" t="s">
        <v>78</v>
      </c>
      <c r="F1481" s="2" t="s">
        <v>106</v>
      </c>
      <c r="G1481" s="30" t="n">
        <v>27.4</v>
      </c>
      <c r="H1481" s="11" t="n">
        <v>329.99</v>
      </c>
      <c r="I1481" s="11" t="s">
        <v>155</v>
      </c>
      <c r="J1481" s="11" t="n">
        <v>81.91</v>
      </c>
      <c r="K1481" s="11" t="n">
        <v>82.21</v>
      </c>
      <c r="L1481" s="11" t="n">
        <v>0.33</v>
      </c>
      <c r="M1481" s="11" t="n">
        <v>0.66</v>
      </c>
      <c r="N1481" s="11" t="n">
        <v>1</v>
      </c>
      <c r="O1481" s="11" t="n">
        <v>4.5</v>
      </c>
      <c r="P1481" s="11" t="n">
        <v>1.68</v>
      </c>
      <c r="Q1481" s="11" t="n">
        <v>12.6</v>
      </c>
      <c r="R1481" s="11" t="n">
        <f aca="false">SUM(K1481:Q1481)</f>
        <v>102.98</v>
      </c>
      <c r="S1481" s="11" t="n">
        <f aca="false">R1481/(1-Resumo!$C$6)</f>
        <v>117.022727272727</v>
      </c>
      <c r="T1481" s="11" t="n">
        <f aca="false">S1481-J1481</f>
        <v>35.1127272727273</v>
      </c>
      <c r="U1481" s="12" t="n">
        <f aca="false">IFERROR(S1481/J1481-1,0)</f>
        <v>0.428674487519561</v>
      </c>
      <c r="V1481" s="2" t="str">
        <f aca="false">IF(S1481&lt;J1481,"SIM","NÃO")</f>
        <v>NÃO</v>
      </c>
      <c r="W1481" s="2" t="n">
        <v>5</v>
      </c>
      <c r="X1481" s="2" t="s">
        <v>156</v>
      </c>
    </row>
    <row r="1482" customFormat="false" ht="15" hidden="false" customHeight="false" outlineLevel="0" collapsed="false">
      <c r="A1482" s="2" t="n">
        <v>386620753</v>
      </c>
      <c r="B1482" s="29" t="n">
        <v>46265.7176273148</v>
      </c>
      <c r="C1482" s="2" t="s">
        <v>153</v>
      </c>
      <c r="D1482" s="2" t="s">
        <v>1571</v>
      </c>
      <c r="E1482" s="2" t="s">
        <v>80</v>
      </c>
      <c r="F1482" s="2" t="s">
        <v>109</v>
      </c>
      <c r="G1482" s="30" t="n">
        <v>52.3</v>
      </c>
      <c r="H1482" s="11" t="n">
        <v>699.99</v>
      </c>
      <c r="I1482" s="11" t="s">
        <v>155</v>
      </c>
      <c r="J1482" s="11" t="n">
        <v>128.64</v>
      </c>
      <c r="K1482" s="11" t="n">
        <v>112.3</v>
      </c>
      <c r="L1482" s="11" t="n">
        <v>0.7</v>
      </c>
      <c r="M1482" s="11" t="n">
        <v>1.4</v>
      </c>
      <c r="N1482" s="11" t="n">
        <v>1</v>
      </c>
      <c r="O1482" s="11" t="n">
        <v>4.5</v>
      </c>
      <c r="P1482" s="11" t="n">
        <v>3.18</v>
      </c>
      <c r="Q1482" s="11" t="n">
        <v>23.85</v>
      </c>
      <c r="R1482" s="11" t="n">
        <f aca="false">SUM(K1482:Q1482)</f>
        <v>146.93</v>
      </c>
      <c r="S1482" s="11" t="n">
        <f aca="false">R1482/(1-Resumo!$C$6)</f>
        <v>166.965909090909</v>
      </c>
      <c r="T1482" s="11" t="n">
        <f aca="false">S1482-J1482</f>
        <v>38.3259090909091</v>
      </c>
      <c r="U1482" s="12" t="n">
        <f aca="false">IFERROR(S1482/J1482-1,0)</f>
        <v>0.297931507236545</v>
      </c>
      <c r="V1482" s="2" t="str">
        <f aca="false">IF(S1482&lt;J1482,"SIM","NÃO")</f>
        <v>NÃO</v>
      </c>
      <c r="W1482" s="2" t="n">
        <v>5</v>
      </c>
      <c r="X1482" s="2" t="s">
        <v>156</v>
      </c>
    </row>
    <row r="1483" customFormat="false" ht="15" hidden="false" customHeight="false" outlineLevel="0" collapsed="false">
      <c r="A1483" s="2" t="n">
        <v>386645225</v>
      </c>
      <c r="B1483" s="29" t="n">
        <v>46265.765150463</v>
      </c>
      <c r="C1483" s="2" t="s">
        <v>178</v>
      </c>
      <c r="D1483" s="2" t="s">
        <v>1572</v>
      </c>
      <c r="E1483" s="2" t="s">
        <v>186</v>
      </c>
      <c r="F1483" s="2" t="s">
        <v>106</v>
      </c>
      <c r="G1483" s="30" t="n">
        <v>33</v>
      </c>
      <c r="H1483" s="11" t="n">
        <v>433.49</v>
      </c>
      <c r="I1483" s="11" t="s">
        <v>155</v>
      </c>
      <c r="J1483" s="11" t="n">
        <v>109.26</v>
      </c>
      <c r="K1483" s="11" t="n">
        <v>82.21</v>
      </c>
      <c r="L1483" s="11" t="n">
        <v>0.4335</v>
      </c>
      <c r="M1483" s="11" t="n">
        <v>0.867</v>
      </c>
      <c r="N1483" s="11" t="n">
        <v>1</v>
      </c>
      <c r="O1483" s="11" t="n">
        <v>4.5</v>
      </c>
      <c r="P1483" s="11" t="n">
        <v>1.98</v>
      </c>
      <c r="Q1483" s="11" t="n">
        <v>14.85</v>
      </c>
      <c r="R1483" s="11" t="n">
        <f aca="false">SUM(K1483:Q1483)</f>
        <v>105.8405</v>
      </c>
      <c r="S1483" s="11" t="n">
        <f aca="false">R1483/(1-Resumo!$C$6)</f>
        <v>120.273295454545</v>
      </c>
      <c r="T1483" s="11" t="n">
        <f aca="false">S1483-J1483</f>
        <v>11.0132954545454</v>
      </c>
      <c r="U1483" s="12" t="n">
        <f aca="false">IFERROR(S1483/J1483-1,0)</f>
        <v>0.100798969929942</v>
      </c>
      <c r="V1483" s="2" t="str">
        <f aca="false">IF(S1483&lt;J1483,"SIM","NÃO")</f>
        <v>NÃO</v>
      </c>
      <c r="W1483" s="2" t="n">
        <v>5</v>
      </c>
      <c r="X1483" s="2" t="s">
        <v>161</v>
      </c>
    </row>
    <row r="1484" customFormat="false" ht="15" hidden="false" customHeight="false" outlineLevel="0" collapsed="false">
      <c r="A1484" s="2" t="n">
        <v>386682340</v>
      </c>
      <c r="B1484" s="29" t="n">
        <v>46265.8141203704</v>
      </c>
      <c r="C1484" s="2" t="s">
        <v>158</v>
      </c>
      <c r="D1484" s="2" t="s">
        <v>1573</v>
      </c>
      <c r="E1484" s="2" t="s">
        <v>78</v>
      </c>
      <c r="F1484" s="2" t="s">
        <v>109</v>
      </c>
      <c r="G1484" s="30" t="n">
        <v>52.3</v>
      </c>
      <c r="H1484" s="11" t="n">
        <v>640.18</v>
      </c>
      <c r="I1484" s="11" t="s">
        <v>155</v>
      </c>
      <c r="J1484" s="11" t="n">
        <v>114.22</v>
      </c>
      <c r="K1484" s="11" t="n">
        <v>112.3</v>
      </c>
      <c r="L1484" s="11" t="n">
        <v>0.6402</v>
      </c>
      <c r="M1484" s="11" t="n">
        <v>1.2804</v>
      </c>
      <c r="N1484" s="11" t="n">
        <v>1</v>
      </c>
      <c r="O1484" s="11" t="n">
        <v>4.5</v>
      </c>
      <c r="P1484" s="11" t="n">
        <v>3.18</v>
      </c>
      <c r="Q1484" s="11" t="n">
        <v>23.85</v>
      </c>
      <c r="R1484" s="11" t="n">
        <f aca="false">SUM(K1484:Q1484)</f>
        <v>146.7506</v>
      </c>
      <c r="S1484" s="11" t="n">
        <f aca="false">R1484/(1-Resumo!$C$6)</f>
        <v>166.762045454545</v>
      </c>
      <c r="T1484" s="11" t="n">
        <f aca="false">S1484-J1484</f>
        <v>52.5420454545454</v>
      </c>
      <c r="U1484" s="12" t="n">
        <f aca="false">IFERROR(S1484/J1484-1,0)</f>
        <v>0.460007401983413</v>
      </c>
      <c r="V1484" s="2" t="str">
        <f aca="false">IF(S1484&lt;J1484,"SIM","NÃO")</f>
        <v>NÃO</v>
      </c>
      <c r="W1484" s="2" t="n">
        <v>5</v>
      </c>
      <c r="X1484" s="2" t="s">
        <v>156</v>
      </c>
    </row>
    <row r="1485" customFormat="false" ht="15" hidden="false" customHeight="false" outlineLevel="0" collapsed="false">
      <c r="A1485" s="2" t="n">
        <v>386697696</v>
      </c>
      <c r="B1485" s="29" t="n">
        <v>46265.8376273148</v>
      </c>
      <c r="C1485" s="2" t="s">
        <v>153</v>
      </c>
      <c r="D1485" s="2" t="s">
        <v>1574</v>
      </c>
      <c r="E1485" s="2" t="s">
        <v>78</v>
      </c>
      <c r="F1485" s="2" t="s">
        <v>109</v>
      </c>
      <c r="G1485" s="30" t="n">
        <v>52.3</v>
      </c>
      <c r="H1485" s="11" t="n">
        <v>627.28</v>
      </c>
      <c r="I1485" s="11" t="s">
        <v>155</v>
      </c>
      <c r="J1485" s="11" t="n">
        <v>114.15</v>
      </c>
      <c r="K1485" s="11" t="n">
        <v>112.3</v>
      </c>
      <c r="L1485" s="11" t="n">
        <v>0.6273</v>
      </c>
      <c r="M1485" s="11" t="n">
        <v>1.2546</v>
      </c>
      <c r="N1485" s="11" t="n">
        <v>1</v>
      </c>
      <c r="O1485" s="11" t="n">
        <v>4.5</v>
      </c>
      <c r="P1485" s="11" t="n">
        <v>3.18</v>
      </c>
      <c r="Q1485" s="11" t="n">
        <v>23.85</v>
      </c>
      <c r="R1485" s="11" t="n">
        <f aca="false">SUM(K1485:Q1485)</f>
        <v>146.7119</v>
      </c>
      <c r="S1485" s="11" t="n">
        <f aca="false">R1485/(1-Resumo!$C$6)</f>
        <v>166.718068181818</v>
      </c>
      <c r="T1485" s="11" t="n">
        <f aca="false">S1485-J1485</f>
        <v>52.5680681818182</v>
      </c>
      <c r="U1485" s="12" t="n">
        <f aca="false">IFERROR(S1485/J1485-1,0)</f>
        <v>0.460517461075936</v>
      </c>
      <c r="V1485" s="2" t="str">
        <f aca="false">IF(S1485&lt;J1485,"SIM","NÃO")</f>
        <v>NÃO</v>
      </c>
      <c r="W1485" s="2" t="n">
        <v>5</v>
      </c>
      <c r="X1485" s="2" t="s">
        <v>156</v>
      </c>
    </row>
    <row r="1486" customFormat="false" ht="15" hidden="false" customHeight="false" outlineLevel="0" collapsed="false">
      <c r="A1486" s="2" t="n">
        <v>386714403</v>
      </c>
      <c r="B1486" s="29" t="n">
        <v>46265.862337963</v>
      </c>
      <c r="C1486" s="2" t="s">
        <v>153</v>
      </c>
      <c r="D1486" s="2" t="s">
        <v>1575</v>
      </c>
      <c r="E1486" s="2" t="s">
        <v>412</v>
      </c>
      <c r="F1486" s="2" t="s">
        <v>114</v>
      </c>
      <c r="G1486" s="30" t="n">
        <v>125.8</v>
      </c>
      <c r="H1486" s="11" t="n">
        <v>1999.99</v>
      </c>
      <c r="I1486" s="11" t="s">
        <v>155</v>
      </c>
      <c r="J1486" s="11" t="n">
        <v>262.87</v>
      </c>
      <c r="K1486" s="11" t="n">
        <v>264.84</v>
      </c>
      <c r="L1486" s="11" t="n">
        <v>2</v>
      </c>
      <c r="M1486" s="11" t="n">
        <v>4</v>
      </c>
      <c r="N1486" s="11" t="n">
        <v>1</v>
      </c>
      <c r="O1486" s="11" t="n">
        <v>9</v>
      </c>
      <c r="P1486" s="11" t="n">
        <v>7.56</v>
      </c>
      <c r="Q1486" s="11" t="n">
        <v>56.7</v>
      </c>
      <c r="R1486" s="11" t="n">
        <f aca="false">SUM(K1486:Q1486)</f>
        <v>345.1</v>
      </c>
      <c r="S1486" s="11" t="n">
        <f aca="false">R1486/(1-Resumo!$C$6)</f>
        <v>392.159090909091</v>
      </c>
      <c r="T1486" s="11" t="n">
        <f aca="false">S1486-J1486</f>
        <v>129.289090909091</v>
      </c>
      <c r="U1486" s="12" t="n">
        <f aca="false">IFERROR(S1486/J1486-1,0)</f>
        <v>0.491836614711039</v>
      </c>
      <c r="V1486" s="2" t="str">
        <f aca="false">IF(S1486&lt;J1486,"SIM","NÃO")</f>
        <v>NÃO</v>
      </c>
      <c r="W1486" s="2" t="n">
        <v>10</v>
      </c>
      <c r="X1486" s="2" t="s">
        <v>161</v>
      </c>
    </row>
    <row r="1487" customFormat="false" ht="15" hidden="false" customHeight="false" outlineLevel="0" collapsed="false">
      <c r="A1487" s="2" t="n">
        <v>386717087</v>
      </c>
      <c r="B1487" s="29" t="n">
        <v>46265.8661111111</v>
      </c>
      <c r="C1487" s="2" t="s">
        <v>153</v>
      </c>
      <c r="D1487" s="2" t="s">
        <v>1576</v>
      </c>
      <c r="E1487" s="2" t="s">
        <v>83</v>
      </c>
      <c r="F1487" s="2" t="s">
        <v>110</v>
      </c>
      <c r="G1487" s="30" t="n">
        <v>69</v>
      </c>
      <c r="H1487" s="11" t="n">
        <v>799.99</v>
      </c>
      <c r="I1487" s="11" t="s">
        <v>155</v>
      </c>
      <c r="J1487" s="11" t="n">
        <v>155.85</v>
      </c>
      <c r="K1487" s="11" t="n">
        <v>171.54</v>
      </c>
      <c r="L1487" s="11" t="n">
        <v>0.8</v>
      </c>
      <c r="M1487" s="11" t="n">
        <v>1.6</v>
      </c>
      <c r="N1487" s="11" t="n">
        <v>1</v>
      </c>
      <c r="O1487" s="11" t="n">
        <v>4.5</v>
      </c>
      <c r="P1487" s="11" t="n">
        <v>4.14</v>
      </c>
      <c r="Q1487" s="11" t="n">
        <v>31.05</v>
      </c>
      <c r="R1487" s="11" t="n">
        <f aca="false">SUM(K1487:Q1487)</f>
        <v>214.63</v>
      </c>
      <c r="S1487" s="11" t="n">
        <f aca="false">R1487/(1-Resumo!$C$6)</f>
        <v>243.897727272727</v>
      </c>
      <c r="T1487" s="11" t="n">
        <f aca="false">S1487-J1487</f>
        <v>88.0477272727273</v>
      </c>
      <c r="U1487" s="12" t="n">
        <f aca="false">IFERROR(S1487/J1487-1,0)</f>
        <v>0.564951730976755</v>
      </c>
      <c r="V1487" s="2" t="str">
        <f aca="false">IF(S1487&lt;J1487,"SIM","NÃO")</f>
        <v>NÃO</v>
      </c>
      <c r="W1487" s="2" t="n">
        <v>11</v>
      </c>
      <c r="X1487" s="2" t="s">
        <v>156</v>
      </c>
    </row>
    <row r="1488" customFormat="false" ht="15" hidden="false" customHeight="false" outlineLevel="0" collapsed="false">
      <c r="A1488" s="2" t="n">
        <v>386724446</v>
      </c>
      <c r="B1488" s="29" t="n">
        <v>46265.8765625</v>
      </c>
      <c r="C1488" s="2" t="s">
        <v>153</v>
      </c>
      <c r="D1488" s="2" t="s">
        <v>1577</v>
      </c>
      <c r="E1488" s="2" t="s">
        <v>96</v>
      </c>
      <c r="F1488" s="2" t="s">
        <v>106</v>
      </c>
      <c r="G1488" s="30" t="n">
        <v>31.9</v>
      </c>
      <c r="H1488" s="11" t="n">
        <v>599.99</v>
      </c>
      <c r="I1488" s="11" t="s">
        <v>155</v>
      </c>
      <c r="J1488" s="11" t="n">
        <v>110.06</v>
      </c>
      <c r="K1488" s="11" t="n">
        <v>120.78</v>
      </c>
      <c r="L1488" s="11" t="n">
        <v>0.6</v>
      </c>
      <c r="M1488" s="11" t="n">
        <v>1.2</v>
      </c>
      <c r="N1488" s="11" t="n">
        <v>1</v>
      </c>
      <c r="O1488" s="11" t="n">
        <v>4.5</v>
      </c>
      <c r="P1488" s="11" t="n">
        <v>1.92</v>
      </c>
      <c r="Q1488" s="11" t="n">
        <v>14.4</v>
      </c>
      <c r="R1488" s="11" t="n">
        <f aca="false">SUM(K1488:Q1488)</f>
        <v>144.4</v>
      </c>
      <c r="S1488" s="11" t="n">
        <f aca="false">R1488/(1-Resumo!$C$6)</f>
        <v>164.090909090909</v>
      </c>
      <c r="T1488" s="11" t="n">
        <f aca="false">S1488-J1488</f>
        <v>54.0309090909091</v>
      </c>
      <c r="U1488" s="12" t="n">
        <f aca="false">IFERROR(S1488/J1488-1,0)</f>
        <v>0.490922306840897</v>
      </c>
      <c r="V1488" s="2" t="str">
        <f aca="false">IF(S1488&lt;J1488,"SIM","NÃO")</f>
        <v>NÃO</v>
      </c>
      <c r="W1488" s="2" t="n">
        <v>10</v>
      </c>
      <c r="X1488" s="2" t="s">
        <v>156</v>
      </c>
    </row>
    <row r="1489" customFormat="false" ht="15" hidden="false" customHeight="false" outlineLevel="0" collapsed="false">
      <c r="A1489" s="2" t="n">
        <v>386758176</v>
      </c>
      <c r="B1489" s="29" t="n">
        <v>46265.9091550926</v>
      </c>
      <c r="C1489" s="2" t="s">
        <v>369</v>
      </c>
      <c r="D1489" s="2" t="s">
        <v>1578</v>
      </c>
      <c r="E1489" s="2" t="s">
        <v>78</v>
      </c>
      <c r="F1489" s="2" t="s">
        <v>108</v>
      </c>
      <c r="G1489" s="30" t="n">
        <v>41</v>
      </c>
      <c r="H1489" s="11" t="n">
        <v>449.28</v>
      </c>
      <c r="I1489" s="11" t="s">
        <v>155</v>
      </c>
      <c r="J1489" s="11" t="n">
        <v>102.74</v>
      </c>
      <c r="K1489" s="11" t="n">
        <v>93.97</v>
      </c>
      <c r="L1489" s="11" t="n">
        <v>0.4493</v>
      </c>
      <c r="M1489" s="11" t="n">
        <v>0.8986</v>
      </c>
      <c r="N1489" s="11" t="n">
        <v>1</v>
      </c>
      <c r="O1489" s="11" t="n">
        <v>4.5</v>
      </c>
      <c r="P1489" s="11" t="n">
        <v>2.46</v>
      </c>
      <c r="Q1489" s="11" t="n">
        <v>18.45</v>
      </c>
      <c r="R1489" s="11" t="n">
        <f aca="false">SUM(K1489:Q1489)</f>
        <v>121.7279</v>
      </c>
      <c r="S1489" s="11" t="n">
        <f aca="false">R1489/(1-Resumo!$C$6)</f>
        <v>138.327159090909</v>
      </c>
      <c r="T1489" s="11" t="n">
        <f aca="false">S1489-J1489</f>
        <v>35.5871590909091</v>
      </c>
      <c r="U1489" s="12" t="n">
        <f aca="false">IFERROR(S1489/J1489-1,0)</f>
        <v>0.34638075813616</v>
      </c>
      <c r="V1489" s="2" t="str">
        <f aca="false">IF(S1489&lt;J1489,"SIM","NÃO")</f>
        <v>NÃO</v>
      </c>
      <c r="W1489" s="2" t="n">
        <v>5</v>
      </c>
      <c r="X1489" s="2" t="s">
        <v>156</v>
      </c>
    </row>
    <row r="1490" customFormat="false" ht="15" hidden="false" customHeight="false" outlineLevel="0" collapsed="false">
      <c r="A1490" s="2" t="n">
        <v>386747199</v>
      </c>
      <c r="B1490" s="29" t="n">
        <v>46265.9095601852</v>
      </c>
      <c r="C1490" s="2" t="s">
        <v>153</v>
      </c>
      <c r="D1490" s="2" t="s">
        <v>451</v>
      </c>
      <c r="E1490" s="2" t="s">
        <v>79</v>
      </c>
      <c r="F1490" s="2" t="s">
        <v>106</v>
      </c>
      <c r="G1490" s="30" t="n">
        <v>21</v>
      </c>
      <c r="H1490" s="11" t="n">
        <v>399.99</v>
      </c>
      <c r="I1490" s="11" t="s">
        <v>155</v>
      </c>
      <c r="J1490" s="11" t="n">
        <v>101.31</v>
      </c>
      <c r="K1490" s="11" t="n">
        <v>100.58</v>
      </c>
      <c r="L1490" s="11" t="n">
        <v>0.4</v>
      </c>
      <c r="M1490" s="11" t="n">
        <v>0.8</v>
      </c>
      <c r="N1490" s="11" t="n">
        <v>1</v>
      </c>
      <c r="O1490" s="11" t="n">
        <v>4.5</v>
      </c>
      <c r="P1490" s="11" t="n">
        <v>1.26</v>
      </c>
      <c r="Q1490" s="11" t="n">
        <v>9.45</v>
      </c>
      <c r="R1490" s="11" t="n">
        <f aca="false">SUM(K1490:Q1490)</f>
        <v>117.99</v>
      </c>
      <c r="S1490" s="11" t="n">
        <f aca="false">R1490/(1-Resumo!$C$6)</f>
        <v>134.079545454545</v>
      </c>
      <c r="T1490" s="11" t="n">
        <f aca="false">S1490-J1490</f>
        <v>32.7695454545454</v>
      </c>
      <c r="U1490" s="12" t="n">
        <f aca="false">IFERROR(S1490/J1490-1,0)</f>
        <v>0.323458152744501</v>
      </c>
      <c r="V1490" s="2" t="str">
        <f aca="false">IF(S1490&lt;J1490,"SIM","NÃO")</f>
        <v>NÃO</v>
      </c>
      <c r="W1490" s="2" t="n">
        <v>7</v>
      </c>
      <c r="X1490" s="2" t="s">
        <v>156</v>
      </c>
    </row>
    <row r="1491" customFormat="false" ht="15" hidden="false" customHeight="false" outlineLevel="0" collapsed="false">
      <c r="A1491" s="2" t="n">
        <v>386766785</v>
      </c>
      <c r="B1491" s="29" t="n">
        <v>46265.9441203704</v>
      </c>
      <c r="C1491" s="2" t="s">
        <v>178</v>
      </c>
      <c r="D1491" s="2" t="s">
        <v>1579</v>
      </c>
      <c r="E1491" s="2" t="s">
        <v>78</v>
      </c>
      <c r="F1491" s="2" t="s">
        <v>107</v>
      </c>
      <c r="G1491" s="30" t="n">
        <v>39</v>
      </c>
      <c r="H1491" s="11" t="n">
        <v>629.99</v>
      </c>
      <c r="I1491" s="11" t="s">
        <v>155</v>
      </c>
      <c r="J1491" s="11" t="n">
        <v>92.87</v>
      </c>
      <c r="K1491" s="11" t="n">
        <v>93.97</v>
      </c>
      <c r="L1491" s="11" t="n">
        <v>0.63</v>
      </c>
      <c r="M1491" s="11" t="n">
        <v>1.26</v>
      </c>
      <c r="N1491" s="11" t="n">
        <v>1</v>
      </c>
      <c r="O1491" s="11" t="n">
        <v>4.5</v>
      </c>
      <c r="P1491" s="11" t="n">
        <v>2.34</v>
      </c>
      <c r="Q1491" s="11" t="n">
        <v>17.55</v>
      </c>
      <c r="R1491" s="11" t="n">
        <f aca="false">SUM(K1491:Q1491)</f>
        <v>121.25</v>
      </c>
      <c r="S1491" s="11" t="n">
        <f aca="false">R1491/(1-Resumo!$C$6)</f>
        <v>137.784090909091</v>
      </c>
      <c r="T1491" s="11" t="n">
        <f aca="false">S1491-J1491</f>
        <v>44.9140909090909</v>
      </c>
      <c r="U1491" s="12" t="n">
        <f aca="false">IFERROR(S1491/J1491-1,0)</f>
        <v>0.483623246571454</v>
      </c>
      <c r="V1491" s="2" t="str">
        <f aca="false">IF(S1491&lt;J1491,"SIM","NÃO")</f>
        <v>NÃO</v>
      </c>
      <c r="W1491" s="2" t="n">
        <v>5</v>
      </c>
      <c r="X1491" s="2" t="s">
        <v>156</v>
      </c>
    </row>
    <row r="1492" customFormat="false" ht="15" hidden="false" customHeight="false" outlineLevel="0" collapsed="false">
      <c r="A1492" s="2" t="n">
        <v>386798193</v>
      </c>
      <c r="B1492" s="29" t="n">
        <v>46265.985150463</v>
      </c>
      <c r="C1492" s="2" t="s">
        <v>153</v>
      </c>
      <c r="D1492" s="2" t="s">
        <v>1580</v>
      </c>
      <c r="E1492" s="2" t="s">
        <v>78</v>
      </c>
      <c r="F1492" s="2" t="s">
        <v>109</v>
      </c>
      <c r="G1492" s="30" t="n">
        <v>52.3</v>
      </c>
      <c r="H1492" s="11" t="n">
        <v>627.28</v>
      </c>
      <c r="I1492" s="11" t="s">
        <v>155</v>
      </c>
      <c r="J1492" s="11" t="n">
        <v>114.15</v>
      </c>
      <c r="K1492" s="11" t="n">
        <v>112.3</v>
      </c>
      <c r="L1492" s="11" t="n">
        <v>0.6273</v>
      </c>
      <c r="M1492" s="11" t="n">
        <v>1.2546</v>
      </c>
      <c r="N1492" s="11" t="n">
        <v>1</v>
      </c>
      <c r="O1492" s="11" t="n">
        <v>4.5</v>
      </c>
      <c r="P1492" s="11" t="n">
        <v>3.18</v>
      </c>
      <c r="Q1492" s="11" t="n">
        <v>23.85</v>
      </c>
      <c r="R1492" s="11" t="n">
        <f aca="false">SUM(K1492:Q1492)</f>
        <v>146.7119</v>
      </c>
      <c r="S1492" s="11" t="n">
        <f aca="false">R1492/(1-Resumo!$C$6)</f>
        <v>166.718068181818</v>
      </c>
      <c r="T1492" s="11" t="n">
        <f aca="false">S1492-J1492</f>
        <v>52.5680681818182</v>
      </c>
      <c r="U1492" s="12" t="n">
        <f aca="false">IFERROR(S1492/J1492-1,0)</f>
        <v>0.460517461075936</v>
      </c>
      <c r="V1492" s="2" t="str">
        <f aca="false">IF(S1492&lt;J1492,"SIM","NÃO")</f>
        <v>NÃO</v>
      </c>
      <c r="W1492" s="2" t="n">
        <v>5</v>
      </c>
      <c r="X1492" s="2" t="s">
        <v>156</v>
      </c>
    </row>
    <row r="1493" customFormat="false" ht="15" hidden="false" customHeight="false" outlineLevel="0" collapsed="false">
      <c r="A1493" s="2" t="n">
        <v>386860998</v>
      </c>
      <c r="B1493" s="29" t="n">
        <v>46266.1176967593</v>
      </c>
      <c r="C1493" s="2" t="s">
        <v>153</v>
      </c>
      <c r="D1493" s="2" t="s">
        <v>1581</v>
      </c>
      <c r="E1493" s="2" t="s">
        <v>83</v>
      </c>
      <c r="F1493" s="2" t="s">
        <v>108</v>
      </c>
      <c r="G1493" s="30" t="n">
        <v>48</v>
      </c>
      <c r="H1493" s="11" t="n">
        <v>899.99</v>
      </c>
      <c r="I1493" s="11" t="s">
        <v>155</v>
      </c>
      <c r="J1493" s="11" t="n">
        <v>132.48</v>
      </c>
      <c r="K1493" s="11" t="n">
        <v>152.54</v>
      </c>
      <c r="L1493" s="11" t="n">
        <v>0.9</v>
      </c>
      <c r="M1493" s="11" t="n">
        <v>1.8</v>
      </c>
      <c r="N1493" s="11" t="n">
        <v>1</v>
      </c>
      <c r="O1493" s="11" t="n">
        <v>4.5</v>
      </c>
      <c r="P1493" s="11" t="n">
        <v>2.88</v>
      </c>
      <c r="Q1493" s="11" t="n">
        <v>21.6</v>
      </c>
      <c r="R1493" s="11" t="n">
        <f aca="false">SUM(K1493:Q1493)</f>
        <v>185.22</v>
      </c>
      <c r="S1493" s="11" t="n">
        <f aca="false">R1493/(1-Resumo!$C$6)</f>
        <v>210.477272727273</v>
      </c>
      <c r="T1493" s="11" t="n">
        <f aca="false">S1493-J1493</f>
        <v>77.9972727272727</v>
      </c>
      <c r="U1493" s="12" t="n">
        <f aca="false">IFERROR(S1493/J1493-1,0)</f>
        <v>0.588747529644269</v>
      </c>
      <c r="V1493" s="2" t="str">
        <f aca="false">IF(S1493&lt;J1493,"SIM","NÃO")</f>
        <v>NÃO</v>
      </c>
      <c r="W1493" s="2" t="n">
        <v>11</v>
      </c>
      <c r="X1493" s="2" t="s">
        <v>156</v>
      </c>
    </row>
    <row r="1494" customFormat="false" ht="15" hidden="false" customHeight="false" outlineLevel="0" collapsed="false">
      <c r="A1494" s="2" t="n">
        <v>386955041</v>
      </c>
      <c r="B1494" s="29" t="n">
        <v>46266.3359259259</v>
      </c>
      <c r="C1494" s="2" t="s">
        <v>198</v>
      </c>
      <c r="D1494" s="2" t="s">
        <v>1582</v>
      </c>
      <c r="E1494" s="2" t="s">
        <v>78</v>
      </c>
      <c r="F1494" s="2" t="s">
        <v>106</v>
      </c>
      <c r="G1494" s="30" t="n">
        <v>27.6</v>
      </c>
      <c r="H1494" s="11" t="n">
        <v>649.99</v>
      </c>
      <c r="I1494" s="11" t="s">
        <v>155</v>
      </c>
      <c r="J1494" s="11" t="n">
        <v>83.44</v>
      </c>
      <c r="K1494" s="11" t="n">
        <v>82.21</v>
      </c>
      <c r="L1494" s="11" t="n">
        <v>0.65</v>
      </c>
      <c r="M1494" s="11" t="n">
        <v>1.3</v>
      </c>
      <c r="N1494" s="11" t="n">
        <v>1</v>
      </c>
      <c r="O1494" s="11" t="n">
        <v>4.5</v>
      </c>
      <c r="P1494" s="11" t="n">
        <v>1.68</v>
      </c>
      <c r="Q1494" s="11" t="n">
        <v>12.6</v>
      </c>
      <c r="R1494" s="11" t="n">
        <f aca="false">SUM(K1494:Q1494)</f>
        <v>103.94</v>
      </c>
      <c r="S1494" s="11" t="n">
        <f aca="false">R1494/(1-Resumo!$C$6)</f>
        <v>118.113636363636</v>
      </c>
      <c r="T1494" s="11" t="n">
        <f aca="false">S1494-J1494</f>
        <v>34.6736363636364</v>
      </c>
      <c r="U1494" s="12" t="n">
        <f aca="false">IFERROR(S1494/J1494-1,0)</f>
        <v>0.415551730149045</v>
      </c>
      <c r="V1494" s="2" t="str">
        <f aca="false">IF(S1494&lt;J1494,"SIM","NÃO")</f>
        <v>NÃO</v>
      </c>
      <c r="W1494" s="2" t="n">
        <v>5</v>
      </c>
      <c r="X1494" s="2" t="s">
        <v>156</v>
      </c>
    </row>
    <row r="1495" customFormat="false" ht="15" hidden="false" customHeight="false" outlineLevel="0" collapsed="false">
      <c r="A1495" s="2" t="n">
        <v>386963195</v>
      </c>
      <c r="B1495" s="29" t="n">
        <v>46266.3579976852</v>
      </c>
      <c r="C1495" s="2" t="s">
        <v>178</v>
      </c>
      <c r="D1495" s="2" t="s">
        <v>1099</v>
      </c>
      <c r="E1495" s="2" t="s">
        <v>78</v>
      </c>
      <c r="F1495" s="2" t="s">
        <v>107</v>
      </c>
      <c r="G1495" s="30" t="n">
        <v>37.2</v>
      </c>
      <c r="H1495" s="11" t="n">
        <v>433.49</v>
      </c>
      <c r="I1495" s="11" t="s">
        <v>155</v>
      </c>
      <c r="J1495" s="11" t="n">
        <v>91.94</v>
      </c>
      <c r="K1495" s="11" t="n">
        <v>93.97</v>
      </c>
      <c r="L1495" s="11" t="n">
        <v>0.4335</v>
      </c>
      <c r="M1495" s="11" t="n">
        <v>0.867</v>
      </c>
      <c r="N1495" s="11" t="n">
        <v>1</v>
      </c>
      <c r="O1495" s="11" t="n">
        <v>4.5</v>
      </c>
      <c r="P1495" s="11" t="n">
        <v>2.28</v>
      </c>
      <c r="Q1495" s="11" t="n">
        <v>17.1</v>
      </c>
      <c r="R1495" s="11" t="n">
        <f aca="false">SUM(K1495:Q1495)</f>
        <v>120.1505</v>
      </c>
      <c r="S1495" s="11" t="n">
        <f aca="false">R1495/(1-Resumo!$C$6)</f>
        <v>136.534659090909</v>
      </c>
      <c r="T1495" s="11" t="n">
        <f aca="false">S1495-J1495</f>
        <v>44.5946590909091</v>
      </c>
      <c r="U1495" s="12" t="n">
        <f aca="false">IFERROR(S1495/J1495-1,0)</f>
        <v>0.485040886348805</v>
      </c>
      <c r="V1495" s="2" t="str">
        <f aca="false">IF(S1495&lt;J1495,"SIM","NÃO")</f>
        <v>NÃO</v>
      </c>
      <c r="W1495" s="2" t="n">
        <v>5</v>
      </c>
      <c r="X1495" s="2" t="s">
        <v>156</v>
      </c>
    </row>
    <row r="1496" customFormat="false" ht="15" hidden="false" customHeight="false" outlineLevel="0" collapsed="false">
      <c r="A1496" s="2" t="n">
        <v>387057424</v>
      </c>
      <c r="B1496" s="29" t="n">
        <v>46266.3756712963</v>
      </c>
      <c r="C1496" s="2" t="s">
        <v>158</v>
      </c>
      <c r="D1496" s="2" t="s">
        <v>1583</v>
      </c>
      <c r="E1496" s="2" t="s">
        <v>172</v>
      </c>
      <c r="F1496" s="2" t="s">
        <v>110</v>
      </c>
      <c r="G1496" s="30" t="n">
        <v>69.15</v>
      </c>
      <c r="H1496" s="11" t="n">
        <v>742.64</v>
      </c>
      <c r="I1496" s="11" t="s">
        <v>155</v>
      </c>
      <c r="J1496" s="11" t="n">
        <v>155.59</v>
      </c>
      <c r="K1496" s="11" t="n">
        <v>166.05</v>
      </c>
      <c r="L1496" s="11" t="n">
        <v>0.7426</v>
      </c>
      <c r="M1496" s="11" t="n">
        <v>1.4853</v>
      </c>
      <c r="N1496" s="11" t="n">
        <v>1</v>
      </c>
      <c r="O1496" s="11" t="n">
        <v>4.5</v>
      </c>
      <c r="P1496" s="11" t="n">
        <v>4.2</v>
      </c>
      <c r="Q1496" s="11" t="n">
        <v>31.5</v>
      </c>
      <c r="R1496" s="11" t="n">
        <f aca="false">SUM(K1496:Q1496)</f>
        <v>209.4779</v>
      </c>
      <c r="S1496" s="11" t="n">
        <f aca="false">R1496/(1-Resumo!$C$6)</f>
        <v>238.043068181818</v>
      </c>
      <c r="T1496" s="11" t="n">
        <f aca="false">S1496-J1496</f>
        <v>82.4530681818182</v>
      </c>
      <c r="U1496" s="12" t="n">
        <f aca="false">IFERROR(S1496/J1496-1,0)</f>
        <v>0.529938094876394</v>
      </c>
      <c r="V1496" s="2" t="str">
        <f aca="false">IF(S1496&lt;J1496,"SIM","NÃO")</f>
        <v>NÃO</v>
      </c>
      <c r="W1496" s="2" t="n">
        <v>8</v>
      </c>
      <c r="X1496" s="2" t="s">
        <v>161</v>
      </c>
    </row>
    <row r="1497" customFormat="false" ht="15" hidden="false" customHeight="false" outlineLevel="0" collapsed="false">
      <c r="A1497" s="2" t="n">
        <v>386989208</v>
      </c>
      <c r="B1497" s="29" t="n">
        <v>46266.3963773148</v>
      </c>
      <c r="C1497" s="2" t="s">
        <v>153</v>
      </c>
      <c r="D1497" s="2" t="s">
        <v>1584</v>
      </c>
      <c r="E1497" s="2" t="s">
        <v>78</v>
      </c>
      <c r="F1497" s="2" t="s">
        <v>110</v>
      </c>
      <c r="G1497" s="30" t="n">
        <v>66.8</v>
      </c>
      <c r="H1497" s="11" t="n">
        <v>690.99</v>
      </c>
      <c r="I1497" s="11" t="s">
        <v>155</v>
      </c>
      <c r="J1497" s="11" t="n">
        <v>124.51</v>
      </c>
      <c r="K1497" s="11" t="n">
        <v>131.02</v>
      </c>
      <c r="L1497" s="11" t="n">
        <v>0.691</v>
      </c>
      <c r="M1497" s="11" t="n">
        <v>1.382</v>
      </c>
      <c r="N1497" s="11" t="n">
        <v>1</v>
      </c>
      <c r="O1497" s="11" t="n">
        <v>4.5</v>
      </c>
      <c r="P1497" s="11" t="n">
        <v>4.02</v>
      </c>
      <c r="Q1497" s="11" t="n">
        <v>30.15</v>
      </c>
      <c r="R1497" s="11" t="n">
        <f aca="false">SUM(K1497:Q1497)</f>
        <v>172.763</v>
      </c>
      <c r="S1497" s="11" t="n">
        <f aca="false">R1497/(1-Resumo!$C$6)</f>
        <v>196.321590909091</v>
      </c>
      <c r="T1497" s="11" t="n">
        <f aca="false">S1497-J1497</f>
        <v>71.8115909090909</v>
      </c>
      <c r="U1497" s="12" t="n">
        <f aca="false">IFERROR(S1497/J1497-1,0)</f>
        <v>0.576753601390177</v>
      </c>
      <c r="V1497" s="2" t="str">
        <f aca="false">IF(S1497&lt;J1497,"SIM","NÃO")</f>
        <v>NÃO</v>
      </c>
      <c r="W1497" s="2" t="n">
        <v>5</v>
      </c>
      <c r="X1497" s="2" t="s">
        <v>156</v>
      </c>
    </row>
    <row r="1498" customFormat="false" ht="15" hidden="false" customHeight="false" outlineLevel="0" collapsed="false">
      <c r="A1498" s="2" t="n">
        <v>387005241</v>
      </c>
      <c r="B1498" s="29" t="n">
        <v>46266.4017476852</v>
      </c>
      <c r="C1498" s="2" t="s">
        <v>369</v>
      </c>
      <c r="D1498" s="2" t="s">
        <v>612</v>
      </c>
      <c r="E1498" s="2" t="s">
        <v>82</v>
      </c>
      <c r="F1498" s="2" t="s">
        <v>109</v>
      </c>
      <c r="G1498" s="30" t="n">
        <v>52.3</v>
      </c>
      <c r="H1498" s="11" t="n">
        <v>629.99</v>
      </c>
      <c r="I1498" s="11" t="s">
        <v>155</v>
      </c>
      <c r="J1498" s="11" t="n">
        <v>128.31</v>
      </c>
      <c r="K1498" s="11" t="n">
        <v>128.14</v>
      </c>
      <c r="L1498" s="11" t="n">
        <v>0.63</v>
      </c>
      <c r="M1498" s="11" t="n">
        <v>1.26</v>
      </c>
      <c r="N1498" s="11" t="n">
        <v>1</v>
      </c>
      <c r="O1498" s="11" t="n">
        <v>4.5</v>
      </c>
      <c r="P1498" s="11" t="n">
        <v>3.18</v>
      </c>
      <c r="Q1498" s="11" t="n">
        <v>23.85</v>
      </c>
      <c r="R1498" s="11" t="n">
        <f aca="false">SUM(K1498:Q1498)</f>
        <v>162.56</v>
      </c>
      <c r="S1498" s="11" t="n">
        <f aca="false">R1498/(1-Resumo!$C$6)</f>
        <v>184.727272727273</v>
      </c>
      <c r="T1498" s="11" t="n">
        <f aca="false">S1498-J1498</f>
        <v>56.4172727272727</v>
      </c>
      <c r="U1498" s="12" t="n">
        <f aca="false">IFERROR(S1498/J1498-1,0)</f>
        <v>0.439695056716333</v>
      </c>
      <c r="V1498" s="2" t="str">
        <f aca="false">IF(S1498&lt;J1498,"SIM","NÃO")</f>
        <v>NÃO</v>
      </c>
      <c r="W1498" s="2" t="n">
        <v>7</v>
      </c>
      <c r="X1498" s="2" t="s">
        <v>156</v>
      </c>
    </row>
    <row r="1499" customFormat="false" ht="15" hidden="false" customHeight="false" outlineLevel="0" collapsed="false">
      <c r="A1499" s="2" t="n">
        <v>386999334</v>
      </c>
      <c r="B1499" s="29" t="n">
        <v>46266.4128240741</v>
      </c>
      <c r="C1499" s="2" t="s">
        <v>153</v>
      </c>
      <c r="D1499" s="2" t="s">
        <v>1585</v>
      </c>
      <c r="E1499" s="2" t="s">
        <v>78</v>
      </c>
      <c r="F1499" s="2" t="s">
        <v>109</v>
      </c>
      <c r="G1499" s="30" t="n">
        <v>52.3</v>
      </c>
      <c r="H1499" s="11" t="n">
        <v>627.28</v>
      </c>
      <c r="I1499" s="11" t="s">
        <v>155</v>
      </c>
      <c r="J1499" s="11" t="n">
        <v>114.15</v>
      </c>
      <c r="K1499" s="11" t="n">
        <v>112.3</v>
      </c>
      <c r="L1499" s="11" t="n">
        <v>0.6273</v>
      </c>
      <c r="M1499" s="11" t="n">
        <v>1.2546</v>
      </c>
      <c r="N1499" s="11" t="n">
        <v>1</v>
      </c>
      <c r="O1499" s="11" t="n">
        <v>4.5</v>
      </c>
      <c r="P1499" s="11" t="n">
        <v>3.18</v>
      </c>
      <c r="Q1499" s="11" t="n">
        <v>23.85</v>
      </c>
      <c r="R1499" s="11" t="n">
        <f aca="false">SUM(K1499:Q1499)</f>
        <v>146.7119</v>
      </c>
      <c r="S1499" s="11" t="n">
        <f aca="false">R1499/(1-Resumo!$C$6)</f>
        <v>166.718068181818</v>
      </c>
      <c r="T1499" s="11" t="n">
        <f aca="false">S1499-J1499</f>
        <v>52.5680681818182</v>
      </c>
      <c r="U1499" s="12" t="n">
        <f aca="false">IFERROR(S1499/J1499-1,0)</f>
        <v>0.460517461075936</v>
      </c>
      <c r="V1499" s="2" t="str">
        <f aca="false">IF(S1499&lt;J1499,"SIM","NÃO")</f>
        <v>NÃO</v>
      </c>
      <c r="W1499" s="2" t="n">
        <v>5</v>
      </c>
      <c r="X1499" s="2" t="s">
        <v>156</v>
      </c>
    </row>
    <row r="1500" customFormat="false" ht="15" hidden="false" customHeight="false" outlineLevel="0" collapsed="false">
      <c r="A1500" s="2" t="n">
        <v>387019861</v>
      </c>
      <c r="B1500" s="29" t="n">
        <v>46266.4561226852</v>
      </c>
      <c r="C1500" s="2" t="s">
        <v>178</v>
      </c>
      <c r="D1500" s="2" t="s">
        <v>1586</v>
      </c>
      <c r="E1500" s="2" t="s">
        <v>93</v>
      </c>
      <c r="F1500" s="2" t="s">
        <v>108</v>
      </c>
      <c r="G1500" s="30" t="n">
        <v>48.3</v>
      </c>
      <c r="H1500" s="11" t="n">
        <v>559.99</v>
      </c>
      <c r="I1500" s="11" t="s">
        <v>155</v>
      </c>
      <c r="J1500" s="11" t="n">
        <v>130.84</v>
      </c>
      <c r="K1500" s="11" t="n">
        <v>114.95</v>
      </c>
      <c r="L1500" s="11" t="n">
        <v>0.56</v>
      </c>
      <c r="M1500" s="11" t="n">
        <v>1.12</v>
      </c>
      <c r="N1500" s="11" t="n">
        <v>1</v>
      </c>
      <c r="O1500" s="11" t="n">
        <v>4.5</v>
      </c>
      <c r="P1500" s="11" t="n">
        <v>2.94</v>
      </c>
      <c r="Q1500" s="11" t="n">
        <v>22.05</v>
      </c>
      <c r="R1500" s="11" t="n">
        <f aca="false">SUM(K1500:Q1500)</f>
        <v>147.12</v>
      </c>
      <c r="S1500" s="11" t="n">
        <f aca="false">R1500/(1-Resumo!$C$6)</f>
        <v>167.181818181818</v>
      </c>
      <c r="T1500" s="11" t="n">
        <f aca="false">S1500-J1500</f>
        <v>36.3418181818182</v>
      </c>
      <c r="U1500" s="12" t="n">
        <f aca="false">IFERROR(S1500/J1500-1,0)</f>
        <v>0.277757705455657</v>
      </c>
      <c r="V1500" s="2" t="str">
        <f aca="false">IF(S1500&lt;J1500,"SIM","NÃO")</f>
        <v>NÃO</v>
      </c>
      <c r="W1500" s="2" t="n">
        <v>7</v>
      </c>
      <c r="X1500" s="2" t="s">
        <v>156</v>
      </c>
    </row>
    <row r="1501" customFormat="false" ht="15" hidden="false" customHeight="false" outlineLevel="0" collapsed="false">
      <c r="A1501" s="2" t="n">
        <v>387042972</v>
      </c>
      <c r="B1501" s="29" t="n">
        <v>46266.4790856482</v>
      </c>
      <c r="C1501" s="2" t="s">
        <v>153</v>
      </c>
      <c r="D1501" s="2" t="s">
        <v>1587</v>
      </c>
      <c r="E1501" s="2" t="s">
        <v>78</v>
      </c>
      <c r="F1501" s="2" t="s">
        <v>110</v>
      </c>
      <c r="G1501" s="30" t="n">
        <v>66.8</v>
      </c>
      <c r="H1501" s="11" t="n">
        <v>699.99</v>
      </c>
      <c r="I1501" s="11" t="s">
        <v>155</v>
      </c>
      <c r="J1501" s="11" t="n">
        <v>124.56</v>
      </c>
      <c r="K1501" s="11" t="n">
        <v>131.02</v>
      </c>
      <c r="L1501" s="11" t="n">
        <v>0.7</v>
      </c>
      <c r="M1501" s="11" t="n">
        <v>1.4</v>
      </c>
      <c r="N1501" s="11" t="n">
        <v>1</v>
      </c>
      <c r="O1501" s="11" t="n">
        <v>4.5</v>
      </c>
      <c r="P1501" s="11" t="n">
        <v>4.02</v>
      </c>
      <c r="Q1501" s="11" t="n">
        <v>30.15</v>
      </c>
      <c r="R1501" s="11" t="n">
        <f aca="false">SUM(K1501:Q1501)</f>
        <v>172.79</v>
      </c>
      <c r="S1501" s="11" t="n">
        <f aca="false">R1501/(1-Resumo!$C$6)</f>
        <v>196.352272727273</v>
      </c>
      <c r="T1501" s="11" t="n">
        <f aca="false">S1501-J1501</f>
        <v>71.7922727272728</v>
      </c>
      <c r="U1501" s="12" t="n">
        <f aca="false">IFERROR(S1501/J1501-1,0)</f>
        <v>0.57636699363578</v>
      </c>
      <c r="V1501" s="2" t="str">
        <f aca="false">IF(S1501&lt;J1501,"SIM","NÃO")</f>
        <v>NÃO</v>
      </c>
      <c r="W1501" s="2" t="n">
        <v>5</v>
      </c>
      <c r="X1501" s="2" t="s">
        <v>156</v>
      </c>
    </row>
    <row r="1502" customFormat="false" ht="15" hidden="false" customHeight="false" outlineLevel="0" collapsed="false">
      <c r="A1502" s="2" t="n">
        <v>387071516</v>
      </c>
      <c r="B1502" s="29" t="n">
        <v>46266.5252546296</v>
      </c>
      <c r="C1502" s="2" t="s">
        <v>153</v>
      </c>
      <c r="D1502" s="2" t="s">
        <v>1354</v>
      </c>
      <c r="E1502" s="2" t="s">
        <v>78</v>
      </c>
      <c r="F1502" s="2" t="s">
        <v>106</v>
      </c>
      <c r="G1502" s="30" t="n">
        <v>33.3</v>
      </c>
      <c r="H1502" s="11" t="n">
        <v>429.99</v>
      </c>
      <c r="I1502" s="11" t="s">
        <v>155</v>
      </c>
      <c r="J1502" s="11" t="n">
        <v>82.39</v>
      </c>
      <c r="K1502" s="11" t="n">
        <v>82.21</v>
      </c>
      <c r="L1502" s="11" t="n">
        <v>0.43</v>
      </c>
      <c r="M1502" s="11" t="n">
        <v>0.86</v>
      </c>
      <c r="N1502" s="11" t="n">
        <v>1</v>
      </c>
      <c r="O1502" s="11" t="n">
        <v>4.5</v>
      </c>
      <c r="P1502" s="11" t="n">
        <v>2.04</v>
      </c>
      <c r="Q1502" s="11" t="n">
        <v>15.3</v>
      </c>
      <c r="R1502" s="11" t="n">
        <f aca="false">SUM(K1502:Q1502)</f>
        <v>106.34</v>
      </c>
      <c r="S1502" s="11" t="n">
        <f aca="false">R1502/(1-Resumo!$C$6)</f>
        <v>120.840909090909</v>
      </c>
      <c r="T1502" s="11" t="n">
        <f aca="false">S1502-J1502</f>
        <v>38.4509090909091</v>
      </c>
      <c r="U1502" s="12" t="n">
        <f aca="false">IFERROR(S1502/J1502-1,0)</f>
        <v>0.466693883856161</v>
      </c>
      <c r="V1502" s="2" t="str">
        <f aca="false">IF(S1502&lt;J1502,"SIM","NÃO")</f>
        <v>NÃO</v>
      </c>
      <c r="W1502" s="2" t="n">
        <v>5</v>
      </c>
      <c r="X1502" s="2" t="s">
        <v>156</v>
      </c>
    </row>
    <row r="1503" customFormat="false" ht="15" hidden="false" customHeight="false" outlineLevel="0" collapsed="false">
      <c r="A1503" s="2" t="n">
        <v>387088656</v>
      </c>
      <c r="B1503" s="29" t="n">
        <v>46266.5491087963</v>
      </c>
      <c r="C1503" s="2" t="s">
        <v>153</v>
      </c>
      <c r="D1503" s="2" t="s">
        <v>1588</v>
      </c>
      <c r="E1503" s="2" t="s">
        <v>83</v>
      </c>
      <c r="F1503" s="2" t="s">
        <v>110</v>
      </c>
      <c r="G1503" s="30" t="n">
        <v>67.3</v>
      </c>
      <c r="H1503" s="11" t="n">
        <v>694.72</v>
      </c>
      <c r="I1503" s="11" t="s">
        <v>155</v>
      </c>
      <c r="J1503" s="11" t="n">
        <v>155.35</v>
      </c>
      <c r="K1503" s="11" t="n">
        <v>171.54</v>
      </c>
      <c r="L1503" s="11" t="n">
        <v>0.6947</v>
      </c>
      <c r="M1503" s="11" t="n">
        <v>1.3894</v>
      </c>
      <c r="N1503" s="11" t="n">
        <v>1</v>
      </c>
      <c r="O1503" s="11" t="n">
        <v>4.5</v>
      </c>
      <c r="P1503" s="11" t="n">
        <v>4.08</v>
      </c>
      <c r="Q1503" s="11" t="n">
        <v>30.6</v>
      </c>
      <c r="R1503" s="11" t="n">
        <f aca="false">SUM(K1503:Q1503)</f>
        <v>213.8041</v>
      </c>
      <c r="S1503" s="11" t="n">
        <f aca="false">R1503/(1-Resumo!$C$6)</f>
        <v>242.959204545455</v>
      </c>
      <c r="T1503" s="11" t="n">
        <f aca="false">S1503-J1503</f>
        <v>87.6092045454545</v>
      </c>
      <c r="U1503" s="12" t="n">
        <f aca="false">IFERROR(S1503/J1503-1,0)</f>
        <v>0.563947245223396</v>
      </c>
      <c r="V1503" s="2" t="str">
        <f aca="false">IF(S1503&lt;J1503,"SIM","NÃO")</f>
        <v>NÃO</v>
      </c>
      <c r="W1503" s="2" t="n">
        <v>11</v>
      </c>
      <c r="X1503" s="2" t="s">
        <v>156</v>
      </c>
    </row>
    <row r="1504" customFormat="false" ht="15" hidden="false" customHeight="false" outlineLevel="0" collapsed="false">
      <c r="A1504" s="2" t="n">
        <v>387121910</v>
      </c>
      <c r="B1504" s="29" t="n">
        <v>46266.594375</v>
      </c>
      <c r="C1504" s="2" t="s">
        <v>158</v>
      </c>
      <c r="D1504" s="2" t="s">
        <v>1589</v>
      </c>
      <c r="E1504" s="2" t="s">
        <v>78</v>
      </c>
      <c r="F1504" s="2" t="s">
        <v>106</v>
      </c>
      <c r="G1504" s="30" t="n">
        <v>21.75</v>
      </c>
      <c r="H1504" s="11" t="n">
        <v>249</v>
      </c>
      <c r="I1504" s="11" t="s">
        <v>155</v>
      </c>
      <c r="J1504" s="11" t="n">
        <v>81.52</v>
      </c>
      <c r="K1504" s="11" t="n">
        <v>82.21</v>
      </c>
      <c r="L1504" s="11" t="n">
        <v>0.249</v>
      </c>
      <c r="M1504" s="11" t="n">
        <v>0.498</v>
      </c>
      <c r="N1504" s="11" t="n">
        <v>1</v>
      </c>
      <c r="O1504" s="11" t="n">
        <v>4.5</v>
      </c>
      <c r="P1504" s="11" t="n">
        <v>1.32</v>
      </c>
      <c r="Q1504" s="11" t="n">
        <v>9.9</v>
      </c>
      <c r="R1504" s="11" t="n">
        <f aca="false">SUM(K1504:Q1504)</f>
        <v>99.677</v>
      </c>
      <c r="S1504" s="11" t="n">
        <f aca="false">R1504/(1-Resumo!$C$6)</f>
        <v>113.269318181818</v>
      </c>
      <c r="T1504" s="11" t="n">
        <f aca="false">S1504-J1504</f>
        <v>31.7493181818182</v>
      </c>
      <c r="U1504" s="12" t="n">
        <f aca="false">IFERROR(S1504/J1504-1,0)</f>
        <v>0.389466611651352</v>
      </c>
      <c r="V1504" s="2" t="str">
        <f aca="false">IF(S1504&lt;J1504,"SIM","NÃO")</f>
        <v>NÃO</v>
      </c>
      <c r="W1504" s="2" t="n">
        <v>5</v>
      </c>
      <c r="X1504" s="2" t="s">
        <v>156</v>
      </c>
    </row>
    <row r="1505" customFormat="false" ht="15" hidden="false" customHeight="false" outlineLevel="0" collapsed="false">
      <c r="A1505" s="2" t="n">
        <v>387146321</v>
      </c>
      <c r="B1505" s="29" t="n">
        <v>46266.6271759259</v>
      </c>
      <c r="C1505" s="2" t="s">
        <v>158</v>
      </c>
      <c r="D1505" s="2" t="s">
        <v>1049</v>
      </c>
      <c r="E1505" s="2" t="s">
        <v>78</v>
      </c>
      <c r="F1505" s="2" t="s">
        <v>110</v>
      </c>
      <c r="G1505" s="30" t="n">
        <v>68.7</v>
      </c>
      <c r="H1505" s="11" t="n">
        <v>757.86</v>
      </c>
      <c r="I1505" s="11" t="s">
        <v>155</v>
      </c>
      <c r="J1505" s="11" t="n">
        <v>124.85</v>
      </c>
      <c r="K1505" s="11" t="n">
        <v>131.02</v>
      </c>
      <c r="L1505" s="11" t="n">
        <v>0.7579</v>
      </c>
      <c r="M1505" s="11" t="n">
        <v>1.5157</v>
      </c>
      <c r="N1505" s="11" t="n">
        <v>1</v>
      </c>
      <c r="O1505" s="11" t="n">
        <v>4.5</v>
      </c>
      <c r="P1505" s="11" t="n">
        <v>4.14</v>
      </c>
      <c r="Q1505" s="11" t="n">
        <v>31.05</v>
      </c>
      <c r="R1505" s="11" t="n">
        <f aca="false">SUM(K1505:Q1505)</f>
        <v>173.9836</v>
      </c>
      <c r="S1505" s="11" t="n">
        <f aca="false">R1505/(1-Resumo!$C$6)</f>
        <v>197.708636363636</v>
      </c>
      <c r="T1505" s="11" t="n">
        <f aca="false">S1505-J1505</f>
        <v>72.8586363636364</v>
      </c>
      <c r="U1505" s="12" t="n">
        <f aca="false">IFERROR(S1505/J1505-1,0)</f>
        <v>0.583569374158081</v>
      </c>
      <c r="V1505" s="2" t="str">
        <f aca="false">IF(S1505&lt;J1505,"SIM","NÃO")</f>
        <v>NÃO</v>
      </c>
      <c r="W1505" s="2" t="n">
        <v>5</v>
      </c>
      <c r="X1505" s="2" t="s">
        <v>156</v>
      </c>
    </row>
    <row r="1506" customFormat="false" ht="15" hidden="false" customHeight="false" outlineLevel="0" collapsed="false">
      <c r="A1506" s="2" t="n">
        <v>387147599</v>
      </c>
      <c r="B1506" s="29" t="n">
        <v>46266.6299074074</v>
      </c>
      <c r="C1506" s="2" t="s">
        <v>153</v>
      </c>
      <c r="D1506" s="2" t="s">
        <v>1590</v>
      </c>
      <c r="E1506" s="2" t="s">
        <v>186</v>
      </c>
      <c r="F1506" s="2" t="s">
        <v>107</v>
      </c>
      <c r="G1506" s="30" t="n">
        <v>37.5</v>
      </c>
      <c r="H1506" s="11" t="n">
        <v>379.99</v>
      </c>
      <c r="I1506" s="11" t="s">
        <v>155</v>
      </c>
      <c r="J1506" s="11" t="n">
        <v>122.07</v>
      </c>
      <c r="K1506" s="11" t="n">
        <v>93.97</v>
      </c>
      <c r="L1506" s="11" t="n">
        <v>0.38</v>
      </c>
      <c r="M1506" s="11" t="n">
        <v>0.76</v>
      </c>
      <c r="N1506" s="11" t="n">
        <v>1</v>
      </c>
      <c r="O1506" s="11" t="n">
        <v>4.5</v>
      </c>
      <c r="P1506" s="11" t="n">
        <v>2.28</v>
      </c>
      <c r="Q1506" s="11" t="n">
        <v>17.1</v>
      </c>
      <c r="R1506" s="11" t="n">
        <f aca="false">SUM(K1506:Q1506)</f>
        <v>119.99</v>
      </c>
      <c r="S1506" s="11" t="n">
        <f aca="false">R1506/(1-Resumo!$C$6)</f>
        <v>136.352272727273</v>
      </c>
      <c r="T1506" s="11" t="n">
        <f aca="false">S1506-J1506</f>
        <v>14.2822727272728</v>
      </c>
      <c r="U1506" s="12" t="n">
        <f aca="false">IFERROR(S1506/J1506-1,0)</f>
        <v>0.117000677703553</v>
      </c>
      <c r="V1506" s="2" t="str">
        <f aca="false">IF(S1506&lt;J1506,"SIM","NÃO")</f>
        <v>NÃO</v>
      </c>
      <c r="W1506" s="2" t="n">
        <v>5</v>
      </c>
      <c r="X1506" s="2" t="s">
        <v>161</v>
      </c>
    </row>
    <row r="1507" customFormat="false" ht="15" hidden="false" customHeight="false" outlineLevel="0" collapsed="false">
      <c r="A1507" s="2" t="n">
        <v>387165141</v>
      </c>
      <c r="B1507" s="29" t="n">
        <v>46266.6586805556</v>
      </c>
      <c r="C1507" s="2" t="s">
        <v>158</v>
      </c>
      <c r="D1507" s="2" t="s">
        <v>1591</v>
      </c>
      <c r="E1507" s="2" t="s">
        <v>96</v>
      </c>
      <c r="F1507" s="2" t="s">
        <v>108</v>
      </c>
      <c r="G1507" s="30" t="n">
        <v>48.6</v>
      </c>
      <c r="H1507" s="11" t="n">
        <v>572</v>
      </c>
      <c r="I1507" s="11" t="s">
        <v>155</v>
      </c>
      <c r="J1507" s="11" t="n">
        <v>130.89</v>
      </c>
      <c r="K1507" s="11" t="n">
        <v>135.03</v>
      </c>
      <c r="L1507" s="11" t="n">
        <v>0.572</v>
      </c>
      <c r="M1507" s="11" t="n">
        <v>1.144</v>
      </c>
      <c r="N1507" s="11" t="n">
        <v>1</v>
      </c>
      <c r="O1507" s="11" t="n">
        <v>4.5</v>
      </c>
      <c r="P1507" s="11" t="n">
        <v>2.94</v>
      </c>
      <c r="Q1507" s="11" t="n">
        <v>22.05</v>
      </c>
      <c r="R1507" s="11" t="n">
        <f aca="false">SUM(K1507:Q1507)</f>
        <v>167.236</v>
      </c>
      <c r="S1507" s="11" t="n">
        <f aca="false">R1507/(1-Resumo!$C$6)</f>
        <v>190.040909090909</v>
      </c>
      <c r="T1507" s="11" t="n">
        <f aca="false">S1507-J1507</f>
        <v>59.1509090909091</v>
      </c>
      <c r="U1507" s="12" t="n">
        <f aca="false">IFERROR(S1507/J1507-1,0)</f>
        <v>0.451913126219796</v>
      </c>
      <c r="V1507" s="2" t="str">
        <f aca="false">IF(S1507&lt;J1507,"SIM","NÃO")</f>
        <v>NÃO</v>
      </c>
      <c r="W1507" s="2" t="n">
        <v>10</v>
      </c>
      <c r="X1507" s="2" t="s">
        <v>156</v>
      </c>
    </row>
    <row r="1508" customFormat="false" ht="15" hidden="false" customHeight="false" outlineLevel="0" collapsed="false">
      <c r="A1508" s="2" t="n">
        <v>387184774</v>
      </c>
      <c r="B1508" s="29" t="n">
        <v>46266.6878819445</v>
      </c>
      <c r="C1508" s="2" t="s">
        <v>153</v>
      </c>
      <c r="D1508" s="2" t="s">
        <v>1592</v>
      </c>
      <c r="E1508" s="2" t="s">
        <v>81</v>
      </c>
      <c r="F1508" s="2" t="s">
        <v>105</v>
      </c>
      <c r="G1508" s="30" t="n">
        <v>19.8</v>
      </c>
      <c r="H1508" s="11" t="n">
        <v>369.99</v>
      </c>
      <c r="I1508" s="11" t="s">
        <v>155</v>
      </c>
      <c r="J1508" s="11" t="n">
        <v>75.61</v>
      </c>
      <c r="K1508" s="11" t="n">
        <v>46.98</v>
      </c>
      <c r="L1508" s="11" t="n">
        <v>0.37</v>
      </c>
      <c r="M1508" s="11" t="n">
        <v>0.74</v>
      </c>
      <c r="N1508" s="11" t="n">
        <v>1</v>
      </c>
      <c r="O1508" s="11" t="n">
        <v>4.5</v>
      </c>
      <c r="P1508" s="11" t="n">
        <v>1.2</v>
      </c>
      <c r="Q1508" s="11" t="n">
        <v>9</v>
      </c>
      <c r="R1508" s="11" t="n">
        <f aca="false">SUM(K1508:Q1508)</f>
        <v>63.79</v>
      </c>
      <c r="S1508" s="11" t="n">
        <f aca="false">R1508/(1-Resumo!$C$6)</f>
        <v>72.4886363636364</v>
      </c>
      <c r="T1508" s="11" t="n">
        <f aca="false">S1508-J1508</f>
        <v>-3.12136363636364</v>
      </c>
      <c r="U1508" s="12" t="n">
        <f aca="false">IFERROR(S1508/J1508-1,0)</f>
        <v>-0.0412824181505573</v>
      </c>
      <c r="V1508" s="2" t="str">
        <f aca="false">IF(S1508&lt;J1508,"SIM","NÃO")</f>
        <v>SIM</v>
      </c>
      <c r="W1508" s="2" t="n">
        <v>5</v>
      </c>
      <c r="X1508" s="2" t="s">
        <v>156</v>
      </c>
    </row>
    <row r="1509" customFormat="false" ht="15" hidden="false" customHeight="false" outlineLevel="0" collapsed="false">
      <c r="A1509" s="2" t="n">
        <v>387261366</v>
      </c>
      <c r="B1509" s="29" t="n">
        <v>46266.6892824074</v>
      </c>
      <c r="C1509" s="2" t="s">
        <v>158</v>
      </c>
      <c r="D1509" s="2" t="s">
        <v>1593</v>
      </c>
      <c r="E1509" s="2" t="s">
        <v>89</v>
      </c>
      <c r="F1509" s="2" t="s">
        <v>114</v>
      </c>
      <c r="G1509" s="30" t="n">
        <v>124.2</v>
      </c>
      <c r="H1509" s="11" t="n">
        <v>1799.99</v>
      </c>
      <c r="I1509" s="11" t="s">
        <v>155</v>
      </c>
      <c r="J1509" s="11" t="n">
        <v>261.92</v>
      </c>
      <c r="K1509" s="11" t="n">
        <v>264.84</v>
      </c>
      <c r="L1509" s="11" t="n">
        <v>1.8</v>
      </c>
      <c r="M1509" s="11" t="n">
        <v>3.6</v>
      </c>
      <c r="N1509" s="11" t="n">
        <v>1</v>
      </c>
      <c r="O1509" s="11" t="n">
        <v>9</v>
      </c>
      <c r="P1509" s="11" t="n">
        <v>7.5</v>
      </c>
      <c r="Q1509" s="11" t="n">
        <v>56.25</v>
      </c>
      <c r="R1509" s="11" t="n">
        <f aca="false">SUM(K1509:Q1509)</f>
        <v>343.99</v>
      </c>
      <c r="S1509" s="11" t="n">
        <f aca="false">R1509/(1-Resumo!$C$6)</f>
        <v>390.897727272727</v>
      </c>
      <c r="T1509" s="11" t="n">
        <f aca="false">S1509-J1509</f>
        <v>128.977727272727</v>
      </c>
      <c r="U1509" s="12" t="n">
        <f aca="false">IFERROR(S1509/J1509-1,0)</f>
        <v>0.492431762647859</v>
      </c>
      <c r="V1509" s="2" t="str">
        <f aca="false">IF(S1509&lt;J1509,"SIM","NÃO")</f>
        <v>NÃO</v>
      </c>
      <c r="W1509" s="2" t="n">
        <v>8</v>
      </c>
      <c r="X1509" s="2" t="s">
        <v>156</v>
      </c>
    </row>
    <row r="1510" customFormat="false" ht="15" hidden="false" customHeight="false" outlineLevel="0" collapsed="false">
      <c r="A1510" s="2" t="n">
        <v>387217124</v>
      </c>
      <c r="B1510" s="29" t="n">
        <v>46266.7469907407</v>
      </c>
      <c r="C1510" s="2" t="s">
        <v>191</v>
      </c>
      <c r="D1510" s="2" t="s">
        <v>1594</v>
      </c>
      <c r="E1510" s="2" t="s">
        <v>95</v>
      </c>
      <c r="F1510" s="2" t="s">
        <v>106</v>
      </c>
      <c r="G1510" s="30" t="n">
        <v>30.5</v>
      </c>
      <c r="H1510" s="11" t="n">
        <v>399.99</v>
      </c>
      <c r="I1510" s="11" t="s">
        <v>155</v>
      </c>
      <c r="J1510" s="11" t="n">
        <v>109.1</v>
      </c>
      <c r="K1510" s="11" t="n">
        <v>103.28</v>
      </c>
      <c r="L1510" s="11" t="n">
        <v>0.4</v>
      </c>
      <c r="M1510" s="11" t="n">
        <v>0.8</v>
      </c>
      <c r="N1510" s="11" t="n">
        <v>1</v>
      </c>
      <c r="O1510" s="11" t="n">
        <v>4.5</v>
      </c>
      <c r="P1510" s="11" t="n">
        <v>1.86</v>
      </c>
      <c r="Q1510" s="11" t="n">
        <v>13.95</v>
      </c>
      <c r="R1510" s="11" t="n">
        <f aca="false">SUM(K1510:Q1510)</f>
        <v>125.79</v>
      </c>
      <c r="S1510" s="11" t="n">
        <f aca="false">R1510/(1-Resumo!$C$6)</f>
        <v>142.943181818182</v>
      </c>
      <c r="T1510" s="11" t="n">
        <f aca="false">S1510-J1510</f>
        <v>33.8431818181818</v>
      </c>
      <c r="U1510" s="12" t="n">
        <f aca="false">IFERROR(S1510/J1510-1,0)</f>
        <v>0.310203316390301</v>
      </c>
      <c r="V1510" s="2" t="str">
        <f aca="false">IF(S1510&lt;J1510,"SIM","NÃO")</f>
        <v>NÃO</v>
      </c>
      <c r="W1510" s="2" t="n">
        <v>6</v>
      </c>
      <c r="X1510" s="2" t="s">
        <v>156</v>
      </c>
    </row>
    <row r="1511" customFormat="false" ht="15" hidden="false" customHeight="false" outlineLevel="0" collapsed="false">
      <c r="A1511" s="2" t="n">
        <v>387224307</v>
      </c>
      <c r="B1511" s="29" t="n">
        <v>46266.7566666667</v>
      </c>
      <c r="C1511" s="2" t="s">
        <v>153</v>
      </c>
      <c r="D1511" s="2" t="s">
        <v>1595</v>
      </c>
      <c r="E1511" s="2" t="s">
        <v>78</v>
      </c>
      <c r="F1511" s="2" t="s">
        <v>107</v>
      </c>
      <c r="G1511" s="30" t="n">
        <v>37.2</v>
      </c>
      <c r="H1511" s="11" t="n">
        <v>387.99</v>
      </c>
      <c r="I1511" s="11" t="s">
        <v>155</v>
      </c>
      <c r="J1511" s="11" t="n">
        <v>91.73</v>
      </c>
      <c r="K1511" s="11" t="n">
        <v>93.97</v>
      </c>
      <c r="L1511" s="11" t="n">
        <v>0.388</v>
      </c>
      <c r="M1511" s="11" t="n">
        <v>0.776</v>
      </c>
      <c r="N1511" s="11" t="n">
        <v>1</v>
      </c>
      <c r="O1511" s="11" t="n">
        <v>4.5</v>
      </c>
      <c r="P1511" s="11" t="n">
        <v>2.28</v>
      </c>
      <c r="Q1511" s="11" t="n">
        <v>17.1</v>
      </c>
      <c r="R1511" s="11" t="n">
        <f aca="false">SUM(K1511:Q1511)</f>
        <v>120.014</v>
      </c>
      <c r="S1511" s="11" t="n">
        <f aca="false">R1511/(1-Resumo!$C$6)</f>
        <v>136.379545454545</v>
      </c>
      <c r="T1511" s="11" t="n">
        <f aca="false">S1511-J1511</f>
        <v>44.6495454545455</v>
      </c>
      <c r="U1511" s="12" t="n">
        <f aca="false">IFERROR(S1511/J1511-1,0)</f>
        <v>0.486749650654589</v>
      </c>
      <c r="V1511" s="2" t="str">
        <f aca="false">IF(S1511&lt;J1511,"SIM","NÃO")</f>
        <v>NÃO</v>
      </c>
      <c r="W1511" s="2" t="n">
        <v>5</v>
      </c>
      <c r="X1511" s="2" t="s">
        <v>156</v>
      </c>
    </row>
    <row r="1512" customFormat="false" ht="15" hidden="false" customHeight="false" outlineLevel="0" collapsed="false">
      <c r="A1512" s="2" t="n">
        <v>387230663</v>
      </c>
      <c r="B1512" s="29" t="n">
        <v>46266.7650810185</v>
      </c>
      <c r="C1512" s="2" t="s">
        <v>153</v>
      </c>
      <c r="D1512" s="2" t="s">
        <v>1596</v>
      </c>
      <c r="E1512" s="2" t="s">
        <v>83</v>
      </c>
      <c r="F1512" s="2" t="s">
        <v>106</v>
      </c>
      <c r="G1512" s="30" t="n">
        <v>31.9</v>
      </c>
      <c r="H1512" s="11" t="n">
        <v>599.99</v>
      </c>
      <c r="I1512" s="11" t="s">
        <v>155</v>
      </c>
      <c r="J1512" s="11" t="n">
        <v>110.06</v>
      </c>
      <c r="K1512" s="11" t="n">
        <v>138.29</v>
      </c>
      <c r="L1512" s="11" t="n">
        <v>0.6</v>
      </c>
      <c r="M1512" s="11" t="n">
        <v>1.2</v>
      </c>
      <c r="N1512" s="11" t="n">
        <v>1</v>
      </c>
      <c r="O1512" s="11" t="n">
        <v>4.5</v>
      </c>
      <c r="P1512" s="11" t="n">
        <v>1.92</v>
      </c>
      <c r="Q1512" s="11" t="n">
        <v>14.4</v>
      </c>
      <c r="R1512" s="11" t="n">
        <f aca="false">SUM(K1512:Q1512)</f>
        <v>161.91</v>
      </c>
      <c r="S1512" s="11" t="n">
        <f aca="false">R1512/(1-Resumo!$C$6)</f>
        <v>183.988636363636</v>
      </c>
      <c r="T1512" s="11" t="n">
        <f aca="false">S1512-J1512</f>
        <v>73.9286363636363</v>
      </c>
      <c r="U1512" s="12" t="n">
        <f aca="false">IFERROR(S1512/J1512-1,0)</f>
        <v>0.67171212396544</v>
      </c>
      <c r="V1512" s="2" t="str">
        <f aca="false">IF(S1512&lt;J1512,"SIM","NÃO")</f>
        <v>NÃO</v>
      </c>
      <c r="W1512" s="2" t="n">
        <v>11</v>
      </c>
      <c r="X1512" s="2" t="s">
        <v>156</v>
      </c>
    </row>
    <row r="1513" customFormat="false" ht="15" hidden="false" customHeight="false" outlineLevel="0" collapsed="false">
      <c r="A1513" s="2" t="n">
        <v>387260493</v>
      </c>
      <c r="B1513" s="29" t="n">
        <v>46266.7940856482</v>
      </c>
      <c r="C1513" s="2" t="s">
        <v>369</v>
      </c>
      <c r="D1513" s="2" t="s">
        <v>1597</v>
      </c>
      <c r="E1513" s="2" t="s">
        <v>78</v>
      </c>
      <c r="F1513" s="2" t="s">
        <v>108</v>
      </c>
      <c r="G1513" s="30" t="n">
        <v>46.8</v>
      </c>
      <c r="H1513" s="11" t="n">
        <v>470.11</v>
      </c>
      <c r="I1513" s="11" t="s">
        <v>155</v>
      </c>
      <c r="J1513" s="11" t="n">
        <v>102.84</v>
      </c>
      <c r="K1513" s="11" t="n">
        <v>93.97</v>
      </c>
      <c r="L1513" s="11" t="n">
        <v>0.4701</v>
      </c>
      <c r="M1513" s="11" t="n">
        <v>0.9402</v>
      </c>
      <c r="N1513" s="11" t="n">
        <v>1</v>
      </c>
      <c r="O1513" s="11" t="n">
        <v>4.5</v>
      </c>
      <c r="P1513" s="11" t="n">
        <v>2.82</v>
      </c>
      <c r="Q1513" s="11" t="n">
        <v>21.15</v>
      </c>
      <c r="R1513" s="11" t="n">
        <f aca="false">SUM(K1513:Q1513)</f>
        <v>124.8503</v>
      </c>
      <c r="S1513" s="11" t="n">
        <f aca="false">R1513/(1-Resumo!$C$6)</f>
        <v>141.875340909091</v>
      </c>
      <c r="T1513" s="11" t="n">
        <f aca="false">S1513-J1513</f>
        <v>39.0353409090909</v>
      </c>
      <c r="U1513" s="12" t="n">
        <f aca="false">IFERROR(S1513/J1513-1,0)</f>
        <v>0.379573521091899</v>
      </c>
      <c r="V1513" s="2" t="str">
        <f aca="false">IF(S1513&lt;J1513,"SIM","NÃO")</f>
        <v>NÃO</v>
      </c>
      <c r="W1513" s="2" t="n">
        <v>5</v>
      </c>
      <c r="X1513" s="2" t="s">
        <v>156</v>
      </c>
    </row>
    <row r="1514" customFormat="false" ht="15" hidden="false" customHeight="false" outlineLevel="0" collapsed="false">
      <c r="A1514" s="2" t="n">
        <v>387259286</v>
      </c>
      <c r="B1514" s="29" t="n">
        <v>46266.8165972222</v>
      </c>
      <c r="C1514" s="2" t="s">
        <v>178</v>
      </c>
      <c r="D1514" s="2" t="s">
        <v>1598</v>
      </c>
      <c r="E1514" s="2" t="s">
        <v>78</v>
      </c>
      <c r="F1514" s="2" t="s">
        <v>106</v>
      </c>
      <c r="G1514" s="30" t="n">
        <v>24.8</v>
      </c>
      <c r="H1514" s="11" t="n">
        <v>382.49</v>
      </c>
      <c r="I1514" s="11" t="s">
        <v>155</v>
      </c>
      <c r="J1514" s="11" t="n">
        <v>82.15</v>
      </c>
      <c r="K1514" s="11" t="n">
        <v>82.21</v>
      </c>
      <c r="L1514" s="11" t="n">
        <v>0.3825</v>
      </c>
      <c r="M1514" s="11" t="n">
        <v>0.765</v>
      </c>
      <c r="N1514" s="11" t="n">
        <v>1</v>
      </c>
      <c r="O1514" s="11" t="n">
        <v>4.5</v>
      </c>
      <c r="P1514" s="11" t="n">
        <v>1.5</v>
      </c>
      <c r="Q1514" s="11" t="n">
        <v>11.25</v>
      </c>
      <c r="R1514" s="11" t="n">
        <f aca="false">SUM(K1514:Q1514)</f>
        <v>101.6075</v>
      </c>
      <c r="S1514" s="11" t="n">
        <f aca="false">R1514/(1-Resumo!$C$6)</f>
        <v>115.463068181818</v>
      </c>
      <c r="T1514" s="11" t="n">
        <f aca="false">S1514-J1514</f>
        <v>33.3130681818182</v>
      </c>
      <c r="U1514" s="12" t="n">
        <f aca="false">IFERROR(S1514/J1514-1,0)</f>
        <v>0.405515133071432</v>
      </c>
      <c r="V1514" s="2" t="str">
        <f aca="false">IF(S1514&lt;J1514,"SIM","NÃO")</f>
        <v>NÃO</v>
      </c>
      <c r="W1514" s="2" t="n">
        <v>5</v>
      </c>
      <c r="X1514" s="2" t="s">
        <v>156</v>
      </c>
    </row>
    <row r="1515" customFormat="false" ht="15" hidden="false" customHeight="false" outlineLevel="0" collapsed="false">
      <c r="A1515" s="2" t="n">
        <v>387282705</v>
      </c>
      <c r="B1515" s="29" t="n">
        <v>46266.8499652778</v>
      </c>
      <c r="C1515" s="2" t="s">
        <v>153</v>
      </c>
      <c r="D1515" s="2" t="s">
        <v>1599</v>
      </c>
      <c r="E1515" s="2" t="s">
        <v>81</v>
      </c>
      <c r="F1515" s="2" t="s">
        <v>106</v>
      </c>
      <c r="G1515" s="30" t="n">
        <v>33.21</v>
      </c>
      <c r="H1515" s="11" t="n">
        <v>439.99</v>
      </c>
      <c r="I1515" s="11" t="s">
        <v>155</v>
      </c>
      <c r="J1515" s="11" t="n">
        <v>101.5</v>
      </c>
      <c r="K1515" s="11" t="n">
        <v>82.21</v>
      </c>
      <c r="L1515" s="11" t="n">
        <v>0.44</v>
      </c>
      <c r="M1515" s="11" t="n">
        <v>0.88</v>
      </c>
      <c r="N1515" s="11" t="n">
        <v>1</v>
      </c>
      <c r="O1515" s="11" t="n">
        <v>4.5</v>
      </c>
      <c r="P1515" s="11" t="n">
        <v>2.04</v>
      </c>
      <c r="Q1515" s="11" t="n">
        <v>15.3</v>
      </c>
      <c r="R1515" s="11" t="n">
        <f aca="false">SUM(K1515:Q1515)</f>
        <v>106.37</v>
      </c>
      <c r="S1515" s="11" t="n">
        <f aca="false">R1515/(1-Resumo!$C$6)</f>
        <v>120.875</v>
      </c>
      <c r="T1515" s="11" t="n">
        <f aca="false">S1515-J1515</f>
        <v>19.375</v>
      </c>
      <c r="U1515" s="12" t="n">
        <f aca="false">IFERROR(S1515/J1515-1,0)</f>
        <v>0.190886699507389</v>
      </c>
      <c r="V1515" s="2" t="str">
        <f aca="false">IF(S1515&lt;J1515,"SIM","NÃO")</f>
        <v>NÃO</v>
      </c>
      <c r="W1515" s="2" t="n">
        <v>5</v>
      </c>
      <c r="X1515" s="2" t="s">
        <v>156</v>
      </c>
    </row>
    <row r="1516" customFormat="false" ht="15" hidden="false" customHeight="false" outlineLevel="0" collapsed="false">
      <c r="A1516" s="2" t="n">
        <v>387294670</v>
      </c>
      <c r="B1516" s="29" t="n">
        <v>46266.8705902778</v>
      </c>
      <c r="C1516" s="2" t="s">
        <v>153</v>
      </c>
      <c r="D1516" s="2" t="s">
        <v>1600</v>
      </c>
      <c r="E1516" s="2" t="s">
        <v>78</v>
      </c>
      <c r="F1516" s="2" t="s">
        <v>110</v>
      </c>
      <c r="G1516" s="30" t="n">
        <v>66.8</v>
      </c>
      <c r="H1516" s="11" t="n">
        <v>699.99</v>
      </c>
      <c r="I1516" s="11" t="s">
        <v>155</v>
      </c>
      <c r="J1516" s="11" t="n">
        <v>124.56</v>
      </c>
      <c r="K1516" s="11" t="n">
        <v>131.02</v>
      </c>
      <c r="L1516" s="11" t="n">
        <v>0.7</v>
      </c>
      <c r="M1516" s="11" t="n">
        <v>1.4</v>
      </c>
      <c r="N1516" s="11" t="n">
        <v>1</v>
      </c>
      <c r="O1516" s="11" t="n">
        <v>4.5</v>
      </c>
      <c r="P1516" s="11" t="n">
        <v>4.02</v>
      </c>
      <c r="Q1516" s="11" t="n">
        <v>30.15</v>
      </c>
      <c r="R1516" s="11" t="n">
        <f aca="false">SUM(K1516:Q1516)</f>
        <v>172.79</v>
      </c>
      <c r="S1516" s="11" t="n">
        <f aca="false">R1516/(1-Resumo!$C$6)</f>
        <v>196.352272727273</v>
      </c>
      <c r="T1516" s="11" t="n">
        <f aca="false">S1516-J1516</f>
        <v>71.7922727272728</v>
      </c>
      <c r="U1516" s="12" t="n">
        <f aca="false">IFERROR(S1516/J1516-1,0)</f>
        <v>0.57636699363578</v>
      </c>
      <c r="V1516" s="2" t="str">
        <f aca="false">IF(S1516&lt;J1516,"SIM","NÃO")</f>
        <v>NÃO</v>
      </c>
      <c r="W1516" s="2" t="n">
        <v>5</v>
      </c>
      <c r="X1516" s="2" t="s">
        <v>156</v>
      </c>
    </row>
    <row r="1517" customFormat="false" ht="15" hidden="false" customHeight="false" outlineLevel="0" collapsed="false">
      <c r="A1517" s="2" t="n">
        <v>387290978</v>
      </c>
      <c r="B1517" s="29" t="n">
        <v>46266.8735532407</v>
      </c>
      <c r="C1517" s="2" t="s">
        <v>178</v>
      </c>
      <c r="D1517" s="2" t="s">
        <v>1601</v>
      </c>
      <c r="E1517" s="2" t="s">
        <v>78</v>
      </c>
      <c r="F1517" s="2" t="s">
        <v>107</v>
      </c>
      <c r="G1517" s="30" t="n">
        <v>37.2</v>
      </c>
      <c r="H1517" s="11" t="n">
        <v>509.99</v>
      </c>
      <c r="I1517" s="11" t="s">
        <v>155</v>
      </c>
      <c r="J1517" s="11" t="n">
        <v>92.3</v>
      </c>
      <c r="K1517" s="11" t="n">
        <v>93.97</v>
      </c>
      <c r="L1517" s="11" t="n">
        <v>0.51</v>
      </c>
      <c r="M1517" s="11" t="n">
        <v>1.02</v>
      </c>
      <c r="N1517" s="11" t="n">
        <v>1</v>
      </c>
      <c r="O1517" s="11" t="n">
        <v>4.5</v>
      </c>
      <c r="P1517" s="11" t="n">
        <v>2.28</v>
      </c>
      <c r="Q1517" s="11" t="n">
        <v>17.1</v>
      </c>
      <c r="R1517" s="11" t="n">
        <f aca="false">SUM(K1517:Q1517)</f>
        <v>120.38</v>
      </c>
      <c r="S1517" s="11" t="n">
        <f aca="false">R1517/(1-Resumo!$C$6)</f>
        <v>136.795454545455</v>
      </c>
      <c r="T1517" s="11" t="n">
        <f aca="false">S1517-J1517</f>
        <v>44.4954545454545</v>
      </c>
      <c r="U1517" s="12" t="n">
        <f aca="false">IFERROR(S1517/J1517-1,0)</f>
        <v>0.482074263764404</v>
      </c>
      <c r="V1517" s="2" t="str">
        <f aca="false">IF(S1517&lt;J1517,"SIM","NÃO")</f>
        <v>NÃO</v>
      </c>
      <c r="W1517" s="2" t="n">
        <v>5</v>
      </c>
      <c r="X1517" s="2" t="s">
        <v>156</v>
      </c>
    </row>
    <row r="1518" customFormat="false" ht="15" hidden="false" customHeight="false" outlineLevel="0" collapsed="false">
      <c r="A1518" s="2" t="n">
        <v>387298161</v>
      </c>
      <c r="B1518" s="29" t="n">
        <v>46266.8758564815</v>
      </c>
      <c r="C1518" s="2" t="s">
        <v>158</v>
      </c>
      <c r="D1518" s="2" t="s">
        <v>1602</v>
      </c>
      <c r="E1518" s="2" t="s">
        <v>82</v>
      </c>
      <c r="F1518" s="2" t="s">
        <v>106</v>
      </c>
      <c r="G1518" s="30" t="n">
        <v>27.6</v>
      </c>
      <c r="H1518" s="11" t="n">
        <v>332.45</v>
      </c>
      <c r="I1518" s="11" t="s">
        <v>155</v>
      </c>
      <c r="J1518" s="11" t="n">
        <v>100.97</v>
      </c>
      <c r="K1518" s="11" t="n">
        <v>100.58</v>
      </c>
      <c r="L1518" s="11" t="n">
        <v>0.3325</v>
      </c>
      <c r="M1518" s="11" t="n">
        <v>0.6649</v>
      </c>
      <c r="N1518" s="11" t="n">
        <v>1</v>
      </c>
      <c r="O1518" s="11" t="n">
        <v>4.5</v>
      </c>
      <c r="P1518" s="11" t="n">
        <v>1.68</v>
      </c>
      <c r="Q1518" s="11" t="n">
        <v>12.6</v>
      </c>
      <c r="R1518" s="11" t="n">
        <f aca="false">SUM(K1518:Q1518)</f>
        <v>121.3574</v>
      </c>
      <c r="S1518" s="11" t="n">
        <f aca="false">R1518/(1-Resumo!$C$6)</f>
        <v>137.906136363636</v>
      </c>
      <c r="T1518" s="11" t="n">
        <f aca="false">S1518-J1518</f>
        <v>36.9361363636364</v>
      </c>
      <c r="U1518" s="12" t="n">
        <f aca="false">IFERROR(S1518/J1518-1,0)</f>
        <v>0.365812977752168</v>
      </c>
      <c r="V1518" s="2" t="str">
        <f aca="false">IF(S1518&lt;J1518,"SIM","NÃO")</f>
        <v>NÃO</v>
      </c>
      <c r="W1518" s="2" t="n">
        <v>7</v>
      </c>
      <c r="X1518" s="2" t="s">
        <v>156</v>
      </c>
    </row>
    <row r="1519" customFormat="false" ht="15" hidden="false" customHeight="false" outlineLevel="0" collapsed="false">
      <c r="A1519" s="2" t="n">
        <v>387311830</v>
      </c>
      <c r="B1519" s="29" t="n">
        <v>46266.9023263889</v>
      </c>
      <c r="C1519" s="2" t="s">
        <v>194</v>
      </c>
      <c r="D1519" s="2" t="s">
        <v>1603</v>
      </c>
      <c r="E1519" s="2" t="s">
        <v>83</v>
      </c>
      <c r="F1519" s="2" t="s">
        <v>106</v>
      </c>
      <c r="G1519" s="30" t="n">
        <v>27</v>
      </c>
      <c r="H1519" s="11" t="n">
        <v>334.39</v>
      </c>
      <c r="I1519" s="11" t="s">
        <v>155</v>
      </c>
      <c r="J1519" s="11" t="n">
        <v>108.78</v>
      </c>
      <c r="K1519" s="11" t="n">
        <v>138.29</v>
      </c>
      <c r="L1519" s="11" t="n">
        <v>0.3344</v>
      </c>
      <c r="M1519" s="11" t="n">
        <v>0.6688</v>
      </c>
      <c r="N1519" s="11" t="n">
        <v>1</v>
      </c>
      <c r="O1519" s="11" t="n">
        <v>4.5</v>
      </c>
      <c r="P1519" s="11" t="n">
        <v>1.62</v>
      </c>
      <c r="Q1519" s="11" t="n">
        <v>12.15</v>
      </c>
      <c r="R1519" s="11" t="n">
        <f aca="false">SUM(K1519:Q1519)</f>
        <v>158.5632</v>
      </c>
      <c r="S1519" s="11" t="n">
        <f aca="false">R1519/(1-Resumo!$C$6)</f>
        <v>180.185454545455</v>
      </c>
      <c r="T1519" s="11" t="n">
        <f aca="false">S1519-J1519</f>
        <v>71.4054545454546</v>
      </c>
      <c r="U1519" s="12" t="n">
        <f aca="false">IFERROR(S1519/J1519-1,0)</f>
        <v>0.656420799277942</v>
      </c>
      <c r="V1519" s="2" t="str">
        <f aca="false">IF(S1519&lt;J1519,"SIM","NÃO")</f>
        <v>NÃO</v>
      </c>
      <c r="W1519" s="2" t="n">
        <v>11</v>
      </c>
      <c r="X1519" s="2" t="s">
        <v>156</v>
      </c>
    </row>
    <row r="1520" customFormat="false" ht="15" hidden="false" customHeight="false" outlineLevel="0" collapsed="false">
      <c r="A1520" s="2" t="n">
        <v>387320689</v>
      </c>
      <c r="B1520" s="29" t="n">
        <v>46266.9159722222</v>
      </c>
      <c r="C1520" s="2" t="s">
        <v>158</v>
      </c>
      <c r="D1520" s="2" t="s">
        <v>1604</v>
      </c>
      <c r="E1520" s="2" t="s">
        <v>88</v>
      </c>
      <c r="F1520" s="2" t="s">
        <v>108</v>
      </c>
      <c r="G1520" s="30" t="n">
        <v>43.5</v>
      </c>
      <c r="H1520" s="11" t="n">
        <v>581.72</v>
      </c>
      <c r="I1520" s="11" t="s">
        <v>155</v>
      </c>
      <c r="J1520" s="11" t="n">
        <v>130.94</v>
      </c>
      <c r="K1520" s="11" t="n">
        <v>124.38</v>
      </c>
      <c r="L1520" s="11" t="n">
        <v>0.5817</v>
      </c>
      <c r="M1520" s="11" t="n">
        <v>1.1634</v>
      </c>
      <c r="N1520" s="11" t="n">
        <v>1</v>
      </c>
      <c r="O1520" s="11" t="n">
        <v>4.5</v>
      </c>
      <c r="P1520" s="11" t="n">
        <v>2.64</v>
      </c>
      <c r="Q1520" s="11" t="n">
        <v>19.8</v>
      </c>
      <c r="R1520" s="11" t="n">
        <f aca="false">SUM(K1520:Q1520)</f>
        <v>154.0651</v>
      </c>
      <c r="S1520" s="11" t="n">
        <f aca="false">R1520/(1-Resumo!$C$6)</f>
        <v>175.073977272727</v>
      </c>
      <c r="T1520" s="11" t="n">
        <f aca="false">S1520-J1520</f>
        <v>44.1339772727273</v>
      </c>
      <c r="U1520" s="12" t="n">
        <f aca="false">IFERROR(S1520/J1520-1,0)</f>
        <v>0.337054966188539</v>
      </c>
      <c r="V1520" s="2" t="str">
        <f aca="false">IF(S1520&lt;J1520,"SIM","NÃO")</f>
        <v>NÃO</v>
      </c>
      <c r="W1520" s="2" t="n">
        <v>10</v>
      </c>
      <c r="X1520" s="2" t="s">
        <v>156</v>
      </c>
    </row>
    <row r="1521" customFormat="false" ht="15" hidden="false" customHeight="false" outlineLevel="0" collapsed="false">
      <c r="A1521" s="2" t="n">
        <v>387323306</v>
      </c>
      <c r="B1521" s="29" t="n">
        <v>46266.9204282407</v>
      </c>
      <c r="C1521" s="2" t="s">
        <v>153</v>
      </c>
      <c r="D1521" s="2" t="s">
        <v>1605</v>
      </c>
      <c r="E1521" s="2" t="s">
        <v>81</v>
      </c>
      <c r="F1521" s="2" t="s">
        <v>108</v>
      </c>
      <c r="G1521" s="30" t="n">
        <v>46.8</v>
      </c>
      <c r="H1521" s="11" t="n">
        <v>484.02</v>
      </c>
      <c r="I1521" s="11" t="s">
        <v>155</v>
      </c>
      <c r="J1521" s="11" t="n">
        <v>116.4</v>
      </c>
      <c r="K1521" s="11" t="n">
        <v>93.97</v>
      </c>
      <c r="L1521" s="11" t="n">
        <v>0.484</v>
      </c>
      <c r="M1521" s="11" t="n">
        <v>0.968</v>
      </c>
      <c r="N1521" s="11" t="n">
        <v>1</v>
      </c>
      <c r="O1521" s="11" t="n">
        <v>4.5</v>
      </c>
      <c r="P1521" s="11" t="n">
        <v>2.82</v>
      </c>
      <c r="Q1521" s="11" t="n">
        <v>21.15</v>
      </c>
      <c r="R1521" s="11" t="n">
        <f aca="false">SUM(K1521:Q1521)</f>
        <v>124.892</v>
      </c>
      <c r="S1521" s="11" t="n">
        <f aca="false">R1521/(1-Resumo!$C$6)</f>
        <v>141.922727272727</v>
      </c>
      <c r="T1521" s="11" t="n">
        <f aca="false">S1521-J1521</f>
        <v>25.5227272727273</v>
      </c>
      <c r="U1521" s="12" t="n">
        <f aca="false">IFERROR(S1521/J1521-1,0)</f>
        <v>0.219267416432365</v>
      </c>
      <c r="V1521" s="2" t="str">
        <f aca="false">IF(S1521&lt;J1521,"SIM","NÃO")</f>
        <v>NÃO</v>
      </c>
      <c r="W1521" s="2" t="n">
        <v>5</v>
      </c>
      <c r="X1521" s="2" t="s">
        <v>156</v>
      </c>
    </row>
    <row r="1522" customFormat="false" ht="15" hidden="false" customHeight="false" outlineLevel="0" collapsed="false">
      <c r="A1522" s="2" t="n">
        <v>387361106</v>
      </c>
      <c r="B1522" s="29" t="n">
        <v>46266.9964236111</v>
      </c>
      <c r="C1522" s="2" t="s">
        <v>153</v>
      </c>
      <c r="D1522" s="2" t="s">
        <v>1606</v>
      </c>
      <c r="E1522" s="2" t="s">
        <v>78</v>
      </c>
      <c r="F1522" s="2" t="s">
        <v>106</v>
      </c>
      <c r="G1522" s="30" t="n">
        <v>33</v>
      </c>
      <c r="H1522" s="11" t="n">
        <v>344.13</v>
      </c>
      <c r="I1522" s="11" t="s">
        <v>155</v>
      </c>
      <c r="J1522" s="11" t="n">
        <v>81.98</v>
      </c>
      <c r="K1522" s="11" t="n">
        <v>82.21</v>
      </c>
      <c r="L1522" s="11" t="n">
        <v>0.3441</v>
      </c>
      <c r="M1522" s="11" t="n">
        <v>0.6883</v>
      </c>
      <c r="N1522" s="11" t="n">
        <v>1</v>
      </c>
      <c r="O1522" s="11" t="n">
        <v>4.5</v>
      </c>
      <c r="P1522" s="11" t="n">
        <v>1.98</v>
      </c>
      <c r="Q1522" s="11" t="n">
        <v>14.85</v>
      </c>
      <c r="R1522" s="11" t="n">
        <f aca="false">SUM(K1522:Q1522)</f>
        <v>105.5724</v>
      </c>
      <c r="S1522" s="11" t="n">
        <f aca="false">R1522/(1-Resumo!$C$6)</f>
        <v>119.968636363636</v>
      </c>
      <c r="T1522" s="11" t="n">
        <f aca="false">S1522-J1522</f>
        <v>37.9886363636363</v>
      </c>
      <c r="U1522" s="12" t="n">
        <f aca="false">IFERROR(S1522/J1522-1,0)</f>
        <v>0.463389074940673</v>
      </c>
      <c r="V1522" s="2" t="str">
        <f aca="false">IF(S1522&lt;J1522,"SIM","NÃO")</f>
        <v>NÃO</v>
      </c>
      <c r="W1522" s="2" t="n">
        <v>5</v>
      </c>
      <c r="X1522" s="2" t="s">
        <v>156</v>
      </c>
    </row>
    <row r="1523" customFormat="false" ht="15" hidden="false" customHeight="false" outlineLevel="0" collapsed="false">
      <c r="A1523" s="2" t="n">
        <v>387379366</v>
      </c>
      <c r="B1523" s="29" t="n">
        <v>46267.0482175926</v>
      </c>
      <c r="C1523" s="2" t="s">
        <v>153</v>
      </c>
      <c r="D1523" s="2" t="s">
        <v>1124</v>
      </c>
      <c r="E1523" s="2" t="s">
        <v>78</v>
      </c>
      <c r="F1523" s="2" t="s">
        <v>106</v>
      </c>
      <c r="G1523" s="30" t="n">
        <v>31</v>
      </c>
      <c r="H1523" s="11" t="n">
        <v>329.99</v>
      </c>
      <c r="I1523" s="11" t="s">
        <v>155</v>
      </c>
      <c r="J1523" s="11" t="n">
        <v>81.91</v>
      </c>
      <c r="K1523" s="11" t="n">
        <v>82.21</v>
      </c>
      <c r="L1523" s="11" t="n">
        <v>0.33</v>
      </c>
      <c r="M1523" s="11" t="n">
        <v>0.66</v>
      </c>
      <c r="N1523" s="11" t="n">
        <v>1</v>
      </c>
      <c r="O1523" s="11" t="n">
        <v>4.5</v>
      </c>
      <c r="P1523" s="11" t="n">
        <v>1.86</v>
      </c>
      <c r="Q1523" s="11" t="n">
        <v>13.95</v>
      </c>
      <c r="R1523" s="11" t="n">
        <f aca="false">SUM(K1523:Q1523)</f>
        <v>104.51</v>
      </c>
      <c r="S1523" s="11" t="n">
        <f aca="false">R1523/(1-Resumo!$C$6)</f>
        <v>118.761363636364</v>
      </c>
      <c r="T1523" s="11" t="n">
        <f aca="false">S1523-J1523</f>
        <v>36.8513636363636</v>
      </c>
      <c r="U1523" s="12" t="n">
        <f aca="false">IFERROR(S1523/J1523-1,0)</f>
        <v>0.449900667029223</v>
      </c>
      <c r="V1523" s="2" t="str">
        <f aca="false">IF(S1523&lt;J1523,"SIM","NÃO")</f>
        <v>NÃO</v>
      </c>
      <c r="W1523" s="2" t="n">
        <v>5</v>
      </c>
      <c r="X1523" s="2" t="s">
        <v>156</v>
      </c>
    </row>
    <row r="1524" customFormat="false" ht="15" hidden="false" customHeight="false" outlineLevel="0" collapsed="false">
      <c r="A1524" s="2" t="n">
        <v>387428646</v>
      </c>
      <c r="B1524" s="29" t="n">
        <v>46267.2216782407</v>
      </c>
      <c r="C1524" s="2" t="s">
        <v>158</v>
      </c>
      <c r="D1524" s="2" t="s">
        <v>1607</v>
      </c>
      <c r="E1524" s="2" t="s">
        <v>78</v>
      </c>
      <c r="F1524" s="2" t="s">
        <v>110</v>
      </c>
      <c r="G1524" s="30" t="n">
        <v>66.8</v>
      </c>
      <c r="H1524" s="11" t="n">
        <v>651</v>
      </c>
      <c r="I1524" s="11" t="s">
        <v>155</v>
      </c>
      <c r="J1524" s="11" t="n">
        <v>124.32</v>
      </c>
      <c r="K1524" s="11" t="n">
        <v>131.02</v>
      </c>
      <c r="L1524" s="11" t="n">
        <v>0.651</v>
      </c>
      <c r="M1524" s="11" t="n">
        <v>1.302</v>
      </c>
      <c r="N1524" s="11" t="n">
        <v>1</v>
      </c>
      <c r="O1524" s="11" t="n">
        <v>4.5</v>
      </c>
      <c r="P1524" s="11" t="n">
        <v>4.02</v>
      </c>
      <c r="Q1524" s="11" t="n">
        <v>30.15</v>
      </c>
      <c r="R1524" s="11" t="n">
        <f aca="false">SUM(K1524:Q1524)</f>
        <v>172.643</v>
      </c>
      <c r="S1524" s="11" t="n">
        <f aca="false">R1524/(1-Resumo!$C$6)</f>
        <v>196.185227272727</v>
      </c>
      <c r="T1524" s="11" t="n">
        <f aca="false">S1524-J1524</f>
        <v>71.8652272727273</v>
      </c>
      <c r="U1524" s="12" t="n">
        <f aca="false">IFERROR(S1524/J1524-1,0)</f>
        <v>0.5780664999415</v>
      </c>
      <c r="V1524" s="2" t="str">
        <f aca="false">IF(S1524&lt;J1524,"SIM","NÃO")</f>
        <v>NÃO</v>
      </c>
      <c r="W1524" s="2" t="n">
        <v>5</v>
      </c>
      <c r="X1524" s="2" t="s">
        <v>156</v>
      </c>
    </row>
    <row r="1525" customFormat="false" ht="15" hidden="false" customHeight="false" outlineLevel="0" collapsed="false">
      <c r="A1525" s="2" t="n">
        <v>387452124</v>
      </c>
      <c r="B1525" s="29" t="n">
        <v>46267.3017708333</v>
      </c>
      <c r="C1525" s="2" t="s">
        <v>153</v>
      </c>
      <c r="D1525" s="2" t="s">
        <v>1608</v>
      </c>
      <c r="E1525" s="2" t="s">
        <v>79</v>
      </c>
      <c r="F1525" s="2" t="s">
        <v>108</v>
      </c>
      <c r="G1525" s="30" t="n">
        <v>48.3</v>
      </c>
      <c r="H1525" s="11" t="n">
        <v>440.89</v>
      </c>
      <c r="I1525" s="11" t="s">
        <v>155</v>
      </c>
      <c r="J1525" s="11" t="n">
        <v>116.18</v>
      </c>
      <c r="K1525" s="11" t="n">
        <v>114.95</v>
      </c>
      <c r="L1525" s="11" t="n">
        <v>0.4409</v>
      </c>
      <c r="M1525" s="11" t="n">
        <v>0.8818</v>
      </c>
      <c r="N1525" s="11" t="n">
        <v>1</v>
      </c>
      <c r="O1525" s="11" t="n">
        <v>4.5</v>
      </c>
      <c r="P1525" s="11" t="n">
        <v>2.94</v>
      </c>
      <c r="Q1525" s="11" t="n">
        <v>22.05</v>
      </c>
      <c r="R1525" s="11" t="n">
        <f aca="false">SUM(K1525:Q1525)</f>
        <v>146.7627</v>
      </c>
      <c r="S1525" s="11" t="n">
        <f aca="false">R1525/(1-Resumo!$C$6)</f>
        <v>166.775795454545</v>
      </c>
      <c r="T1525" s="11" t="n">
        <f aca="false">S1525-J1525</f>
        <v>50.5957954545455</v>
      </c>
      <c r="U1525" s="12" t="n">
        <f aca="false">IFERROR(S1525/J1525-1,0)</f>
        <v>0.435494882549023</v>
      </c>
      <c r="V1525" s="2" t="str">
        <f aca="false">IF(S1525&lt;J1525,"SIM","NÃO")</f>
        <v>NÃO</v>
      </c>
      <c r="W1525" s="2" t="n">
        <v>7</v>
      </c>
      <c r="X1525" s="2" t="s">
        <v>156</v>
      </c>
    </row>
    <row r="1526" customFormat="false" ht="15" hidden="false" customHeight="false" outlineLevel="0" collapsed="false">
      <c r="A1526" s="2" t="n">
        <v>387491798</v>
      </c>
      <c r="B1526" s="29" t="n">
        <v>46267.4050578704</v>
      </c>
      <c r="C1526" s="2" t="s">
        <v>158</v>
      </c>
      <c r="D1526" s="2" t="s">
        <v>1609</v>
      </c>
      <c r="E1526" s="2" t="s">
        <v>78</v>
      </c>
      <c r="F1526" s="2" t="s">
        <v>107</v>
      </c>
      <c r="G1526" s="30" t="n">
        <v>36.8</v>
      </c>
      <c r="H1526" s="11" t="n">
        <v>431.64</v>
      </c>
      <c r="I1526" s="11" t="s">
        <v>155</v>
      </c>
      <c r="J1526" s="11" t="n">
        <v>91.92</v>
      </c>
      <c r="K1526" s="11" t="n">
        <v>93.97</v>
      </c>
      <c r="L1526" s="11" t="n">
        <v>0.4316</v>
      </c>
      <c r="M1526" s="11" t="n">
        <v>0.8633</v>
      </c>
      <c r="N1526" s="11" t="n">
        <v>1</v>
      </c>
      <c r="O1526" s="11" t="n">
        <v>4.5</v>
      </c>
      <c r="P1526" s="11" t="n">
        <v>2.22</v>
      </c>
      <c r="Q1526" s="11" t="n">
        <v>16.65</v>
      </c>
      <c r="R1526" s="11" t="n">
        <f aca="false">SUM(K1526:Q1526)</f>
        <v>119.6349</v>
      </c>
      <c r="S1526" s="11" t="n">
        <f aca="false">R1526/(1-Resumo!$C$6)</f>
        <v>135.94875</v>
      </c>
      <c r="T1526" s="11" t="n">
        <f aca="false">S1526-J1526</f>
        <v>44.02875</v>
      </c>
      <c r="U1526" s="12" t="n">
        <f aca="false">IFERROR(S1526/J1526-1,0)</f>
        <v>0.478989882506527</v>
      </c>
      <c r="V1526" s="2" t="str">
        <f aca="false">IF(S1526&lt;J1526,"SIM","NÃO")</f>
        <v>NÃO</v>
      </c>
      <c r="W1526" s="2" t="n">
        <v>5</v>
      </c>
      <c r="X1526" s="2" t="s">
        <v>156</v>
      </c>
    </row>
    <row r="1527" customFormat="false" ht="15" hidden="false" customHeight="false" outlineLevel="0" collapsed="false">
      <c r="A1527" s="2" t="n">
        <v>387511278</v>
      </c>
      <c r="B1527" s="29" t="n">
        <v>46267.4446990741</v>
      </c>
      <c r="C1527" s="2" t="s">
        <v>153</v>
      </c>
      <c r="D1527" s="2" t="s">
        <v>1610</v>
      </c>
      <c r="E1527" s="2" t="s">
        <v>78</v>
      </c>
      <c r="F1527" s="2" t="s">
        <v>107</v>
      </c>
      <c r="G1527" s="30" t="n">
        <v>37.6</v>
      </c>
      <c r="H1527" s="11" t="n">
        <v>391.9</v>
      </c>
      <c r="I1527" s="11" t="s">
        <v>155</v>
      </c>
      <c r="J1527" s="11" t="n">
        <v>91.73</v>
      </c>
      <c r="K1527" s="11" t="n">
        <v>93.97</v>
      </c>
      <c r="L1527" s="11" t="n">
        <v>0.3919</v>
      </c>
      <c r="M1527" s="11" t="n">
        <v>0.7838</v>
      </c>
      <c r="N1527" s="11" t="n">
        <v>1</v>
      </c>
      <c r="O1527" s="11" t="n">
        <v>4.5</v>
      </c>
      <c r="P1527" s="11" t="n">
        <v>2.28</v>
      </c>
      <c r="Q1527" s="11" t="n">
        <v>17.1</v>
      </c>
      <c r="R1527" s="11" t="n">
        <f aca="false">SUM(K1527:Q1527)</f>
        <v>120.0257</v>
      </c>
      <c r="S1527" s="11" t="n">
        <f aca="false">R1527/(1-Resumo!$C$6)</f>
        <v>136.392840909091</v>
      </c>
      <c r="T1527" s="11" t="n">
        <f aca="false">S1527-J1527</f>
        <v>44.6628409090909</v>
      </c>
      <c r="U1527" s="12" t="n">
        <f aca="false">IFERROR(S1527/J1527-1,0)</f>
        <v>0.486894591835724</v>
      </c>
      <c r="V1527" s="2" t="str">
        <f aca="false">IF(S1527&lt;J1527,"SIM","NÃO")</f>
        <v>NÃO</v>
      </c>
      <c r="W1527" s="2" t="n">
        <v>5</v>
      </c>
      <c r="X1527" s="2" t="s">
        <v>156</v>
      </c>
    </row>
    <row r="1528" customFormat="false" ht="15" hidden="false" customHeight="false" outlineLevel="0" collapsed="false">
      <c r="A1528" s="2" t="n">
        <v>387517402</v>
      </c>
      <c r="B1528" s="29" t="n">
        <v>46267.4562384259</v>
      </c>
      <c r="C1528" s="2" t="s">
        <v>153</v>
      </c>
      <c r="D1528" s="2" t="s">
        <v>1611</v>
      </c>
      <c r="E1528" s="2" t="s">
        <v>78</v>
      </c>
      <c r="F1528" s="2" t="s">
        <v>110</v>
      </c>
      <c r="G1528" s="30" t="n">
        <v>68.1</v>
      </c>
      <c r="H1528" s="11" t="n">
        <v>999.99</v>
      </c>
      <c r="I1528" s="11" t="s">
        <v>155</v>
      </c>
      <c r="J1528" s="11" t="n">
        <v>126</v>
      </c>
      <c r="K1528" s="11" t="n">
        <v>131.02</v>
      </c>
      <c r="L1528" s="11" t="n">
        <v>1</v>
      </c>
      <c r="M1528" s="11" t="n">
        <v>2</v>
      </c>
      <c r="N1528" s="11" t="n">
        <v>1</v>
      </c>
      <c r="O1528" s="11" t="n">
        <v>4.5</v>
      </c>
      <c r="P1528" s="11" t="n">
        <v>4.14</v>
      </c>
      <c r="Q1528" s="11" t="n">
        <v>31.05</v>
      </c>
      <c r="R1528" s="11" t="n">
        <f aca="false">SUM(K1528:Q1528)</f>
        <v>174.71</v>
      </c>
      <c r="S1528" s="11" t="n">
        <f aca="false">R1528/(1-Resumo!$C$6)</f>
        <v>198.534090909091</v>
      </c>
      <c r="T1528" s="11" t="n">
        <f aca="false">S1528-J1528</f>
        <v>72.5340909090909</v>
      </c>
      <c r="U1528" s="12" t="n">
        <f aca="false">IFERROR(S1528/J1528-1,0)</f>
        <v>0.575667388167388</v>
      </c>
      <c r="V1528" s="2" t="str">
        <f aca="false">IF(S1528&lt;J1528,"SIM","NÃO")</f>
        <v>NÃO</v>
      </c>
      <c r="W1528" s="2" t="n">
        <v>5</v>
      </c>
      <c r="X1528" s="2" t="s">
        <v>156</v>
      </c>
    </row>
    <row r="1529" customFormat="false" ht="15" hidden="false" customHeight="false" outlineLevel="0" collapsed="false">
      <c r="A1529" s="2" t="n">
        <v>387527812</v>
      </c>
      <c r="B1529" s="29" t="n">
        <v>46267.4772916667</v>
      </c>
      <c r="C1529" s="2" t="s">
        <v>153</v>
      </c>
      <c r="D1529" s="2" t="s">
        <v>1612</v>
      </c>
      <c r="E1529" s="2" t="s">
        <v>89</v>
      </c>
      <c r="F1529" s="2" t="s">
        <v>107</v>
      </c>
      <c r="G1529" s="30" t="n">
        <v>39</v>
      </c>
      <c r="H1529" s="11" t="n">
        <v>539.99</v>
      </c>
      <c r="I1529" s="11" t="s">
        <v>155</v>
      </c>
      <c r="J1529" s="11" t="n">
        <v>122.84</v>
      </c>
      <c r="K1529" s="11" t="n">
        <v>124.38</v>
      </c>
      <c r="L1529" s="11" t="n">
        <v>0.54</v>
      </c>
      <c r="M1529" s="11" t="n">
        <v>1.08</v>
      </c>
      <c r="N1529" s="11" t="n">
        <v>1</v>
      </c>
      <c r="O1529" s="11" t="n">
        <v>4.5</v>
      </c>
      <c r="P1529" s="11" t="n">
        <v>2.34</v>
      </c>
      <c r="Q1529" s="11" t="n">
        <v>17.55</v>
      </c>
      <c r="R1529" s="11" t="n">
        <f aca="false">SUM(K1529:Q1529)</f>
        <v>151.39</v>
      </c>
      <c r="S1529" s="11" t="n">
        <f aca="false">R1529/(1-Resumo!$C$6)</f>
        <v>172.034090909091</v>
      </c>
      <c r="T1529" s="11" t="n">
        <f aca="false">S1529-J1529</f>
        <v>49.1940909090909</v>
      </c>
      <c r="U1529" s="12" t="n">
        <f aca="false">IFERROR(S1529/J1529-1,0)</f>
        <v>0.400472898966875</v>
      </c>
      <c r="V1529" s="2" t="str">
        <f aca="false">IF(S1529&lt;J1529,"SIM","NÃO")</f>
        <v>NÃO</v>
      </c>
      <c r="W1529" s="2" t="n">
        <v>8</v>
      </c>
      <c r="X1529" s="2" t="s">
        <v>156</v>
      </c>
    </row>
    <row r="1530" customFormat="false" ht="15" hidden="false" customHeight="false" outlineLevel="0" collapsed="false">
      <c r="A1530" s="2" t="n">
        <v>387585761</v>
      </c>
      <c r="B1530" s="29" t="n">
        <v>46267.5891319444</v>
      </c>
      <c r="C1530" s="2" t="s">
        <v>158</v>
      </c>
      <c r="D1530" s="2" t="s">
        <v>1613</v>
      </c>
      <c r="E1530" s="2" t="s">
        <v>342</v>
      </c>
      <c r="F1530" s="2" t="s">
        <v>106</v>
      </c>
      <c r="G1530" s="30" t="n">
        <v>27.6</v>
      </c>
      <c r="H1530" s="11" t="n">
        <v>496.57</v>
      </c>
      <c r="I1530" s="11" t="s">
        <v>155</v>
      </c>
      <c r="J1530" s="11" t="n">
        <v>109.56</v>
      </c>
      <c r="K1530" s="11" t="n">
        <v>114.95</v>
      </c>
      <c r="L1530" s="11" t="n">
        <v>0.4966</v>
      </c>
      <c r="M1530" s="11" t="n">
        <v>0.9931</v>
      </c>
      <c r="N1530" s="11" t="n">
        <v>1</v>
      </c>
      <c r="O1530" s="11" t="n">
        <v>4.5</v>
      </c>
      <c r="P1530" s="11" t="n">
        <v>1.68</v>
      </c>
      <c r="Q1530" s="11" t="n">
        <v>12.6</v>
      </c>
      <c r="R1530" s="11" t="n">
        <f aca="false">SUM(K1530:Q1530)</f>
        <v>136.2197</v>
      </c>
      <c r="S1530" s="11" t="n">
        <f aca="false">R1530/(1-Resumo!$C$6)</f>
        <v>154.795113636364</v>
      </c>
      <c r="T1530" s="11" t="n">
        <f aca="false">S1530-J1530</f>
        <v>45.2351136363637</v>
      </c>
      <c r="U1530" s="12" t="n">
        <f aca="false">IFERROR(S1530/J1530-1,0)</f>
        <v>0.412879825085466</v>
      </c>
      <c r="V1530" s="2" t="str">
        <f aca="false">IF(S1530&lt;J1530,"SIM","NÃO")</f>
        <v>NÃO</v>
      </c>
      <c r="W1530" s="2" t="n">
        <v>10</v>
      </c>
      <c r="X1530" s="2" t="s">
        <v>161</v>
      </c>
    </row>
    <row r="1531" customFormat="false" ht="15" hidden="false" customHeight="false" outlineLevel="0" collapsed="false">
      <c r="A1531" s="2" t="n">
        <v>387599894</v>
      </c>
      <c r="B1531" s="29" t="n">
        <v>46267.6048032407</v>
      </c>
      <c r="C1531" s="2" t="s">
        <v>369</v>
      </c>
      <c r="D1531" s="2" t="s">
        <v>247</v>
      </c>
      <c r="E1531" s="2" t="s">
        <v>78</v>
      </c>
      <c r="F1531" s="2" t="s">
        <v>108</v>
      </c>
      <c r="G1531" s="30" t="n">
        <v>49.6</v>
      </c>
      <c r="H1531" s="11" t="n">
        <v>649.78</v>
      </c>
      <c r="I1531" s="11" t="s">
        <v>155</v>
      </c>
      <c r="J1531" s="11" t="n">
        <v>103.7</v>
      </c>
      <c r="K1531" s="11" t="n">
        <v>93.97</v>
      </c>
      <c r="L1531" s="11" t="n">
        <v>0.6498</v>
      </c>
      <c r="M1531" s="11" t="n">
        <v>1.2996</v>
      </c>
      <c r="N1531" s="11" t="n">
        <v>1</v>
      </c>
      <c r="O1531" s="11" t="n">
        <v>4.5</v>
      </c>
      <c r="P1531" s="11" t="n">
        <v>3</v>
      </c>
      <c r="Q1531" s="11" t="n">
        <v>22.5</v>
      </c>
      <c r="R1531" s="11" t="n">
        <f aca="false">SUM(K1531:Q1531)</f>
        <v>126.9194</v>
      </c>
      <c r="S1531" s="11" t="n">
        <f aca="false">R1531/(1-Resumo!$C$6)</f>
        <v>144.226590909091</v>
      </c>
      <c r="T1531" s="11" t="n">
        <f aca="false">S1531-J1531</f>
        <v>40.5265909090909</v>
      </c>
      <c r="U1531" s="12" t="n">
        <f aca="false">IFERROR(S1531/J1531-1,0)</f>
        <v>0.390806083983519</v>
      </c>
      <c r="V1531" s="2" t="str">
        <f aca="false">IF(S1531&lt;J1531,"SIM","NÃO")</f>
        <v>NÃO</v>
      </c>
      <c r="W1531" s="2" t="n">
        <v>5</v>
      </c>
      <c r="X1531" s="2" t="s">
        <v>156</v>
      </c>
    </row>
    <row r="1532" customFormat="false" ht="15" hidden="false" customHeight="false" outlineLevel="0" collapsed="false">
      <c r="A1532" s="2" t="n">
        <v>387601433</v>
      </c>
      <c r="B1532" s="29" t="n">
        <v>46267.6194907407</v>
      </c>
      <c r="C1532" s="2" t="s">
        <v>158</v>
      </c>
      <c r="D1532" s="2" t="s">
        <v>1614</v>
      </c>
      <c r="E1532" s="2" t="s">
        <v>78</v>
      </c>
      <c r="F1532" s="2" t="s">
        <v>110</v>
      </c>
      <c r="G1532" s="30" t="n">
        <v>66.8</v>
      </c>
      <c r="H1532" s="11" t="n">
        <v>578</v>
      </c>
      <c r="I1532" s="11" t="s">
        <v>155</v>
      </c>
      <c r="J1532" s="11" t="n">
        <v>123.99</v>
      </c>
      <c r="K1532" s="11" t="n">
        <v>131.02</v>
      </c>
      <c r="L1532" s="11" t="n">
        <v>0.578</v>
      </c>
      <c r="M1532" s="11" t="n">
        <v>1.156</v>
      </c>
      <c r="N1532" s="11" t="n">
        <v>1</v>
      </c>
      <c r="O1532" s="11" t="n">
        <v>4.5</v>
      </c>
      <c r="P1532" s="11" t="n">
        <v>4.02</v>
      </c>
      <c r="Q1532" s="11" t="n">
        <v>30.15</v>
      </c>
      <c r="R1532" s="11" t="n">
        <f aca="false">SUM(K1532:Q1532)</f>
        <v>172.424</v>
      </c>
      <c r="S1532" s="11" t="n">
        <f aca="false">R1532/(1-Resumo!$C$6)</f>
        <v>195.936363636364</v>
      </c>
      <c r="T1532" s="11" t="n">
        <f aca="false">S1532-J1532</f>
        <v>71.9463636363636</v>
      </c>
      <c r="U1532" s="12" t="n">
        <f aca="false">IFERROR(S1532/J1532-1,0)</f>
        <v>0.580259405083988</v>
      </c>
      <c r="V1532" s="2" t="str">
        <f aca="false">IF(S1532&lt;J1532,"SIM","NÃO")</f>
        <v>NÃO</v>
      </c>
      <c r="W1532" s="2" t="n">
        <v>5</v>
      </c>
      <c r="X1532" s="2" t="s">
        <v>156</v>
      </c>
    </row>
    <row r="1533" customFormat="false" ht="15" hidden="false" customHeight="false" outlineLevel="0" collapsed="false">
      <c r="A1533" s="2" t="n">
        <v>387612653</v>
      </c>
      <c r="B1533" s="29" t="n">
        <v>46267.6424421296</v>
      </c>
      <c r="C1533" s="2" t="s">
        <v>153</v>
      </c>
      <c r="D1533" s="2" t="s">
        <v>1615</v>
      </c>
      <c r="E1533" s="2" t="s">
        <v>813</v>
      </c>
      <c r="F1533" s="2" t="s">
        <v>107</v>
      </c>
      <c r="G1533" s="30" t="n">
        <v>38.2</v>
      </c>
      <c r="H1533" s="11" t="n">
        <v>668.2</v>
      </c>
      <c r="I1533" s="11" t="s">
        <v>155</v>
      </c>
      <c r="J1533" s="11" t="n">
        <v>123.45</v>
      </c>
      <c r="K1533" s="11" t="n">
        <v>124.38</v>
      </c>
      <c r="L1533" s="11" t="n">
        <v>0.6682</v>
      </c>
      <c r="M1533" s="11" t="n">
        <v>1.3364</v>
      </c>
      <c r="N1533" s="11" t="n">
        <v>1</v>
      </c>
      <c r="O1533" s="11" t="n">
        <v>4.5</v>
      </c>
      <c r="P1533" s="11" t="n">
        <v>2.34</v>
      </c>
      <c r="Q1533" s="11" t="n">
        <v>17.55</v>
      </c>
      <c r="R1533" s="11" t="n">
        <f aca="false">SUM(K1533:Q1533)</f>
        <v>151.7746</v>
      </c>
      <c r="S1533" s="11" t="n">
        <f aca="false">R1533/(1-Resumo!$C$6)</f>
        <v>172.471136363636</v>
      </c>
      <c r="T1533" s="11" t="n">
        <f aca="false">S1533-J1533</f>
        <v>49.0211363636364</v>
      </c>
      <c r="U1533" s="12" t="n">
        <f aca="false">IFERROR(S1533/J1533-1,0)</f>
        <v>0.397093044662911</v>
      </c>
      <c r="V1533" s="2" t="str">
        <f aca="false">IF(S1533&lt;J1533,"SIM","NÃO")</f>
        <v>NÃO</v>
      </c>
      <c r="W1533" s="2" t="n">
        <v>10</v>
      </c>
      <c r="X1533" s="2" t="s">
        <v>161</v>
      </c>
    </row>
    <row r="1534" customFormat="false" ht="15" hidden="false" customHeight="false" outlineLevel="0" collapsed="false">
      <c r="A1534" s="2" t="n">
        <v>387627365</v>
      </c>
      <c r="B1534" s="29" t="n">
        <v>46267.6710069445</v>
      </c>
      <c r="C1534" s="2" t="s">
        <v>153</v>
      </c>
      <c r="D1534" s="2" t="s">
        <v>1616</v>
      </c>
      <c r="E1534" s="2" t="s">
        <v>91</v>
      </c>
      <c r="F1534" s="2" t="s">
        <v>107</v>
      </c>
      <c r="G1534" s="30" t="n">
        <v>37.2</v>
      </c>
      <c r="H1534" s="11" t="n">
        <v>366.5</v>
      </c>
      <c r="I1534" s="11" t="s">
        <v>155</v>
      </c>
      <c r="J1534" s="11" t="n">
        <v>122</v>
      </c>
      <c r="K1534" s="11" t="n">
        <v>124.38</v>
      </c>
      <c r="L1534" s="11" t="n">
        <v>0.3665</v>
      </c>
      <c r="M1534" s="11" t="n">
        <v>0.733</v>
      </c>
      <c r="N1534" s="11" t="n">
        <v>1</v>
      </c>
      <c r="O1534" s="11" t="n">
        <v>4.5</v>
      </c>
      <c r="P1534" s="11" t="n">
        <v>2.28</v>
      </c>
      <c r="Q1534" s="11" t="n">
        <v>17.1</v>
      </c>
      <c r="R1534" s="11" t="n">
        <f aca="false">SUM(K1534:Q1534)</f>
        <v>150.3595</v>
      </c>
      <c r="S1534" s="11" t="n">
        <f aca="false">R1534/(1-Resumo!$C$6)</f>
        <v>170.863068181818</v>
      </c>
      <c r="T1534" s="11" t="n">
        <f aca="false">S1534-J1534</f>
        <v>48.8630681818182</v>
      </c>
      <c r="U1534" s="12" t="n">
        <f aca="false">IFERROR(S1534/J1534-1,0)</f>
        <v>0.400516952309985</v>
      </c>
      <c r="V1534" s="2" t="str">
        <f aca="false">IF(S1534&lt;J1534,"SIM","NÃO")</f>
        <v>NÃO</v>
      </c>
      <c r="W1534" s="2" t="n">
        <v>10</v>
      </c>
      <c r="X1534" s="2" t="s">
        <v>156</v>
      </c>
    </row>
    <row r="1535" customFormat="false" ht="15" hidden="false" customHeight="false" outlineLevel="0" collapsed="false">
      <c r="A1535" s="2" t="n">
        <v>387649354</v>
      </c>
      <c r="B1535" s="29" t="n">
        <v>46267.7211226852</v>
      </c>
      <c r="C1535" s="2" t="s">
        <v>178</v>
      </c>
      <c r="D1535" s="2" t="s">
        <v>1617</v>
      </c>
      <c r="E1535" s="2" t="s">
        <v>78</v>
      </c>
      <c r="F1535" s="2" t="s">
        <v>107</v>
      </c>
      <c r="G1535" s="30" t="n">
        <v>37.2</v>
      </c>
      <c r="H1535" s="11" t="n">
        <v>433.49</v>
      </c>
      <c r="I1535" s="11" t="s">
        <v>155</v>
      </c>
      <c r="J1535" s="11" t="n">
        <v>91.94</v>
      </c>
      <c r="K1535" s="11" t="n">
        <v>93.97</v>
      </c>
      <c r="L1535" s="11" t="n">
        <v>0.4335</v>
      </c>
      <c r="M1535" s="11" t="n">
        <v>0.867</v>
      </c>
      <c r="N1535" s="11" t="n">
        <v>1</v>
      </c>
      <c r="O1535" s="11" t="n">
        <v>4.5</v>
      </c>
      <c r="P1535" s="11" t="n">
        <v>2.28</v>
      </c>
      <c r="Q1535" s="11" t="n">
        <v>17.1</v>
      </c>
      <c r="R1535" s="11" t="n">
        <f aca="false">SUM(K1535:Q1535)</f>
        <v>120.1505</v>
      </c>
      <c r="S1535" s="11" t="n">
        <f aca="false">R1535/(1-Resumo!$C$6)</f>
        <v>136.534659090909</v>
      </c>
      <c r="T1535" s="11" t="n">
        <f aca="false">S1535-J1535</f>
        <v>44.5946590909091</v>
      </c>
      <c r="U1535" s="12" t="n">
        <f aca="false">IFERROR(S1535/J1535-1,0)</f>
        <v>0.485040886348805</v>
      </c>
      <c r="V1535" s="2" t="str">
        <f aca="false">IF(S1535&lt;J1535,"SIM","NÃO")</f>
        <v>NÃO</v>
      </c>
      <c r="W1535" s="2" t="n">
        <v>5</v>
      </c>
      <c r="X1535" s="2" t="s">
        <v>156</v>
      </c>
    </row>
    <row r="1536" customFormat="false" ht="15" hidden="false" customHeight="false" outlineLevel="0" collapsed="false">
      <c r="A1536" s="2" t="n">
        <v>387664888</v>
      </c>
      <c r="B1536" s="29" t="n">
        <v>46267.750462963</v>
      </c>
      <c r="C1536" s="2" t="s">
        <v>153</v>
      </c>
      <c r="D1536" s="2" t="s">
        <v>1618</v>
      </c>
      <c r="E1536" s="2" t="s">
        <v>79</v>
      </c>
      <c r="F1536" s="2" t="s">
        <v>106</v>
      </c>
      <c r="G1536" s="30" t="n">
        <v>29.2</v>
      </c>
      <c r="H1536" s="11" t="n">
        <v>449.99</v>
      </c>
      <c r="I1536" s="11" t="s">
        <v>155</v>
      </c>
      <c r="J1536" s="11" t="n">
        <v>101.55</v>
      </c>
      <c r="K1536" s="11" t="n">
        <v>100.58</v>
      </c>
      <c r="L1536" s="11" t="n">
        <v>0.45</v>
      </c>
      <c r="M1536" s="11" t="n">
        <v>0.9</v>
      </c>
      <c r="N1536" s="11" t="n">
        <v>1</v>
      </c>
      <c r="O1536" s="11" t="n">
        <v>4.5</v>
      </c>
      <c r="P1536" s="11" t="n">
        <v>1.8</v>
      </c>
      <c r="Q1536" s="11" t="n">
        <v>13.5</v>
      </c>
      <c r="R1536" s="11" t="n">
        <f aca="false">SUM(K1536:Q1536)</f>
        <v>122.73</v>
      </c>
      <c r="S1536" s="11" t="n">
        <f aca="false">R1536/(1-Resumo!$C$6)</f>
        <v>139.465909090909</v>
      </c>
      <c r="T1536" s="11" t="n">
        <f aca="false">S1536-J1536</f>
        <v>37.9159090909091</v>
      </c>
      <c r="U1536" s="12" t="n">
        <f aca="false">IFERROR(S1536/J1536-1,0)</f>
        <v>0.373371827581577</v>
      </c>
      <c r="V1536" s="2" t="str">
        <f aca="false">IF(S1536&lt;J1536,"SIM","NÃO")</f>
        <v>NÃO</v>
      </c>
      <c r="W1536" s="2" t="n">
        <v>7</v>
      </c>
      <c r="X1536" s="2" t="s">
        <v>156</v>
      </c>
    </row>
    <row r="1537" customFormat="false" ht="15" hidden="false" customHeight="false" outlineLevel="0" collapsed="false">
      <c r="A1537" s="2" t="n">
        <v>387693273</v>
      </c>
      <c r="B1537" s="29" t="n">
        <v>46267.7950462963</v>
      </c>
      <c r="C1537" s="2" t="s">
        <v>153</v>
      </c>
      <c r="D1537" s="2" t="s">
        <v>1619</v>
      </c>
      <c r="E1537" s="2" t="s">
        <v>97</v>
      </c>
      <c r="F1537" s="2" t="s">
        <v>110</v>
      </c>
      <c r="G1537" s="30" t="n">
        <v>69</v>
      </c>
      <c r="H1537" s="11" t="n">
        <v>709.89</v>
      </c>
      <c r="I1537" s="11" t="s">
        <v>155</v>
      </c>
      <c r="J1537" s="11" t="n">
        <v>155.42</v>
      </c>
      <c r="K1537" s="11" t="n">
        <v>166.05</v>
      </c>
      <c r="L1537" s="11" t="n">
        <v>0.7099</v>
      </c>
      <c r="M1537" s="11" t="n">
        <v>1.4198</v>
      </c>
      <c r="N1537" s="11" t="n">
        <v>1</v>
      </c>
      <c r="O1537" s="11" t="n">
        <v>4.5</v>
      </c>
      <c r="P1537" s="11" t="n">
        <v>4.14</v>
      </c>
      <c r="Q1537" s="11" t="n">
        <v>31.05</v>
      </c>
      <c r="R1537" s="11" t="n">
        <f aca="false">SUM(K1537:Q1537)</f>
        <v>208.8697</v>
      </c>
      <c r="S1537" s="11" t="n">
        <f aca="false">R1537/(1-Resumo!$C$6)</f>
        <v>237.351931818182</v>
      </c>
      <c r="T1537" s="11" t="n">
        <f aca="false">S1537-J1537</f>
        <v>81.9319318181819</v>
      </c>
      <c r="U1537" s="12" t="n">
        <f aca="false">IFERROR(S1537/J1537-1,0)</f>
        <v>0.527164662322622</v>
      </c>
      <c r="V1537" s="2" t="str">
        <f aca="false">IF(S1537&lt;J1537,"SIM","NÃO")</f>
        <v>NÃO</v>
      </c>
      <c r="W1537" s="2" t="n">
        <v>10</v>
      </c>
      <c r="X1537" s="2" t="s">
        <v>156</v>
      </c>
    </row>
    <row r="1538" customFormat="false" ht="15" hidden="false" customHeight="false" outlineLevel="0" collapsed="false">
      <c r="A1538" s="2" t="n">
        <v>387733956</v>
      </c>
      <c r="B1538" s="29" t="n">
        <v>46267.8742592593</v>
      </c>
      <c r="C1538" s="2" t="s">
        <v>153</v>
      </c>
      <c r="D1538" s="2" t="s">
        <v>1620</v>
      </c>
      <c r="E1538" s="2" t="s">
        <v>86</v>
      </c>
      <c r="F1538" s="2" t="s">
        <v>108</v>
      </c>
      <c r="G1538" s="30" t="n">
        <v>46.8</v>
      </c>
      <c r="H1538" s="11" t="n">
        <v>559.99</v>
      </c>
      <c r="I1538" s="11" t="s">
        <v>155</v>
      </c>
      <c r="J1538" s="11" t="n">
        <v>116.76</v>
      </c>
      <c r="K1538" s="11" t="n">
        <v>93.97</v>
      </c>
      <c r="L1538" s="11" t="n">
        <v>0.56</v>
      </c>
      <c r="M1538" s="11" t="n">
        <v>1.12</v>
      </c>
      <c r="N1538" s="11" t="n">
        <v>1</v>
      </c>
      <c r="O1538" s="11" t="n">
        <v>4.5</v>
      </c>
      <c r="P1538" s="11" t="n">
        <v>2.82</v>
      </c>
      <c r="Q1538" s="11" t="n">
        <v>21.15</v>
      </c>
      <c r="R1538" s="11" t="n">
        <f aca="false">SUM(K1538:Q1538)</f>
        <v>125.12</v>
      </c>
      <c r="S1538" s="11" t="n">
        <f aca="false">R1538/(1-Resumo!$C$6)</f>
        <v>142.181818181818</v>
      </c>
      <c r="T1538" s="11" t="n">
        <f aca="false">S1538-J1538</f>
        <v>25.4218181818182</v>
      </c>
      <c r="U1538" s="12" t="n">
        <f aca="false">IFERROR(S1538/J1538-1,0)</f>
        <v>0.217727117007692</v>
      </c>
      <c r="V1538" s="2" t="str">
        <f aca="false">IF(S1538&lt;J1538,"SIM","NÃO")</f>
        <v>NÃO</v>
      </c>
      <c r="W1538" s="2" t="n">
        <v>5</v>
      </c>
      <c r="X1538" s="2" t="s">
        <v>156</v>
      </c>
    </row>
    <row r="1539" customFormat="false" ht="15" hidden="false" customHeight="false" outlineLevel="0" collapsed="false">
      <c r="A1539" s="2" t="n">
        <v>387745205</v>
      </c>
      <c r="B1539" s="29" t="n">
        <v>46267.875775463</v>
      </c>
      <c r="C1539" s="2" t="s">
        <v>369</v>
      </c>
      <c r="D1539" s="2" t="s">
        <v>1621</v>
      </c>
      <c r="E1539" s="2" t="s">
        <v>78</v>
      </c>
      <c r="F1539" s="2" t="s">
        <v>105</v>
      </c>
      <c r="G1539" s="30" t="n">
        <v>15.9</v>
      </c>
      <c r="H1539" s="11" t="n">
        <v>239.99</v>
      </c>
      <c r="I1539" s="11" t="s">
        <v>155</v>
      </c>
      <c r="J1539" s="11" t="n">
        <v>64.36</v>
      </c>
      <c r="K1539" s="11" t="n">
        <v>46.98</v>
      </c>
      <c r="L1539" s="11" t="n">
        <v>0.24</v>
      </c>
      <c r="M1539" s="11" t="n">
        <v>0.48</v>
      </c>
      <c r="N1539" s="11" t="n">
        <v>1</v>
      </c>
      <c r="O1539" s="11" t="n">
        <v>4.5</v>
      </c>
      <c r="P1539" s="11" t="n">
        <v>0.96</v>
      </c>
      <c r="Q1539" s="11" t="n">
        <v>7.2</v>
      </c>
      <c r="R1539" s="11" t="n">
        <f aca="false">SUM(K1539:Q1539)</f>
        <v>61.36</v>
      </c>
      <c r="S1539" s="11" t="n">
        <f aca="false">R1539/(1-Resumo!$C$6)</f>
        <v>69.7272727272727</v>
      </c>
      <c r="T1539" s="11" t="n">
        <f aca="false">S1539-J1539</f>
        <v>5.36727272727272</v>
      </c>
      <c r="U1539" s="12" t="n">
        <f aca="false">IFERROR(S1539/J1539-1,0)</f>
        <v>0.0833945420645232</v>
      </c>
      <c r="V1539" s="2" t="str">
        <f aca="false">IF(S1539&lt;J1539,"SIM","NÃO")</f>
        <v>NÃO</v>
      </c>
      <c r="W1539" s="2" t="n">
        <v>5</v>
      </c>
      <c r="X1539" s="2" t="s">
        <v>156</v>
      </c>
    </row>
    <row r="1540" customFormat="false" ht="15" hidden="false" customHeight="false" outlineLevel="0" collapsed="false">
      <c r="A1540" s="2" t="n">
        <v>387758322</v>
      </c>
      <c r="B1540" s="29" t="n">
        <v>46267.9180787037</v>
      </c>
      <c r="C1540" s="2" t="s">
        <v>153</v>
      </c>
      <c r="D1540" s="2" t="s">
        <v>1622</v>
      </c>
      <c r="E1540" s="2" t="s">
        <v>81</v>
      </c>
      <c r="F1540" s="2" t="s">
        <v>106</v>
      </c>
      <c r="G1540" s="30" t="n">
        <v>33.3</v>
      </c>
      <c r="H1540" s="11" t="n">
        <v>389.99</v>
      </c>
      <c r="I1540" s="11" t="s">
        <v>155</v>
      </c>
      <c r="J1540" s="11" t="n">
        <v>101.26</v>
      </c>
      <c r="K1540" s="11" t="n">
        <v>82.21</v>
      </c>
      <c r="L1540" s="11" t="n">
        <v>0.39</v>
      </c>
      <c r="M1540" s="11" t="n">
        <v>0.78</v>
      </c>
      <c r="N1540" s="11" t="n">
        <v>1</v>
      </c>
      <c r="O1540" s="11" t="n">
        <v>4.5</v>
      </c>
      <c r="P1540" s="11" t="n">
        <v>2.04</v>
      </c>
      <c r="Q1540" s="11" t="n">
        <v>15.3</v>
      </c>
      <c r="R1540" s="11" t="n">
        <f aca="false">SUM(K1540:Q1540)</f>
        <v>106.22</v>
      </c>
      <c r="S1540" s="11" t="n">
        <f aca="false">R1540/(1-Resumo!$C$6)</f>
        <v>120.704545454545</v>
      </c>
      <c r="T1540" s="11" t="n">
        <f aca="false">S1540-J1540</f>
        <v>19.4445454545454</v>
      </c>
      <c r="U1540" s="12" t="n">
        <f aca="false">IFERROR(S1540/J1540-1,0)</f>
        <v>0.192025927854488</v>
      </c>
      <c r="V1540" s="2" t="str">
        <f aca="false">IF(S1540&lt;J1540,"SIM","NÃO")</f>
        <v>NÃO</v>
      </c>
      <c r="W1540" s="2" t="n">
        <v>5</v>
      </c>
      <c r="X1540" s="2" t="s">
        <v>156</v>
      </c>
    </row>
    <row r="1541" customFormat="false" ht="15" hidden="false" customHeight="false" outlineLevel="0" collapsed="false">
      <c r="A1541" s="2" t="n">
        <v>387763575</v>
      </c>
      <c r="B1541" s="29" t="n">
        <v>46267.9268518519</v>
      </c>
      <c r="C1541" s="2" t="s">
        <v>153</v>
      </c>
      <c r="D1541" s="2" t="s">
        <v>1623</v>
      </c>
      <c r="E1541" s="2" t="s">
        <v>78</v>
      </c>
      <c r="F1541" s="2" t="s">
        <v>106</v>
      </c>
      <c r="G1541" s="30" t="n">
        <v>21.1</v>
      </c>
      <c r="H1541" s="11" t="n">
        <v>599.99</v>
      </c>
      <c r="I1541" s="11" t="s">
        <v>155</v>
      </c>
      <c r="J1541" s="11" t="n">
        <v>83.2</v>
      </c>
      <c r="K1541" s="11" t="n">
        <v>82.21</v>
      </c>
      <c r="L1541" s="11" t="n">
        <v>0.6</v>
      </c>
      <c r="M1541" s="11" t="n">
        <v>1.2</v>
      </c>
      <c r="N1541" s="11" t="n">
        <v>1</v>
      </c>
      <c r="O1541" s="11" t="n">
        <v>4.5</v>
      </c>
      <c r="P1541" s="11" t="n">
        <v>1.32</v>
      </c>
      <c r="Q1541" s="11" t="n">
        <v>9.9</v>
      </c>
      <c r="R1541" s="11" t="n">
        <f aca="false">SUM(K1541:Q1541)</f>
        <v>100.73</v>
      </c>
      <c r="S1541" s="11" t="n">
        <f aca="false">R1541/(1-Resumo!$C$6)</f>
        <v>114.465909090909</v>
      </c>
      <c r="T1541" s="11" t="n">
        <f aca="false">S1541-J1541</f>
        <v>31.2659090909091</v>
      </c>
      <c r="U1541" s="12" t="n">
        <f aca="false">IFERROR(S1541/J1541-1,0)</f>
        <v>0.375792176573426</v>
      </c>
      <c r="V1541" s="2" t="str">
        <f aca="false">IF(S1541&lt;J1541,"SIM","NÃO")</f>
        <v>NÃO</v>
      </c>
      <c r="W1541" s="2" t="n">
        <v>5</v>
      </c>
      <c r="X1541" s="2" t="s">
        <v>156</v>
      </c>
    </row>
    <row r="1542" customFormat="false" ht="15" hidden="false" customHeight="false" outlineLevel="0" collapsed="false">
      <c r="A1542" s="2" t="n">
        <v>387774790</v>
      </c>
      <c r="B1542" s="29" t="n">
        <v>46267.9458796296</v>
      </c>
      <c r="C1542" s="2" t="s">
        <v>153</v>
      </c>
      <c r="D1542" s="2" t="s">
        <v>1624</v>
      </c>
      <c r="E1542" s="2" t="s">
        <v>96</v>
      </c>
      <c r="F1542" s="2" t="s">
        <v>106</v>
      </c>
      <c r="G1542" s="30" t="n">
        <v>31.9</v>
      </c>
      <c r="H1542" s="11" t="n">
        <v>599.99</v>
      </c>
      <c r="I1542" s="11" t="s">
        <v>155</v>
      </c>
      <c r="J1542" s="11" t="n">
        <v>110.06</v>
      </c>
      <c r="K1542" s="11" t="n">
        <v>120.78</v>
      </c>
      <c r="L1542" s="11" t="n">
        <v>0.6</v>
      </c>
      <c r="M1542" s="11" t="n">
        <v>1.2</v>
      </c>
      <c r="N1542" s="11" t="n">
        <v>1</v>
      </c>
      <c r="O1542" s="11" t="n">
        <v>4.5</v>
      </c>
      <c r="P1542" s="11" t="n">
        <v>1.92</v>
      </c>
      <c r="Q1542" s="11" t="n">
        <v>14.4</v>
      </c>
      <c r="R1542" s="11" t="n">
        <f aca="false">SUM(K1542:Q1542)</f>
        <v>144.4</v>
      </c>
      <c r="S1542" s="11" t="n">
        <f aca="false">R1542/(1-Resumo!$C$6)</f>
        <v>164.090909090909</v>
      </c>
      <c r="T1542" s="11" t="n">
        <f aca="false">S1542-J1542</f>
        <v>54.0309090909091</v>
      </c>
      <c r="U1542" s="12" t="n">
        <f aca="false">IFERROR(S1542/J1542-1,0)</f>
        <v>0.490922306840897</v>
      </c>
      <c r="V1542" s="2" t="str">
        <f aca="false">IF(S1542&lt;J1542,"SIM","NÃO")</f>
        <v>NÃO</v>
      </c>
      <c r="W1542" s="2" t="n">
        <v>10</v>
      </c>
      <c r="X1542" s="2" t="s">
        <v>156</v>
      </c>
    </row>
    <row r="1543" customFormat="false" ht="15" hidden="false" customHeight="false" outlineLevel="0" collapsed="false">
      <c r="A1543" s="2" t="n">
        <v>387778300</v>
      </c>
      <c r="B1543" s="29" t="n">
        <v>46267.9532060185</v>
      </c>
      <c r="C1543" s="2" t="s">
        <v>153</v>
      </c>
      <c r="D1543" s="2" t="s">
        <v>1625</v>
      </c>
      <c r="E1543" s="2" t="s">
        <v>1626</v>
      </c>
      <c r="F1543" s="2" t="s">
        <v>106</v>
      </c>
      <c r="G1543" s="30" t="n">
        <v>27.4</v>
      </c>
      <c r="H1543" s="11" t="n">
        <v>369.99</v>
      </c>
      <c r="I1543" s="11" t="s">
        <v>155</v>
      </c>
      <c r="J1543" s="11" t="n">
        <v>108.95</v>
      </c>
      <c r="K1543" s="11" t="n">
        <v>138.29</v>
      </c>
      <c r="L1543" s="11" t="n">
        <v>0.37</v>
      </c>
      <c r="M1543" s="11" t="n">
        <v>0.74</v>
      </c>
      <c r="N1543" s="11" t="n">
        <v>1</v>
      </c>
      <c r="O1543" s="11" t="n">
        <v>4.5</v>
      </c>
      <c r="P1543" s="11" t="n">
        <v>1.68</v>
      </c>
      <c r="Q1543" s="11" t="n">
        <v>12.6</v>
      </c>
      <c r="R1543" s="11" t="n">
        <f aca="false">SUM(K1543:Q1543)</f>
        <v>159.18</v>
      </c>
      <c r="S1543" s="11" t="n">
        <f aca="false">R1543/(1-Resumo!$C$6)</f>
        <v>180.886363636364</v>
      </c>
      <c r="T1543" s="11" t="n">
        <f aca="false">S1543-J1543</f>
        <v>71.9363636363636</v>
      </c>
      <c r="U1543" s="12" t="n">
        <f aca="false">IFERROR(S1543/J1543-1,0)</f>
        <v>0.660269514789937</v>
      </c>
      <c r="V1543" s="2" t="str">
        <f aca="false">IF(S1543&lt;J1543,"SIM","NÃO")</f>
        <v>NÃO</v>
      </c>
      <c r="W1543" s="2" t="n">
        <v>11</v>
      </c>
      <c r="X1543" s="2" t="s">
        <v>161</v>
      </c>
    </row>
    <row r="1544" customFormat="false" ht="15" hidden="false" customHeight="false" outlineLevel="0" collapsed="false">
      <c r="A1544" s="2" t="n">
        <v>387778874</v>
      </c>
      <c r="B1544" s="29" t="n">
        <v>46267.9546180556</v>
      </c>
      <c r="C1544" s="2" t="s">
        <v>153</v>
      </c>
      <c r="D1544" s="2" t="s">
        <v>574</v>
      </c>
      <c r="E1544" s="2" t="s">
        <v>79</v>
      </c>
      <c r="F1544" s="2" t="s">
        <v>107</v>
      </c>
      <c r="G1544" s="30" t="n">
        <v>35.4</v>
      </c>
      <c r="H1544" s="11" t="n">
        <v>539.99</v>
      </c>
      <c r="I1544" s="11" t="s">
        <v>155</v>
      </c>
      <c r="J1544" s="11" t="n">
        <v>113.55</v>
      </c>
      <c r="K1544" s="11" t="n">
        <v>114.95</v>
      </c>
      <c r="L1544" s="11" t="n">
        <v>0.54</v>
      </c>
      <c r="M1544" s="11" t="n">
        <v>1.08</v>
      </c>
      <c r="N1544" s="11" t="n">
        <v>1</v>
      </c>
      <c r="O1544" s="11" t="n">
        <v>4.5</v>
      </c>
      <c r="P1544" s="11" t="n">
        <v>2.16</v>
      </c>
      <c r="Q1544" s="11" t="n">
        <v>16.2</v>
      </c>
      <c r="R1544" s="11" t="n">
        <f aca="false">SUM(K1544:Q1544)</f>
        <v>140.43</v>
      </c>
      <c r="S1544" s="11" t="n">
        <f aca="false">R1544/(1-Resumo!$C$6)</f>
        <v>159.579545454545</v>
      </c>
      <c r="T1544" s="11" t="n">
        <f aca="false">S1544-J1544</f>
        <v>46.0295454545455</v>
      </c>
      <c r="U1544" s="12" t="n">
        <f aca="false">IFERROR(S1544/J1544-1,0)</f>
        <v>0.405368079740603</v>
      </c>
      <c r="V1544" s="2" t="str">
        <f aca="false">IF(S1544&lt;J1544,"SIM","NÃO")</f>
        <v>NÃO</v>
      </c>
      <c r="W1544" s="2" t="n">
        <v>7</v>
      </c>
      <c r="X1544" s="2" t="s">
        <v>156</v>
      </c>
    </row>
    <row r="1545" customFormat="false" ht="15" hidden="false" customHeight="false" outlineLevel="0" collapsed="false">
      <c r="A1545" s="2" t="n">
        <v>387790571</v>
      </c>
      <c r="B1545" s="29" t="n">
        <v>46267.9812268519</v>
      </c>
      <c r="C1545" s="2" t="s">
        <v>153</v>
      </c>
      <c r="D1545" s="2" t="s">
        <v>1627</v>
      </c>
      <c r="E1545" s="2" t="s">
        <v>78</v>
      </c>
      <c r="F1545" s="2" t="s">
        <v>107</v>
      </c>
      <c r="G1545" s="30" t="n">
        <v>37.6</v>
      </c>
      <c r="H1545" s="11" t="n">
        <v>391.9</v>
      </c>
      <c r="I1545" s="11" t="s">
        <v>155</v>
      </c>
      <c r="J1545" s="11" t="n">
        <v>91.73</v>
      </c>
      <c r="K1545" s="11" t="n">
        <v>93.97</v>
      </c>
      <c r="L1545" s="11" t="n">
        <v>0.3919</v>
      </c>
      <c r="M1545" s="11" t="n">
        <v>0.7838</v>
      </c>
      <c r="N1545" s="11" t="n">
        <v>1</v>
      </c>
      <c r="O1545" s="11" t="n">
        <v>4.5</v>
      </c>
      <c r="P1545" s="11" t="n">
        <v>2.28</v>
      </c>
      <c r="Q1545" s="11" t="n">
        <v>17.1</v>
      </c>
      <c r="R1545" s="11" t="n">
        <f aca="false">SUM(K1545:Q1545)</f>
        <v>120.0257</v>
      </c>
      <c r="S1545" s="11" t="n">
        <f aca="false">R1545/(1-Resumo!$C$6)</f>
        <v>136.392840909091</v>
      </c>
      <c r="T1545" s="11" t="n">
        <f aca="false">S1545-J1545</f>
        <v>44.6628409090909</v>
      </c>
      <c r="U1545" s="12" t="n">
        <f aca="false">IFERROR(S1545/J1545-1,0)</f>
        <v>0.486894591835724</v>
      </c>
      <c r="V1545" s="2" t="str">
        <f aca="false">IF(S1545&lt;J1545,"SIM","NÃO")</f>
        <v>NÃO</v>
      </c>
      <c r="W1545" s="2" t="n">
        <v>5</v>
      </c>
      <c r="X1545" s="2" t="s">
        <v>156</v>
      </c>
    </row>
    <row r="1546" customFormat="false" ht="15" hidden="false" customHeight="false" outlineLevel="0" collapsed="false">
      <c r="A1546" s="2" t="n">
        <v>387813860</v>
      </c>
      <c r="B1546" s="29" t="n">
        <v>46268.0402662037</v>
      </c>
      <c r="C1546" s="2" t="s">
        <v>153</v>
      </c>
      <c r="D1546" s="2" t="s">
        <v>1628</v>
      </c>
      <c r="E1546" s="2" t="s">
        <v>95</v>
      </c>
      <c r="F1546" s="2" t="s">
        <v>106</v>
      </c>
      <c r="G1546" s="30" t="n">
        <v>20.9</v>
      </c>
      <c r="H1546" s="11" t="n">
        <v>440.99</v>
      </c>
      <c r="I1546" s="11" t="s">
        <v>155</v>
      </c>
      <c r="J1546" s="11" t="n">
        <v>109.28</v>
      </c>
      <c r="K1546" s="11" t="n">
        <v>103.28</v>
      </c>
      <c r="L1546" s="11" t="n">
        <v>0.441</v>
      </c>
      <c r="M1546" s="11" t="n">
        <v>0.882</v>
      </c>
      <c r="N1546" s="11" t="n">
        <v>1</v>
      </c>
      <c r="O1546" s="11" t="n">
        <v>4.5</v>
      </c>
      <c r="P1546" s="11" t="n">
        <v>1.26</v>
      </c>
      <c r="Q1546" s="11" t="n">
        <v>9.45</v>
      </c>
      <c r="R1546" s="11" t="n">
        <f aca="false">SUM(K1546:Q1546)</f>
        <v>120.813</v>
      </c>
      <c r="S1546" s="11" t="n">
        <f aca="false">R1546/(1-Resumo!$C$6)</f>
        <v>137.2875</v>
      </c>
      <c r="T1546" s="11" t="n">
        <f aca="false">S1546-J1546</f>
        <v>28.0075</v>
      </c>
      <c r="U1546" s="12" t="n">
        <f aca="false">IFERROR(S1546/J1546-1,0)</f>
        <v>0.256291178623719</v>
      </c>
      <c r="V1546" s="2" t="str">
        <f aca="false">IF(S1546&lt;J1546,"SIM","NÃO")</f>
        <v>NÃO</v>
      </c>
      <c r="W1546" s="2" t="n">
        <v>6</v>
      </c>
      <c r="X1546" s="2" t="s">
        <v>156</v>
      </c>
    </row>
    <row r="1547" customFormat="false" ht="15" hidden="false" customHeight="false" outlineLevel="0" collapsed="false">
      <c r="A1547" s="2" t="n">
        <v>387823524</v>
      </c>
      <c r="B1547" s="29" t="n">
        <v>46268.0608912037</v>
      </c>
      <c r="C1547" s="2" t="s">
        <v>153</v>
      </c>
      <c r="D1547" s="2" t="s">
        <v>692</v>
      </c>
      <c r="E1547" s="2" t="s">
        <v>78</v>
      </c>
      <c r="F1547" s="2" t="s">
        <v>105</v>
      </c>
      <c r="G1547" s="30" t="n">
        <v>13.18</v>
      </c>
      <c r="H1547" s="11" t="n">
        <v>259.99</v>
      </c>
      <c r="I1547" s="11" t="s">
        <v>155</v>
      </c>
      <c r="J1547" s="11" t="n">
        <v>64.47</v>
      </c>
      <c r="K1547" s="11" t="n">
        <v>46.98</v>
      </c>
      <c r="L1547" s="11" t="n">
        <v>0.26</v>
      </c>
      <c r="M1547" s="11" t="n">
        <v>0.52</v>
      </c>
      <c r="N1547" s="11" t="n">
        <v>1</v>
      </c>
      <c r="O1547" s="11" t="n">
        <v>4.5</v>
      </c>
      <c r="P1547" s="11" t="n">
        <v>0.84</v>
      </c>
      <c r="Q1547" s="11" t="n">
        <v>6.3</v>
      </c>
      <c r="R1547" s="11" t="n">
        <f aca="false">SUM(K1547:Q1547)</f>
        <v>60.4</v>
      </c>
      <c r="S1547" s="11" t="n">
        <f aca="false">R1547/(1-Resumo!$C$6)</f>
        <v>68.6363636363636</v>
      </c>
      <c r="T1547" s="11" t="n">
        <f aca="false">S1547-J1547</f>
        <v>4.16636363636363</v>
      </c>
      <c r="U1547" s="12" t="n">
        <f aca="false">IFERROR(S1547/J1547-1,0)</f>
        <v>0.0646248431264715</v>
      </c>
      <c r="V1547" s="2" t="str">
        <f aca="false">IF(S1547&lt;J1547,"SIM","NÃO")</f>
        <v>NÃO</v>
      </c>
      <c r="W1547" s="2" t="n">
        <v>5</v>
      </c>
      <c r="X1547" s="2" t="s">
        <v>156</v>
      </c>
    </row>
    <row r="1548" customFormat="false" ht="15" hidden="false" customHeight="false" outlineLevel="0" collapsed="false">
      <c r="A1548" s="2" t="n">
        <v>387831409</v>
      </c>
      <c r="B1548" s="29" t="n">
        <v>46268.0809953704</v>
      </c>
      <c r="C1548" s="2" t="s">
        <v>153</v>
      </c>
      <c r="D1548" s="2" t="s">
        <v>1629</v>
      </c>
      <c r="E1548" s="2" t="s">
        <v>172</v>
      </c>
      <c r="F1548" s="2" t="s">
        <v>109</v>
      </c>
      <c r="G1548" s="30" t="n">
        <v>52.3</v>
      </c>
      <c r="H1548" s="11" t="n">
        <v>699.99</v>
      </c>
      <c r="I1548" s="11" t="s">
        <v>155</v>
      </c>
      <c r="J1548" s="11" t="n">
        <v>143.02</v>
      </c>
      <c r="K1548" s="11" t="n">
        <v>142.32</v>
      </c>
      <c r="L1548" s="11" t="n">
        <v>0.7</v>
      </c>
      <c r="M1548" s="11" t="n">
        <v>1.4</v>
      </c>
      <c r="N1548" s="11" t="n">
        <v>1</v>
      </c>
      <c r="O1548" s="11" t="n">
        <v>4.5</v>
      </c>
      <c r="P1548" s="11" t="n">
        <v>3.18</v>
      </c>
      <c r="Q1548" s="11" t="n">
        <v>23.85</v>
      </c>
      <c r="R1548" s="11" t="n">
        <f aca="false">SUM(K1548:Q1548)</f>
        <v>176.95</v>
      </c>
      <c r="S1548" s="11" t="n">
        <f aca="false">R1548/(1-Resumo!$C$6)</f>
        <v>201.079545454545</v>
      </c>
      <c r="T1548" s="11" t="n">
        <f aca="false">S1548-J1548</f>
        <v>58.0595454545454</v>
      </c>
      <c r="U1548" s="12" t="n">
        <f aca="false">IFERROR(S1548/J1548-1,0)</f>
        <v>0.405954030586949</v>
      </c>
      <c r="V1548" s="2" t="str">
        <f aca="false">IF(S1548&lt;J1548,"SIM","NÃO")</f>
        <v>NÃO</v>
      </c>
      <c r="W1548" s="2" t="n">
        <v>8</v>
      </c>
      <c r="X1548" s="2" t="s">
        <v>161</v>
      </c>
    </row>
    <row r="1549" customFormat="false" ht="15" hidden="false" customHeight="false" outlineLevel="0" collapsed="false">
      <c r="A1549" s="2" t="n">
        <v>387663437</v>
      </c>
      <c r="B1549" s="29" t="n">
        <v>46268.233287037</v>
      </c>
      <c r="C1549" s="2" t="s">
        <v>178</v>
      </c>
      <c r="D1549" s="2" t="s">
        <v>1630</v>
      </c>
      <c r="E1549" s="2" t="s">
        <v>78</v>
      </c>
      <c r="F1549" s="2" t="s">
        <v>109</v>
      </c>
      <c r="G1549" s="30" t="n">
        <v>58.6</v>
      </c>
      <c r="H1549" s="11" t="n">
        <v>756.49</v>
      </c>
      <c r="I1549" s="11" t="s">
        <v>155</v>
      </c>
      <c r="J1549" s="11" t="n">
        <v>114.77</v>
      </c>
      <c r="K1549" s="11" t="n">
        <v>112.3</v>
      </c>
      <c r="L1549" s="11" t="n">
        <v>0.7565</v>
      </c>
      <c r="M1549" s="11" t="n">
        <v>1.513</v>
      </c>
      <c r="N1549" s="11" t="n">
        <v>1</v>
      </c>
      <c r="O1549" s="11" t="n">
        <v>4.5</v>
      </c>
      <c r="P1549" s="11" t="n">
        <v>3.54</v>
      </c>
      <c r="Q1549" s="11" t="n">
        <v>26.55</v>
      </c>
      <c r="R1549" s="11" t="n">
        <f aca="false">SUM(K1549:Q1549)</f>
        <v>150.1595</v>
      </c>
      <c r="S1549" s="11" t="n">
        <f aca="false">R1549/(1-Resumo!$C$6)</f>
        <v>170.635795454545</v>
      </c>
      <c r="T1549" s="11" t="n">
        <f aca="false">S1549-J1549</f>
        <v>55.8657954545455</v>
      </c>
      <c r="U1549" s="12" t="n">
        <f aca="false">IFERROR(S1549/J1549-1,0)</f>
        <v>0.48676305179529</v>
      </c>
      <c r="V1549" s="2" t="str">
        <f aca="false">IF(S1549&lt;J1549,"SIM","NÃO")</f>
        <v>NÃO</v>
      </c>
      <c r="W1549" s="2" t="n">
        <v>5</v>
      </c>
      <c r="X1549" s="2" t="s">
        <v>156</v>
      </c>
    </row>
    <row r="1550" customFormat="false" ht="15" hidden="false" customHeight="false" outlineLevel="0" collapsed="false">
      <c r="A1550" s="2" t="n">
        <v>387934467</v>
      </c>
      <c r="B1550" s="29" t="n">
        <v>46268.3917013889</v>
      </c>
      <c r="C1550" s="2" t="s">
        <v>153</v>
      </c>
      <c r="D1550" s="2" t="s">
        <v>1631</v>
      </c>
      <c r="E1550" s="2" t="s">
        <v>78</v>
      </c>
      <c r="F1550" s="2" t="s">
        <v>107</v>
      </c>
      <c r="G1550" s="30" t="n">
        <v>37.6</v>
      </c>
      <c r="H1550" s="11" t="n">
        <v>391.9</v>
      </c>
      <c r="I1550" s="11" t="s">
        <v>155</v>
      </c>
      <c r="J1550" s="11" t="n">
        <v>91.73</v>
      </c>
      <c r="K1550" s="11" t="n">
        <v>93.97</v>
      </c>
      <c r="L1550" s="11" t="n">
        <v>0.3919</v>
      </c>
      <c r="M1550" s="11" t="n">
        <v>0.7838</v>
      </c>
      <c r="N1550" s="11" t="n">
        <v>1</v>
      </c>
      <c r="O1550" s="11" t="n">
        <v>4.5</v>
      </c>
      <c r="P1550" s="11" t="n">
        <v>2.28</v>
      </c>
      <c r="Q1550" s="11" t="n">
        <v>17.1</v>
      </c>
      <c r="R1550" s="11" t="n">
        <f aca="false">SUM(K1550:Q1550)</f>
        <v>120.0257</v>
      </c>
      <c r="S1550" s="11" t="n">
        <f aca="false">R1550/(1-Resumo!$C$6)</f>
        <v>136.392840909091</v>
      </c>
      <c r="T1550" s="11" t="n">
        <f aca="false">S1550-J1550</f>
        <v>44.6628409090909</v>
      </c>
      <c r="U1550" s="12" t="n">
        <f aca="false">IFERROR(S1550/J1550-1,0)</f>
        <v>0.486894591835724</v>
      </c>
      <c r="V1550" s="2" t="str">
        <f aca="false">IF(S1550&lt;J1550,"SIM","NÃO")</f>
        <v>NÃO</v>
      </c>
      <c r="W1550" s="2" t="n">
        <v>5</v>
      </c>
      <c r="X1550" s="2" t="s">
        <v>156</v>
      </c>
    </row>
    <row r="1551" customFormat="false" ht="15" hidden="false" customHeight="false" outlineLevel="0" collapsed="false">
      <c r="A1551" s="2" t="n">
        <v>388023431</v>
      </c>
      <c r="B1551" s="29" t="n">
        <v>46268.5582407407</v>
      </c>
      <c r="C1551" s="2" t="s">
        <v>191</v>
      </c>
      <c r="D1551" s="2" t="s">
        <v>1632</v>
      </c>
      <c r="E1551" s="2" t="s">
        <v>219</v>
      </c>
      <c r="F1551" s="2" t="s">
        <v>108</v>
      </c>
      <c r="G1551" s="30" t="n">
        <v>44.5</v>
      </c>
      <c r="H1551" s="11" t="n">
        <v>679.99</v>
      </c>
      <c r="I1551" s="11" t="s">
        <v>155</v>
      </c>
      <c r="J1551" s="11" t="n">
        <v>131.42</v>
      </c>
      <c r="K1551" s="11" t="n">
        <v>124.38</v>
      </c>
      <c r="L1551" s="11" t="n">
        <v>0.68</v>
      </c>
      <c r="M1551" s="11" t="n">
        <v>1.36</v>
      </c>
      <c r="N1551" s="11" t="n">
        <v>1</v>
      </c>
      <c r="O1551" s="11" t="n">
        <v>4.5</v>
      </c>
      <c r="P1551" s="11" t="n">
        <v>2.7</v>
      </c>
      <c r="Q1551" s="11" t="n">
        <v>20.25</v>
      </c>
      <c r="R1551" s="11" t="n">
        <f aca="false">SUM(K1551:Q1551)</f>
        <v>154.87</v>
      </c>
      <c r="S1551" s="11" t="n">
        <f aca="false">R1551/(1-Resumo!$C$6)</f>
        <v>175.988636363636</v>
      </c>
      <c r="T1551" s="11" t="n">
        <f aca="false">S1551-J1551</f>
        <v>44.5686363636364</v>
      </c>
      <c r="U1551" s="12" t="n">
        <f aca="false">IFERROR(S1551/J1551-1,0)</f>
        <v>0.339131306982471</v>
      </c>
      <c r="V1551" s="2" t="str">
        <f aca="false">IF(S1551&lt;J1551,"SIM","NÃO")</f>
        <v>NÃO</v>
      </c>
      <c r="W1551" s="2" t="n">
        <v>10</v>
      </c>
      <c r="X1551" s="2" t="s">
        <v>161</v>
      </c>
    </row>
    <row r="1552" customFormat="false" ht="15" hidden="false" customHeight="false" outlineLevel="0" collapsed="false">
      <c r="A1552" s="2" t="n">
        <v>388031354</v>
      </c>
      <c r="B1552" s="29" t="n">
        <v>46268.5749537037</v>
      </c>
      <c r="C1552" s="2" t="s">
        <v>158</v>
      </c>
      <c r="D1552" s="2" t="s">
        <v>1633</v>
      </c>
      <c r="E1552" s="2" t="s">
        <v>78</v>
      </c>
      <c r="F1552" s="2" t="s">
        <v>110</v>
      </c>
      <c r="G1552" s="30" t="n">
        <v>66.8</v>
      </c>
      <c r="H1552" s="11" t="n">
        <v>578</v>
      </c>
      <c r="I1552" s="11" t="s">
        <v>155</v>
      </c>
      <c r="J1552" s="11" t="n">
        <v>123.99</v>
      </c>
      <c r="K1552" s="11" t="n">
        <v>131.02</v>
      </c>
      <c r="L1552" s="11" t="n">
        <v>0.578</v>
      </c>
      <c r="M1552" s="11" t="n">
        <v>1.156</v>
      </c>
      <c r="N1552" s="11" t="n">
        <v>1</v>
      </c>
      <c r="O1552" s="11" t="n">
        <v>4.5</v>
      </c>
      <c r="P1552" s="11" t="n">
        <v>4.02</v>
      </c>
      <c r="Q1552" s="11" t="n">
        <v>30.15</v>
      </c>
      <c r="R1552" s="11" t="n">
        <f aca="false">SUM(K1552:Q1552)</f>
        <v>172.424</v>
      </c>
      <c r="S1552" s="11" t="n">
        <f aca="false">R1552/(1-Resumo!$C$6)</f>
        <v>195.936363636364</v>
      </c>
      <c r="T1552" s="11" t="n">
        <f aca="false">S1552-J1552</f>
        <v>71.9463636363636</v>
      </c>
      <c r="U1552" s="12" t="n">
        <f aca="false">IFERROR(S1552/J1552-1,0)</f>
        <v>0.580259405083988</v>
      </c>
      <c r="V1552" s="2" t="str">
        <f aca="false">IF(S1552&lt;J1552,"SIM","NÃO")</f>
        <v>NÃO</v>
      </c>
      <c r="W1552" s="2" t="n">
        <v>5</v>
      </c>
      <c r="X1552" s="2" t="s">
        <v>156</v>
      </c>
    </row>
    <row r="1553" customFormat="false" ht="15" hidden="false" customHeight="false" outlineLevel="0" collapsed="false">
      <c r="A1553" s="2" t="n">
        <v>388036849</v>
      </c>
      <c r="B1553" s="29" t="n">
        <v>46268.58375</v>
      </c>
      <c r="C1553" s="2" t="s">
        <v>158</v>
      </c>
      <c r="D1553" s="2" t="s">
        <v>1634</v>
      </c>
      <c r="E1553" s="2" t="s">
        <v>85</v>
      </c>
      <c r="F1553" s="2" t="s">
        <v>110</v>
      </c>
      <c r="G1553" s="30" t="n">
        <v>68.1</v>
      </c>
      <c r="H1553" s="11" t="n">
        <v>898</v>
      </c>
      <c r="I1553" s="11" t="s">
        <v>155</v>
      </c>
      <c r="J1553" s="11" t="n">
        <v>156.33</v>
      </c>
      <c r="K1553" s="11" t="n">
        <v>171.54</v>
      </c>
      <c r="L1553" s="11" t="n">
        <v>0.898</v>
      </c>
      <c r="M1553" s="11" t="n">
        <v>1.796</v>
      </c>
      <c r="N1553" s="11" t="n">
        <v>1</v>
      </c>
      <c r="O1553" s="11" t="n">
        <v>4.5</v>
      </c>
      <c r="P1553" s="11" t="n">
        <v>4.14</v>
      </c>
      <c r="Q1553" s="11" t="n">
        <v>31.05</v>
      </c>
      <c r="R1553" s="11" t="n">
        <f aca="false">SUM(K1553:Q1553)</f>
        <v>214.924</v>
      </c>
      <c r="S1553" s="11" t="n">
        <f aca="false">R1553/(1-Resumo!$C$6)</f>
        <v>244.231818181818</v>
      </c>
      <c r="T1553" s="11" t="n">
        <f aca="false">S1553-J1553</f>
        <v>87.9018181818182</v>
      </c>
      <c r="U1553" s="12" t="n">
        <f aca="false">IFERROR(S1553/J1553-1,0)</f>
        <v>0.562283747085129</v>
      </c>
      <c r="V1553" s="2" t="str">
        <f aca="false">IF(S1553&lt;J1553,"SIM","NÃO")</f>
        <v>NÃO</v>
      </c>
      <c r="W1553" s="2" t="n">
        <v>11</v>
      </c>
      <c r="X1553" s="2" t="s">
        <v>156</v>
      </c>
    </row>
    <row r="1554" customFormat="false" ht="15" hidden="false" customHeight="false" outlineLevel="0" collapsed="false">
      <c r="A1554" s="2" t="n">
        <v>388069158</v>
      </c>
      <c r="B1554" s="29" t="n">
        <v>46268.6326041667</v>
      </c>
      <c r="C1554" s="2" t="s">
        <v>153</v>
      </c>
      <c r="D1554" s="2" t="s">
        <v>1635</v>
      </c>
      <c r="E1554" s="2" t="s">
        <v>93</v>
      </c>
      <c r="F1554" s="2" t="s">
        <v>108</v>
      </c>
      <c r="G1554" s="30" t="n">
        <v>49.6</v>
      </c>
      <c r="H1554" s="11" t="n">
        <v>769.99</v>
      </c>
      <c r="I1554" s="11" t="s">
        <v>155</v>
      </c>
      <c r="J1554" s="11" t="n">
        <v>131.85</v>
      </c>
      <c r="K1554" s="11" t="n">
        <v>114.95</v>
      </c>
      <c r="L1554" s="11" t="n">
        <v>0.77</v>
      </c>
      <c r="M1554" s="11" t="n">
        <v>1.54</v>
      </c>
      <c r="N1554" s="11" t="n">
        <v>1</v>
      </c>
      <c r="O1554" s="11" t="n">
        <v>4.5</v>
      </c>
      <c r="P1554" s="11" t="n">
        <v>3</v>
      </c>
      <c r="Q1554" s="11" t="n">
        <v>22.5</v>
      </c>
      <c r="R1554" s="11" t="n">
        <f aca="false">SUM(K1554:Q1554)</f>
        <v>148.26</v>
      </c>
      <c r="S1554" s="11" t="n">
        <f aca="false">R1554/(1-Resumo!$C$6)</f>
        <v>168.477272727273</v>
      </c>
      <c r="T1554" s="11" t="n">
        <f aca="false">S1554-J1554</f>
        <v>36.6272727272727</v>
      </c>
      <c r="U1554" s="12" t="n">
        <f aca="false">IFERROR(S1554/J1554-1,0)</f>
        <v>0.27779501499638</v>
      </c>
      <c r="V1554" s="2" t="str">
        <f aca="false">IF(S1554&lt;J1554,"SIM","NÃO")</f>
        <v>NÃO</v>
      </c>
      <c r="W1554" s="2" t="n">
        <v>7</v>
      </c>
      <c r="X1554" s="2" t="s">
        <v>156</v>
      </c>
    </row>
    <row r="1555" customFormat="false" ht="15" hidden="false" customHeight="false" outlineLevel="0" collapsed="false">
      <c r="A1555" s="2" t="n">
        <v>388074063</v>
      </c>
      <c r="B1555" s="29" t="n">
        <v>46268.6407638889</v>
      </c>
      <c r="C1555" s="2" t="s">
        <v>158</v>
      </c>
      <c r="D1555" s="2" t="s">
        <v>1636</v>
      </c>
      <c r="E1555" s="2" t="s">
        <v>78</v>
      </c>
      <c r="F1555" s="2" t="s">
        <v>106</v>
      </c>
      <c r="G1555" s="30" t="n">
        <v>31.9</v>
      </c>
      <c r="H1555" s="11" t="n">
        <v>589.95</v>
      </c>
      <c r="I1555" s="11" t="s">
        <v>155</v>
      </c>
      <c r="J1555" s="11" t="n">
        <v>83.15</v>
      </c>
      <c r="K1555" s="11" t="n">
        <v>82.21</v>
      </c>
      <c r="L1555" s="11" t="n">
        <v>0.59</v>
      </c>
      <c r="M1555" s="11" t="n">
        <v>1.1799</v>
      </c>
      <c r="N1555" s="11" t="n">
        <v>1</v>
      </c>
      <c r="O1555" s="11" t="n">
        <v>4.5</v>
      </c>
      <c r="P1555" s="11" t="n">
        <v>1.92</v>
      </c>
      <c r="Q1555" s="11" t="n">
        <v>14.4</v>
      </c>
      <c r="R1555" s="11" t="n">
        <f aca="false">SUM(K1555:Q1555)</f>
        <v>105.7999</v>
      </c>
      <c r="S1555" s="11" t="n">
        <f aca="false">R1555/(1-Resumo!$C$6)</f>
        <v>120.227159090909</v>
      </c>
      <c r="T1555" s="11" t="n">
        <f aca="false">S1555-J1555</f>
        <v>37.0771590909091</v>
      </c>
      <c r="U1555" s="12" t="n">
        <f aca="false">IFERROR(S1555/J1555-1,0)</f>
        <v>0.445906904280326</v>
      </c>
      <c r="V1555" s="2" t="str">
        <f aca="false">IF(S1555&lt;J1555,"SIM","NÃO")</f>
        <v>NÃO</v>
      </c>
      <c r="W1555" s="2" t="n">
        <v>5</v>
      </c>
      <c r="X1555" s="2" t="s">
        <v>156</v>
      </c>
    </row>
    <row r="1556" customFormat="false" ht="15" hidden="false" customHeight="false" outlineLevel="0" collapsed="false">
      <c r="A1556" s="2" t="n">
        <v>388085053</v>
      </c>
      <c r="B1556" s="29" t="n">
        <v>46268.6432407407</v>
      </c>
      <c r="C1556" s="2" t="s">
        <v>369</v>
      </c>
      <c r="D1556" s="2" t="s">
        <v>1637</v>
      </c>
      <c r="E1556" s="2" t="s">
        <v>160</v>
      </c>
      <c r="F1556" s="2" t="s">
        <v>112</v>
      </c>
      <c r="G1556" s="30" t="n">
        <v>84</v>
      </c>
      <c r="H1556" s="11" t="n">
        <v>1042.13</v>
      </c>
      <c r="I1556" s="11" t="s">
        <v>155</v>
      </c>
      <c r="J1556" s="11" t="n">
        <v>173.81</v>
      </c>
      <c r="K1556" s="11" t="n">
        <v>167.99</v>
      </c>
      <c r="L1556" s="11" t="n">
        <v>1.0421</v>
      </c>
      <c r="M1556" s="11" t="n">
        <v>2.0843</v>
      </c>
      <c r="N1556" s="11" t="n">
        <v>1</v>
      </c>
      <c r="O1556" s="11" t="n">
        <v>4.5</v>
      </c>
      <c r="P1556" s="11" t="n">
        <v>5.04</v>
      </c>
      <c r="Q1556" s="11" t="n">
        <v>37.8</v>
      </c>
      <c r="R1556" s="11" t="n">
        <f aca="false">SUM(K1556:Q1556)</f>
        <v>219.4564</v>
      </c>
      <c r="S1556" s="11" t="n">
        <f aca="false">R1556/(1-Resumo!$C$6)</f>
        <v>249.382272727273</v>
      </c>
      <c r="T1556" s="11" t="n">
        <f aca="false">S1556-J1556</f>
        <v>75.5722727272728</v>
      </c>
      <c r="U1556" s="12" t="n">
        <f aca="false">IFERROR(S1556/J1556-1,0)</f>
        <v>0.434798186107087</v>
      </c>
      <c r="V1556" s="2" t="str">
        <f aca="false">IF(S1556&lt;J1556,"SIM","NÃO")</f>
        <v>NÃO</v>
      </c>
      <c r="W1556" s="2" t="n">
        <v>5</v>
      </c>
      <c r="X1556" s="2" t="s">
        <v>161</v>
      </c>
    </row>
    <row r="1557" customFormat="false" ht="15" hidden="false" customHeight="false" outlineLevel="0" collapsed="false">
      <c r="A1557" s="2" t="n">
        <v>388120156</v>
      </c>
      <c r="B1557" s="29" t="n">
        <v>46268.725150463</v>
      </c>
      <c r="C1557" s="2" t="s">
        <v>153</v>
      </c>
      <c r="D1557" s="2" t="s">
        <v>1638</v>
      </c>
      <c r="E1557" s="2" t="s">
        <v>81</v>
      </c>
      <c r="F1557" s="2" t="s">
        <v>114</v>
      </c>
      <c r="G1557" s="30" t="n">
        <v>124.2</v>
      </c>
      <c r="H1557" s="11" t="n">
        <v>1799.99</v>
      </c>
      <c r="I1557" s="11" t="s">
        <v>155</v>
      </c>
      <c r="J1557" s="11" t="n">
        <v>245.23</v>
      </c>
      <c r="K1557" s="11" t="n">
        <v>239.25</v>
      </c>
      <c r="L1557" s="11" t="n">
        <v>1.8</v>
      </c>
      <c r="M1557" s="11" t="n">
        <v>3.6</v>
      </c>
      <c r="N1557" s="11" t="n">
        <v>1</v>
      </c>
      <c r="O1557" s="11" t="n">
        <v>9</v>
      </c>
      <c r="P1557" s="11" t="n">
        <v>7.5</v>
      </c>
      <c r="Q1557" s="11" t="n">
        <v>56.25</v>
      </c>
      <c r="R1557" s="11" t="n">
        <f aca="false">SUM(K1557:Q1557)</f>
        <v>318.4</v>
      </c>
      <c r="S1557" s="11" t="n">
        <f aca="false">R1557/(1-Resumo!$C$6)</f>
        <v>361.818181818182</v>
      </c>
      <c r="T1557" s="11" t="n">
        <f aca="false">S1557-J1557</f>
        <v>116.588181818182</v>
      </c>
      <c r="U1557" s="12" t="n">
        <f aca="false">IFERROR(S1557/J1557-1,0)</f>
        <v>0.47542381363692</v>
      </c>
      <c r="V1557" s="2" t="str">
        <f aca="false">IF(S1557&lt;J1557,"SIM","NÃO")</f>
        <v>NÃO</v>
      </c>
      <c r="W1557" s="2" t="n">
        <v>5</v>
      </c>
      <c r="X1557" s="2" t="s">
        <v>156</v>
      </c>
    </row>
    <row r="1558" customFormat="false" ht="15" hidden="false" customHeight="false" outlineLevel="0" collapsed="false">
      <c r="A1558" s="2" t="n">
        <v>388120390</v>
      </c>
      <c r="B1558" s="29" t="n">
        <v>46268.7280671296</v>
      </c>
      <c r="C1558" s="2" t="s">
        <v>191</v>
      </c>
      <c r="D1558" s="2" t="s">
        <v>1639</v>
      </c>
      <c r="E1558" s="2" t="s">
        <v>97</v>
      </c>
      <c r="F1558" s="2" t="s">
        <v>106</v>
      </c>
      <c r="G1558" s="30" t="n">
        <v>29.2</v>
      </c>
      <c r="H1558" s="11" t="n">
        <v>458.18</v>
      </c>
      <c r="I1558" s="11" t="s">
        <v>155</v>
      </c>
      <c r="J1558" s="11" t="n">
        <v>109.39</v>
      </c>
      <c r="K1558" s="11" t="n">
        <v>114.95</v>
      </c>
      <c r="L1558" s="11" t="n">
        <v>0.4582</v>
      </c>
      <c r="M1558" s="11" t="n">
        <v>0.9164</v>
      </c>
      <c r="N1558" s="11" t="n">
        <v>1</v>
      </c>
      <c r="O1558" s="11" t="n">
        <v>4.5</v>
      </c>
      <c r="P1558" s="11" t="n">
        <v>1.8</v>
      </c>
      <c r="Q1558" s="11" t="n">
        <v>13.5</v>
      </c>
      <c r="R1558" s="11" t="n">
        <f aca="false">SUM(K1558:Q1558)</f>
        <v>137.1246</v>
      </c>
      <c r="S1558" s="11" t="n">
        <f aca="false">R1558/(1-Resumo!$C$6)</f>
        <v>155.823409090909</v>
      </c>
      <c r="T1558" s="11" t="n">
        <f aca="false">S1558-J1558</f>
        <v>46.4334090909091</v>
      </c>
      <c r="U1558" s="12" t="n">
        <f aca="false">IFERROR(S1558/J1558-1,0)</f>
        <v>0.42447581214836</v>
      </c>
      <c r="V1558" s="2" t="str">
        <f aca="false">IF(S1558&lt;J1558,"SIM","NÃO")</f>
        <v>NÃO</v>
      </c>
      <c r="W1558" s="2" t="n">
        <v>10</v>
      </c>
      <c r="X1558" s="2" t="s">
        <v>156</v>
      </c>
    </row>
    <row r="1559" customFormat="false" ht="15" hidden="false" customHeight="false" outlineLevel="0" collapsed="false">
      <c r="A1559" s="2" t="n">
        <v>388135543</v>
      </c>
      <c r="B1559" s="29" t="n">
        <v>46268.7564583333</v>
      </c>
      <c r="C1559" s="2" t="s">
        <v>153</v>
      </c>
      <c r="D1559" s="2" t="s">
        <v>1640</v>
      </c>
      <c r="E1559" s="2" t="s">
        <v>78</v>
      </c>
      <c r="F1559" s="2" t="s">
        <v>106</v>
      </c>
      <c r="G1559" s="30" t="n">
        <v>29.2</v>
      </c>
      <c r="H1559" s="11" t="n">
        <v>449.99</v>
      </c>
      <c r="I1559" s="11" t="s">
        <v>155</v>
      </c>
      <c r="J1559" s="11" t="n">
        <v>82.48</v>
      </c>
      <c r="K1559" s="11" t="n">
        <v>82.21</v>
      </c>
      <c r="L1559" s="11" t="n">
        <v>0.45</v>
      </c>
      <c r="M1559" s="11" t="n">
        <v>0.9</v>
      </c>
      <c r="N1559" s="11" t="n">
        <v>1</v>
      </c>
      <c r="O1559" s="11" t="n">
        <v>4.5</v>
      </c>
      <c r="P1559" s="11" t="n">
        <v>1.8</v>
      </c>
      <c r="Q1559" s="11" t="n">
        <v>13.5</v>
      </c>
      <c r="R1559" s="11" t="n">
        <f aca="false">SUM(K1559:Q1559)</f>
        <v>104.36</v>
      </c>
      <c r="S1559" s="11" t="n">
        <f aca="false">R1559/(1-Resumo!$C$6)</f>
        <v>118.590909090909</v>
      </c>
      <c r="T1559" s="11" t="n">
        <f aca="false">S1559-J1559</f>
        <v>36.1109090909091</v>
      </c>
      <c r="U1559" s="12" t="n">
        <f aca="false">IFERROR(S1559/J1559-1,0)</f>
        <v>0.437814125738471</v>
      </c>
      <c r="V1559" s="2" t="str">
        <f aca="false">IF(S1559&lt;J1559,"SIM","NÃO")</f>
        <v>NÃO</v>
      </c>
      <c r="W1559" s="2" t="n">
        <v>5</v>
      </c>
      <c r="X1559" s="2" t="s">
        <v>156</v>
      </c>
    </row>
    <row r="1560" customFormat="false" ht="15" hidden="false" customHeight="false" outlineLevel="0" collapsed="false">
      <c r="A1560" s="2" t="n">
        <v>388137074</v>
      </c>
      <c r="B1560" s="29" t="n">
        <v>46268.7600578704</v>
      </c>
      <c r="C1560" s="2" t="s">
        <v>153</v>
      </c>
      <c r="D1560" s="2" t="s">
        <v>1641</v>
      </c>
      <c r="E1560" s="2" t="s">
        <v>186</v>
      </c>
      <c r="F1560" s="2" t="s">
        <v>108</v>
      </c>
      <c r="G1560" s="30" t="n">
        <v>48.3</v>
      </c>
      <c r="H1560" s="11" t="n">
        <v>440.89</v>
      </c>
      <c r="I1560" s="11" t="s">
        <v>155</v>
      </c>
      <c r="J1560" s="11" t="n">
        <v>130.27</v>
      </c>
      <c r="K1560" s="11" t="n">
        <v>93.97</v>
      </c>
      <c r="L1560" s="11" t="n">
        <v>0.4409</v>
      </c>
      <c r="M1560" s="11" t="n">
        <v>0.8818</v>
      </c>
      <c r="N1560" s="11" t="n">
        <v>1</v>
      </c>
      <c r="O1560" s="11" t="n">
        <v>4.5</v>
      </c>
      <c r="P1560" s="11" t="n">
        <v>2.94</v>
      </c>
      <c r="Q1560" s="11" t="n">
        <v>22.05</v>
      </c>
      <c r="R1560" s="11" t="n">
        <f aca="false">SUM(K1560:Q1560)</f>
        <v>125.7827</v>
      </c>
      <c r="S1560" s="11" t="n">
        <f aca="false">R1560/(1-Resumo!$C$6)</f>
        <v>142.934886363636</v>
      </c>
      <c r="T1560" s="11" t="n">
        <f aca="false">S1560-J1560</f>
        <v>12.6648863636364</v>
      </c>
      <c r="U1560" s="12" t="n">
        <f aca="false">IFERROR(S1560/J1560-1,0)</f>
        <v>0.097220283746345</v>
      </c>
      <c r="V1560" s="2" t="str">
        <f aca="false">IF(S1560&lt;J1560,"SIM","NÃO")</f>
        <v>NÃO</v>
      </c>
      <c r="W1560" s="2" t="n">
        <v>5</v>
      </c>
      <c r="X1560" s="2" t="s">
        <v>161</v>
      </c>
    </row>
    <row r="1561" customFormat="false" ht="15" hidden="false" customHeight="false" outlineLevel="0" collapsed="false">
      <c r="A1561" s="2" t="n">
        <v>388139974</v>
      </c>
      <c r="B1561" s="29" t="n">
        <v>46268.7658912037</v>
      </c>
      <c r="C1561" s="2" t="s">
        <v>153</v>
      </c>
      <c r="D1561" s="2" t="s">
        <v>1642</v>
      </c>
      <c r="E1561" s="2" t="s">
        <v>78</v>
      </c>
      <c r="F1561" s="2" t="s">
        <v>106</v>
      </c>
      <c r="G1561" s="30" t="n">
        <v>33</v>
      </c>
      <c r="H1561" s="11" t="n">
        <v>438.93</v>
      </c>
      <c r="I1561" s="11" t="s">
        <v>155</v>
      </c>
      <c r="J1561" s="11" t="n">
        <v>82.43</v>
      </c>
      <c r="K1561" s="11" t="n">
        <v>82.21</v>
      </c>
      <c r="L1561" s="11" t="n">
        <v>0.4389</v>
      </c>
      <c r="M1561" s="11" t="n">
        <v>0.8779</v>
      </c>
      <c r="N1561" s="11" t="n">
        <v>1</v>
      </c>
      <c r="O1561" s="11" t="n">
        <v>4.5</v>
      </c>
      <c r="P1561" s="11" t="n">
        <v>1.98</v>
      </c>
      <c r="Q1561" s="11" t="n">
        <v>14.85</v>
      </c>
      <c r="R1561" s="11" t="n">
        <f aca="false">SUM(K1561:Q1561)</f>
        <v>105.8568</v>
      </c>
      <c r="S1561" s="11" t="n">
        <f aca="false">R1561/(1-Resumo!$C$6)</f>
        <v>120.291818181818</v>
      </c>
      <c r="T1561" s="11" t="n">
        <f aca="false">S1561-J1561</f>
        <v>37.8618181818182</v>
      </c>
      <c r="U1561" s="12" t="n">
        <f aca="false">IFERROR(S1561/J1561-1,0)</f>
        <v>0.459320856263717</v>
      </c>
      <c r="V1561" s="2" t="str">
        <f aca="false">IF(S1561&lt;J1561,"SIM","NÃO")</f>
        <v>NÃO</v>
      </c>
      <c r="W1561" s="2" t="n">
        <v>5</v>
      </c>
      <c r="X1561" s="2" t="s">
        <v>156</v>
      </c>
    </row>
    <row r="1562" customFormat="false" ht="15" hidden="false" customHeight="false" outlineLevel="0" collapsed="false">
      <c r="A1562" s="2" t="n">
        <v>388142424</v>
      </c>
      <c r="B1562" s="29" t="n">
        <v>46268.7711689815</v>
      </c>
      <c r="C1562" s="2" t="s">
        <v>198</v>
      </c>
      <c r="D1562" s="2" t="s">
        <v>1643</v>
      </c>
      <c r="E1562" s="2" t="s">
        <v>82</v>
      </c>
      <c r="F1562" s="2" t="s">
        <v>106</v>
      </c>
      <c r="G1562" s="30" t="n">
        <v>24.4</v>
      </c>
      <c r="H1562" s="11" t="n">
        <v>349.99</v>
      </c>
      <c r="I1562" s="11" t="s">
        <v>155</v>
      </c>
      <c r="J1562" s="11" t="n">
        <v>101.07</v>
      </c>
      <c r="K1562" s="11" t="n">
        <v>100.58</v>
      </c>
      <c r="L1562" s="11" t="n">
        <v>0.35</v>
      </c>
      <c r="M1562" s="11" t="n">
        <v>0.7</v>
      </c>
      <c r="N1562" s="11" t="n">
        <v>1</v>
      </c>
      <c r="O1562" s="11" t="n">
        <v>4.5</v>
      </c>
      <c r="P1562" s="11" t="n">
        <v>1.5</v>
      </c>
      <c r="Q1562" s="11" t="n">
        <v>11.25</v>
      </c>
      <c r="R1562" s="11" t="n">
        <f aca="false">SUM(K1562:Q1562)</f>
        <v>119.88</v>
      </c>
      <c r="S1562" s="11" t="n">
        <f aca="false">R1562/(1-Resumo!$C$6)</f>
        <v>136.227272727273</v>
      </c>
      <c r="T1562" s="11" t="n">
        <f aca="false">S1562-J1562</f>
        <v>35.1572727272727</v>
      </c>
      <c r="U1562" s="12" t="n">
        <f aca="false">IFERROR(S1562/J1562-1,0)</f>
        <v>0.34785072452036</v>
      </c>
      <c r="V1562" s="2" t="str">
        <f aca="false">IF(S1562&lt;J1562,"SIM","NÃO")</f>
        <v>NÃO</v>
      </c>
      <c r="W1562" s="2" t="n">
        <v>7</v>
      </c>
      <c r="X1562" s="2" t="s">
        <v>156</v>
      </c>
    </row>
    <row r="1563" customFormat="false" ht="15" hidden="false" customHeight="false" outlineLevel="0" collapsed="false">
      <c r="A1563" s="2" t="n">
        <v>388199139</v>
      </c>
      <c r="B1563" s="29" t="n">
        <v>46268.8809027778</v>
      </c>
      <c r="C1563" s="2" t="s">
        <v>158</v>
      </c>
      <c r="D1563" s="2" t="s">
        <v>1644</v>
      </c>
      <c r="E1563" s="2" t="s">
        <v>78</v>
      </c>
      <c r="F1563" s="2" t="s">
        <v>105</v>
      </c>
      <c r="G1563" s="30" t="n">
        <v>13.18</v>
      </c>
      <c r="H1563" s="11" t="n">
        <v>245.9</v>
      </c>
      <c r="I1563" s="11" t="s">
        <v>155</v>
      </c>
      <c r="J1563" s="11" t="n">
        <v>64.39</v>
      </c>
      <c r="K1563" s="11" t="n">
        <v>46.98</v>
      </c>
      <c r="L1563" s="11" t="n">
        <v>0.2459</v>
      </c>
      <c r="M1563" s="11" t="n">
        <v>0.4918</v>
      </c>
      <c r="N1563" s="11" t="n">
        <v>1</v>
      </c>
      <c r="O1563" s="11" t="n">
        <v>4.5</v>
      </c>
      <c r="P1563" s="11" t="n">
        <v>0.84</v>
      </c>
      <c r="Q1563" s="11" t="n">
        <v>6.3</v>
      </c>
      <c r="R1563" s="11" t="n">
        <f aca="false">SUM(K1563:Q1563)</f>
        <v>60.3577</v>
      </c>
      <c r="S1563" s="11" t="n">
        <f aca="false">R1563/(1-Resumo!$C$6)</f>
        <v>68.5882954545455</v>
      </c>
      <c r="T1563" s="11" t="n">
        <f aca="false">S1563-J1563</f>
        <v>4.19829545454545</v>
      </c>
      <c r="U1563" s="12" t="n">
        <f aca="false">IFERROR(S1563/J1563-1,0)</f>
        <v>0.0652010475934997</v>
      </c>
      <c r="V1563" s="2" t="str">
        <f aca="false">IF(S1563&lt;J1563,"SIM","NÃO")</f>
        <v>NÃO</v>
      </c>
      <c r="W1563" s="2" t="n">
        <v>5</v>
      </c>
      <c r="X1563" s="2" t="s">
        <v>156</v>
      </c>
    </row>
    <row r="1564" customFormat="false" ht="15" hidden="false" customHeight="false" outlineLevel="0" collapsed="false">
      <c r="A1564" s="2" t="n">
        <v>388199440</v>
      </c>
      <c r="B1564" s="29" t="n">
        <v>46268.8821875</v>
      </c>
      <c r="C1564" s="2" t="s">
        <v>198</v>
      </c>
      <c r="D1564" s="2" t="s">
        <v>1645</v>
      </c>
      <c r="E1564" s="2" t="s">
        <v>78</v>
      </c>
      <c r="F1564" s="2" t="s">
        <v>106</v>
      </c>
      <c r="G1564" s="30" t="n">
        <v>33</v>
      </c>
      <c r="H1564" s="11" t="n">
        <v>439.99</v>
      </c>
      <c r="I1564" s="11" t="s">
        <v>1646</v>
      </c>
      <c r="J1564" s="11" t="n">
        <v>82.17</v>
      </c>
      <c r="K1564" s="11" t="n">
        <v>82.21</v>
      </c>
      <c r="L1564" s="11" t="n">
        <v>0.44</v>
      </c>
      <c r="M1564" s="11" t="n">
        <v>0.88</v>
      </c>
      <c r="N1564" s="11" t="n">
        <v>1</v>
      </c>
      <c r="O1564" s="11" t="n">
        <v>4.5</v>
      </c>
      <c r="P1564" s="11" t="n">
        <v>1.98</v>
      </c>
      <c r="Q1564" s="11" t="n">
        <v>14.85</v>
      </c>
      <c r="R1564" s="11" t="n">
        <f aca="false">SUM(K1564:Q1564)</f>
        <v>105.86</v>
      </c>
      <c r="S1564" s="11" t="n">
        <f aca="false">R1564/(1-Resumo!$C$6)</f>
        <v>120.295454545455</v>
      </c>
      <c r="T1564" s="11" t="n">
        <f aca="false">S1564-J1564</f>
        <v>38.1254545454545</v>
      </c>
      <c r="U1564" s="12" t="n">
        <f aca="false">IFERROR(S1564/J1564-1,0)</f>
        <v>0.463982652372575</v>
      </c>
      <c r="V1564" s="2" t="str">
        <f aca="false">IF(S1564&lt;J1564,"SIM","NÃO")</f>
        <v>NÃO</v>
      </c>
      <c r="W1564" s="2" t="n">
        <v>5</v>
      </c>
      <c r="X1564" s="2" t="s">
        <v>156</v>
      </c>
    </row>
    <row r="1565" customFormat="false" ht="15" hidden="false" customHeight="false" outlineLevel="0" collapsed="false">
      <c r="A1565" s="2" t="n">
        <v>388203943</v>
      </c>
      <c r="B1565" s="29" t="n">
        <v>46268.8938194444</v>
      </c>
      <c r="C1565" s="2" t="s">
        <v>191</v>
      </c>
      <c r="D1565" s="2" t="s">
        <v>1647</v>
      </c>
      <c r="E1565" s="2" t="s">
        <v>78</v>
      </c>
      <c r="F1565" s="2" t="s">
        <v>107</v>
      </c>
      <c r="G1565" s="30" t="n">
        <v>36.8</v>
      </c>
      <c r="H1565" s="11" t="n">
        <v>379.99</v>
      </c>
      <c r="I1565" s="11" t="s">
        <v>155</v>
      </c>
      <c r="J1565" s="11" t="n">
        <v>91.68</v>
      </c>
      <c r="K1565" s="11" t="n">
        <v>93.97</v>
      </c>
      <c r="L1565" s="11" t="n">
        <v>0.38</v>
      </c>
      <c r="M1565" s="11" t="n">
        <v>0.76</v>
      </c>
      <c r="N1565" s="11" t="n">
        <v>1</v>
      </c>
      <c r="O1565" s="11" t="n">
        <v>4.5</v>
      </c>
      <c r="P1565" s="11" t="n">
        <v>2.22</v>
      </c>
      <c r="Q1565" s="11" t="n">
        <v>16.65</v>
      </c>
      <c r="R1565" s="11" t="n">
        <f aca="false">SUM(K1565:Q1565)</f>
        <v>119.48</v>
      </c>
      <c r="S1565" s="11" t="n">
        <f aca="false">R1565/(1-Resumo!$C$6)</f>
        <v>135.772727272727</v>
      </c>
      <c r="T1565" s="11" t="n">
        <f aca="false">S1565-J1565</f>
        <v>44.0927272727272</v>
      </c>
      <c r="U1565" s="12" t="n">
        <f aca="false">IFERROR(S1565/J1565-1,0)</f>
        <v>0.480941615103919</v>
      </c>
      <c r="V1565" s="2" t="str">
        <f aca="false">IF(S1565&lt;J1565,"SIM","NÃO")</f>
        <v>NÃO</v>
      </c>
      <c r="W1565" s="2" t="n">
        <v>5</v>
      </c>
      <c r="X1565" s="2" t="s">
        <v>156</v>
      </c>
    </row>
    <row r="1566" customFormat="false" ht="15" hidden="false" customHeight="false" outlineLevel="0" collapsed="false">
      <c r="A1566" s="2" t="n">
        <v>388209266</v>
      </c>
      <c r="B1566" s="29" t="n">
        <v>46268.9049305556</v>
      </c>
      <c r="C1566" s="2" t="s">
        <v>194</v>
      </c>
      <c r="D1566" s="2" t="s">
        <v>1648</v>
      </c>
      <c r="E1566" s="2" t="s">
        <v>78</v>
      </c>
      <c r="F1566" s="2" t="s">
        <v>105</v>
      </c>
      <c r="G1566" s="30" t="n">
        <v>15.15</v>
      </c>
      <c r="H1566" s="11" t="n">
        <v>249.99</v>
      </c>
      <c r="I1566" s="11" t="s">
        <v>155</v>
      </c>
      <c r="J1566" s="11" t="n">
        <v>64.42</v>
      </c>
      <c r="K1566" s="11" t="n">
        <v>46.98</v>
      </c>
      <c r="L1566" s="11" t="n">
        <v>0.25</v>
      </c>
      <c r="M1566" s="11" t="n">
        <v>0.5</v>
      </c>
      <c r="N1566" s="11" t="n">
        <v>1</v>
      </c>
      <c r="O1566" s="11" t="n">
        <v>4.5</v>
      </c>
      <c r="P1566" s="11" t="n">
        <v>0.96</v>
      </c>
      <c r="Q1566" s="11" t="n">
        <v>7.2</v>
      </c>
      <c r="R1566" s="11" t="n">
        <f aca="false">SUM(K1566:Q1566)</f>
        <v>61.39</v>
      </c>
      <c r="S1566" s="11" t="n">
        <f aca="false">R1566/(1-Resumo!$C$6)</f>
        <v>69.7613636363636</v>
      </c>
      <c r="T1566" s="11" t="n">
        <f aca="false">S1566-J1566</f>
        <v>5.34136363636364</v>
      </c>
      <c r="U1566" s="12" t="n">
        <f aca="false">IFERROR(S1566/J1566-1,0)</f>
        <v>0.0829146792356976</v>
      </c>
      <c r="V1566" s="2" t="str">
        <f aca="false">IF(S1566&lt;J1566,"SIM","NÃO")</f>
        <v>NÃO</v>
      </c>
      <c r="W1566" s="2" t="n">
        <v>5</v>
      </c>
      <c r="X1566" s="2" t="s">
        <v>156</v>
      </c>
    </row>
    <row r="1567" customFormat="false" ht="15" hidden="false" customHeight="false" outlineLevel="0" collapsed="false">
      <c r="A1567" s="2" t="n">
        <v>388232763</v>
      </c>
      <c r="B1567" s="29" t="n">
        <v>46268.943599537</v>
      </c>
      <c r="C1567" s="2" t="s">
        <v>153</v>
      </c>
      <c r="D1567" s="2" t="s">
        <v>1649</v>
      </c>
      <c r="E1567" s="2" t="s">
        <v>82</v>
      </c>
      <c r="F1567" s="2" t="s">
        <v>107</v>
      </c>
      <c r="G1567" s="30" t="n">
        <v>37.6</v>
      </c>
      <c r="H1567" s="11" t="n">
        <v>391.9</v>
      </c>
      <c r="I1567" s="11" t="s">
        <v>155</v>
      </c>
      <c r="J1567" s="11" t="n">
        <v>112.83</v>
      </c>
      <c r="K1567" s="11" t="n">
        <v>114.95</v>
      </c>
      <c r="L1567" s="11" t="n">
        <v>0.3919</v>
      </c>
      <c r="M1567" s="11" t="n">
        <v>0.7838</v>
      </c>
      <c r="N1567" s="11" t="n">
        <v>1</v>
      </c>
      <c r="O1567" s="11" t="n">
        <v>4.5</v>
      </c>
      <c r="P1567" s="11" t="n">
        <v>2.28</v>
      </c>
      <c r="Q1567" s="11" t="n">
        <v>17.1</v>
      </c>
      <c r="R1567" s="11" t="n">
        <f aca="false">SUM(K1567:Q1567)</f>
        <v>141.0057</v>
      </c>
      <c r="S1567" s="11" t="n">
        <f aca="false">R1567/(1-Resumo!$C$6)</f>
        <v>160.23375</v>
      </c>
      <c r="T1567" s="11" t="n">
        <f aca="false">S1567-J1567</f>
        <v>47.40375</v>
      </c>
      <c r="U1567" s="12" t="n">
        <f aca="false">IFERROR(S1567/J1567-1,0)</f>
        <v>0.420134272799787</v>
      </c>
      <c r="V1567" s="2" t="str">
        <f aca="false">IF(S1567&lt;J1567,"SIM","NÃO")</f>
        <v>NÃO</v>
      </c>
      <c r="W1567" s="2" t="n">
        <v>7</v>
      </c>
      <c r="X1567" s="2" t="s">
        <v>156</v>
      </c>
    </row>
    <row r="1568" customFormat="false" ht="15" hidden="false" customHeight="false" outlineLevel="0" collapsed="false">
      <c r="A1568" s="2" t="n">
        <v>388245707</v>
      </c>
      <c r="B1568" s="29" t="n">
        <v>46268.9658449074</v>
      </c>
      <c r="C1568" s="2" t="s">
        <v>158</v>
      </c>
      <c r="D1568" s="2" t="s">
        <v>1650</v>
      </c>
      <c r="E1568" s="2" t="s">
        <v>78</v>
      </c>
      <c r="F1568" s="2" t="s">
        <v>110</v>
      </c>
      <c r="G1568" s="30" t="n">
        <v>69.15</v>
      </c>
      <c r="H1568" s="11" t="n">
        <v>697.84</v>
      </c>
      <c r="I1568" s="11" t="s">
        <v>155</v>
      </c>
      <c r="J1568" s="11" t="n">
        <v>124.56</v>
      </c>
      <c r="K1568" s="11" t="n">
        <v>131.02</v>
      </c>
      <c r="L1568" s="11" t="n">
        <v>0.6978</v>
      </c>
      <c r="M1568" s="11" t="n">
        <v>1.3957</v>
      </c>
      <c r="N1568" s="11" t="n">
        <v>1</v>
      </c>
      <c r="O1568" s="11" t="n">
        <v>4.5</v>
      </c>
      <c r="P1568" s="11" t="n">
        <v>4.2</v>
      </c>
      <c r="Q1568" s="11" t="n">
        <v>31.5</v>
      </c>
      <c r="R1568" s="11" t="n">
        <f aca="false">SUM(K1568:Q1568)</f>
        <v>174.3135</v>
      </c>
      <c r="S1568" s="11" t="n">
        <f aca="false">R1568/(1-Resumo!$C$6)</f>
        <v>198.083522727273</v>
      </c>
      <c r="T1568" s="11" t="n">
        <f aca="false">S1568-J1568</f>
        <v>73.5235227272727</v>
      </c>
      <c r="U1568" s="12" t="n">
        <f aca="false">IFERROR(S1568/J1568-1,0)</f>
        <v>0.59026591784901</v>
      </c>
      <c r="V1568" s="2" t="str">
        <f aca="false">IF(S1568&lt;J1568,"SIM","NÃO")</f>
        <v>NÃO</v>
      </c>
      <c r="W1568" s="2" t="n">
        <v>5</v>
      </c>
      <c r="X1568" s="2" t="s">
        <v>156</v>
      </c>
    </row>
    <row r="1569" customFormat="false" ht="15" hidden="false" customHeight="false" outlineLevel="0" collapsed="false">
      <c r="A1569" s="2" t="n">
        <v>388262241</v>
      </c>
      <c r="B1569" s="29" t="n">
        <v>46269.0034953704</v>
      </c>
      <c r="C1569" s="2" t="s">
        <v>153</v>
      </c>
      <c r="D1569" s="2" t="s">
        <v>681</v>
      </c>
      <c r="E1569" s="2" t="s">
        <v>682</v>
      </c>
      <c r="F1569" s="2" t="s">
        <v>105</v>
      </c>
      <c r="G1569" s="30" t="n">
        <v>19.5</v>
      </c>
      <c r="H1569" s="11" t="n">
        <v>379.99</v>
      </c>
      <c r="I1569" s="11" t="s">
        <v>155</v>
      </c>
      <c r="J1569" s="11" t="n">
        <v>80.48</v>
      </c>
      <c r="K1569" s="11" t="n">
        <v>77.35</v>
      </c>
      <c r="L1569" s="11" t="n">
        <v>0.38</v>
      </c>
      <c r="M1569" s="11" t="n">
        <v>0.76</v>
      </c>
      <c r="N1569" s="11" t="n">
        <v>1</v>
      </c>
      <c r="O1569" s="11" t="n">
        <v>4.5</v>
      </c>
      <c r="P1569" s="11" t="n">
        <v>1.2</v>
      </c>
      <c r="Q1569" s="11" t="n">
        <v>9</v>
      </c>
      <c r="R1569" s="11" t="n">
        <f aca="false">SUM(K1569:Q1569)</f>
        <v>94.19</v>
      </c>
      <c r="S1569" s="11" t="n">
        <f aca="false">R1569/(1-Resumo!$C$6)</f>
        <v>107.034090909091</v>
      </c>
      <c r="T1569" s="11" t="n">
        <f aca="false">S1569-J1569</f>
        <v>26.5540909090909</v>
      </c>
      <c r="U1569" s="12" t="n">
        <f aca="false">IFERROR(S1569/J1569-1,0)</f>
        <v>0.329946457617929</v>
      </c>
      <c r="V1569" s="2" t="str">
        <f aca="false">IF(S1569&lt;J1569,"SIM","NÃO")</f>
        <v>NÃO</v>
      </c>
      <c r="W1569" s="2" t="n">
        <v>10</v>
      </c>
      <c r="X1569" s="2" t="s">
        <v>161</v>
      </c>
    </row>
    <row r="1570" customFormat="false" ht="15" hidden="false" customHeight="false" outlineLevel="0" collapsed="false">
      <c r="A1570" s="2" t="n">
        <v>388345134</v>
      </c>
      <c r="B1570" s="29" t="n">
        <v>46269.2631481482</v>
      </c>
      <c r="C1570" s="2" t="s">
        <v>153</v>
      </c>
      <c r="D1570" s="2" t="s">
        <v>345</v>
      </c>
      <c r="E1570" s="2" t="s">
        <v>78</v>
      </c>
      <c r="F1570" s="2" t="s">
        <v>108</v>
      </c>
      <c r="G1570" s="30" t="n">
        <v>46.8</v>
      </c>
      <c r="H1570" s="11" t="n">
        <v>484.02</v>
      </c>
      <c r="I1570" s="11" t="s">
        <v>155</v>
      </c>
      <c r="J1570" s="11" t="n">
        <v>102.91</v>
      </c>
      <c r="K1570" s="11" t="n">
        <v>93.97</v>
      </c>
      <c r="L1570" s="11" t="n">
        <v>0.484</v>
      </c>
      <c r="M1570" s="11" t="n">
        <v>0.968</v>
      </c>
      <c r="N1570" s="11" t="n">
        <v>1</v>
      </c>
      <c r="O1570" s="11" t="n">
        <v>4.5</v>
      </c>
      <c r="P1570" s="11" t="n">
        <v>2.82</v>
      </c>
      <c r="Q1570" s="11" t="n">
        <v>21.15</v>
      </c>
      <c r="R1570" s="11" t="n">
        <f aca="false">SUM(K1570:Q1570)</f>
        <v>124.892</v>
      </c>
      <c r="S1570" s="11" t="n">
        <f aca="false">R1570/(1-Resumo!$C$6)</f>
        <v>141.922727272727</v>
      </c>
      <c r="T1570" s="11" t="n">
        <f aca="false">S1570-J1570</f>
        <v>39.0127272727273</v>
      </c>
      <c r="U1570" s="12" t="n">
        <f aca="false">IFERROR(S1570/J1570-1,0)</f>
        <v>0.379095591028348</v>
      </c>
      <c r="V1570" s="2" t="str">
        <f aca="false">IF(S1570&lt;J1570,"SIM","NÃO")</f>
        <v>NÃO</v>
      </c>
      <c r="W1570" s="2" t="n">
        <v>5</v>
      </c>
      <c r="X1570" s="2" t="s">
        <v>156</v>
      </c>
    </row>
    <row r="1571" customFormat="false" ht="15" hidden="false" customHeight="false" outlineLevel="0" collapsed="false">
      <c r="A1571" s="2" t="n">
        <v>388393548</v>
      </c>
      <c r="B1571" s="29" t="n">
        <v>46269.3849537037</v>
      </c>
      <c r="C1571" s="2" t="s">
        <v>153</v>
      </c>
      <c r="D1571" s="2" t="s">
        <v>1651</v>
      </c>
      <c r="E1571" s="2" t="s">
        <v>83</v>
      </c>
      <c r="F1571" s="2" t="s">
        <v>109</v>
      </c>
      <c r="G1571" s="30" t="n">
        <v>60</v>
      </c>
      <c r="H1571" s="11" t="n">
        <v>777.32</v>
      </c>
      <c r="I1571" s="11" t="s">
        <v>155</v>
      </c>
      <c r="J1571" s="11" t="n">
        <v>143.39</v>
      </c>
      <c r="K1571" s="11" t="n">
        <v>162.04</v>
      </c>
      <c r="L1571" s="11" t="n">
        <v>0.7773</v>
      </c>
      <c r="M1571" s="11" t="n">
        <v>1.5546</v>
      </c>
      <c r="N1571" s="11" t="n">
        <v>1</v>
      </c>
      <c r="O1571" s="11" t="n">
        <v>4.5</v>
      </c>
      <c r="P1571" s="11" t="n">
        <v>3.6</v>
      </c>
      <c r="Q1571" s="11" t="n">
        <v>27</v>
      </c>
      <c r="R1571" s="11" t="n">
        <f aca="false">SUM(K1571:Q1571)</f>
        <v>200.4719</v>
      </c>
      <c r="S1571" s="11" t="n">
        <f aca="false">R1571/(1-Resumo!$C$6)</f>
        <v>227.808977272727</v>
      </c>
      <c r="T1571" s="11" t="n">
        <f aca="false">S1571-J1571</f>
        <v>84.4189772727273</v>
      </c>
      <c r="U1571" s="12" t="n">
        <f aca="false">IFERROR(S1571/J1571-1,0)</f>
        <v>0.588736852449455</v>
      </c>
      <c r="V1571" s="2" t="str">
        <f aca="false">IF(S1571&lt;J1571,"SIM","NÃO")</f>
        <v>NÃO</v>
      </c>
      <c r="W1571" s="2" t="n">
        <v>11</v>
      </c>
      <c r="X1571" s="2" t="s">
        <v>156</v>
      </c>
    </row>
    <row r="1572" customFormat="false" ht="15" hidden="false" customHeight="false" outlineLevel="0" collapsed="false">
      <c r="A1572" s="2" t="n">
        <v>388432272</v>
      </c>
      <c r="B1572" s="29" t="n">
        <v>46269.4585648148</v>
      </c>
      <c r="C1572" s="2" t="s">
        <v>153</v>
      </c>
      <c r="D1572" s="2" t="s">
        <v>1652</v>
      </c>
      <c r="E1572" s="2" t="s">
        <v>89</v>
      </c>
      <c r="F1572" s="2" t="s">
        <v>109</v>
      </c>
      <c r="G1572" s="30" t="n">
        <v>60</v>
      </c>
      <c r="H1572" s="11" t="n">
        <v>777.32</v>
      </c>
      <c r="I1572" s="11" t="s">
        <v>155</v>
      </c>
      <c r="J1572" s="11" t="n">
        <v>143.39</v>
      </c>
      <c r="K1572" s="11" t="n">
        <v>142.32</v>
      </c>
      <c r="L1572" s="11" t="n">
        <v>0.7773</v>
      </c>
      <c r="M1572" s="11" t="n">
        <v>1.5546</v>
      </c>
      <c r="N1572" s="11" t="n">
        <v>1</v>
      </c>
      <c r="O1572" s="11" t="n">
        <v>4.5</v>
      </c>
      <c r="P1572" s="11" t="n">
        <v>3.6</v>
      </c>
      <c r="Q1572" s="11" t="n">
        <v>27</v>
      </c>
      <c r="R1572" s="11" t="n">
        <f aca="false">SUM(K1572:Q1572)</f>
        <v>180.7519</v>
      </c>
      <c r="S1572" s="11" t="n">
        <f aca="false">R1572/(1-Resumo!$C$6)</f>
        <v>205.399886363636</v>
      </c>
      <c r="T1572" s="11" t="n">
        <f aca="false">S1572-J1572</f>
        <v>62.0098863636364</v>
      </c>
      <c r="U1572" s="12" t="n">
        <f aca="false">IFERROR(S1572/J1572-1,0)</f>
        <v>0.432456143131574</v>
      </c>
      <c r="V1572" s="2" t="str">
        <f aca="false">IF(S1572&lt;J1572,"SIM","NÃO")</f>
        <v>NÃO</v>
      </c>
      <c r="W1572" s="2" t="n">
        <v>8</v>
      </c>
      <c r="X1572" s="2" t="s">
        <v>156</v>
      </c>
    </row>
    <row r="1573" customFormat="false" ht="15" hidden="false" customHeight="false" outlineLevel="0" collapsed="false">
      <c r="A1573" s="2" t="n">
        <v>388447378</v>
      </c>
      <c r="B1573" s="29" t="n">
        <v>46269.4869097222</v>
      </c>
      <c r="C1573" s="2" t="s">
        <v>198</v>
      </c>
      <c r="D1573" s="2" t="s">
        <v>1653</v>
      </c>
      <c r="E1573" s="2" t="s">
        <v>412</v>
      </c>
      <c r="F1573" s="2" t="s">
        <v>106</v>
      </c>
      <c r="G1573" s="30" t="n">
        <v>24.4</v>
      </c>
      <c r="H1573" s="11" t="n">
        <v>297.49</v>
      </c>
      <c r="I1573" s="11" t="s">
        <v>155</v>
      </c>
      <c r="J1573" s="11" t="n">
        <v>108.59</v>
      </c>
      <c r="K1573" s="11" t="n">
        <v>108.83</v>
      </c>
      <c r="L1573" s="11" t="n">
        <v>0.2975</v>
      </c>
      <c r="M1573" s="11" t="n">
        <v>0.595</v>
      </c>
      <c r="N1573" s="11" t="n">
        <v>1</v>
      </c>
      <c r="O1573" s="11" t="n">
        <v>4.5</v>
      </c>
      <c r="P1573" s="11" t="n">
        <v>1.5</v>
      </c>
      <c r="Q1573" s="11" t="n">
        <v>11.25</v>
      </c>
      <c r="R1573" s="11" t="n">
        <f aca="false">SUM(K1573:Q1573)</f>
        <v>127.9725</v>
      </c>
      <c r="S1573" s="11" t="n">
        <f aca="false">R1573/(1-Resumo!$C$6)</f>
        <v>145.423295454545</v>
      </c>
      <c r="T1573" s="11" t="n">
        <f aca="false">S1573-J1573</f>
        <v>36.8332954545454</v>
      </c>
      <c r="U1573" s="12" t="n">
        <f aca="false">IFERROR(S1573/J1573-1,0)</f>
        <v>0.33919601671006</v>
      </c>
      <c r="V1573" s="2" t="str">
        <f aca="false">IF(S1573&lt;J1573,"SIM","NÃO")</f>
        <v>NÃO</v>
      </c>
      <c r="W1573" s="2" t="n">
        <v>10</v>
      </c>
      <c r="X1573" s="2" t="s">
        <v>161</v>
      </c>
    </row>
    <row r="1574" customFormat="false" ht="15" hidden="false" customHeight="false" outlineLevel="0" collapsed="false">
      <c r="A1574" s="2" t="n">
        <v>388458831</v>
      </c>
      <c r="B1574" s="29" t="n">
        <v>46269.4895717593</v>
      </c>
      <c r="C1574" s="2" t="s">
        <v>369</v>
      </c>
      <c r="D1574" s="2" t="s">
        <v>1654</v>
      </c>
      <c r="E1574" s="2" t="s">
        <v>78</v>
      </c>
      <c r="F1574" s="2" t="s">
        <v>108</v>
      </c>
      <c r="G1574" s="30" t="n">
        <v>41</v>
      </c>
      <c r="H1574" s="11" t="n">
        <v>499.2</v>
      </c>
      <c r="I1574" s="11" t="s">
        <v>155</v>
      </c>
      <c r="J1574" s="11" t="n">
        <v>102.98</v>
      </c>
      <c r="K1574" s="11" t="n">
        <v>93.97</v>
      </c>
      <c r="L1574" s="11" t="n">
        <v>0.4992</v>
      </c>
      <c r="M1574" s="11" t="n">
        <v>0.9984</v>
      </c>
      <c r="N1574" s="11" t="n">
        <v>1</v>
      </c>
      <c r="O1574" s="11" t="n">
        <v>4.5</v>
      </c>
      <c r="P1574" s="11" t="n">
        <v>2.46</v>
      </c>
      <c r="Q1574" s="11" t="n">
        <v>18.45</v>
      </c>
      <c r="R1574" s="11" t="n">
        <f aca="false">SUM(K1574:Q1574)</f>
        <v>121.8776</v>
      </c>
      <c r="S1574" s="11" t="n">
        <f aca="false">R1574/(1-Resumo!$C$6)</f>
        <v>138.497272727273</v>
      </c>
      <c r="T1574" s="11" t="n">
        <f aca="false">S1574-J1574</f>
        <v>35.5172727272727</v>
      </c>
      <c r="U1574" s="12" t="n">
        <f aca="false">IFERROR(S1574/J1574-1,0)</f>
        <v>0.344894860431858</v>
      </c>
      <c r="V1574" s="2" t="str">
        <f aca="false">IF(S1574&lt;J1574,"SIM","NÃO")</f>
        <v>NÃO</v>
      </c>
      <c r="W1574" s="2" t="n">
        <v>5</v>
      </c>
      <c r="X1574" s="2" t="s">
        <v>156</v>
      </c>
    </row>
    <row r="1575" customFormat="false" ht="15" hidden="false" customHeight="false" outlineLevel="0" collapsed="false">
      <c r="A1575" s="2" t="n">
        <v>388454581</v>
      </c>
      <c r="B1575" s="29" t="n">
        <v>46269.5004513889</v>
      </c>
      <c r="C1575" s="2" t="s">
        <v>153</v>
      </c>
      <c r="D1575" s="2" t="s">
        <v>1655</v>
      </c>
      <c r="E1575" s="2" t="s">
        <v>95</v>
      </c>
      <c r="F1575" s="2" t="s">
        <v>110</v>
      </c>
      <c r="G1575" s="30" t="n">
        <v>63</v>
      </c>
      <c r="H1575" s="11" t="n">
        <v>702.57</v>
      </c>
      <c r="I1575" s="11" t="s">
        <v>155</v>
      </c>
      <c r="J1575" s="11" t="n">
        <v>155.4</v>
      </c>
      <c r="K1575" s="11" t="n">
        <v>136.53</v>
      </c>
      <c r="L1575" s="11" t="n">
        <v>0.7026</v>
      </c>
      <c r="M1575" s="11" t="n">
        <v>1.4051</v>
      </c>
      <c r="N1575" s="11" t="n">
        <v>1</v>
      </c>
      <c r="O1575" s="11" t="n">
        <v>4.5</v>
      </c>
      <c r="P1575" s="11" t="n">
        <v>3.78</v>
      </c>
      <c r="Q1575" s="11" t="n">
        <v>28.35</v>
      </c>
      <c r="R1575" s="11" t="n">
        <f aca="false">SUM(K1575:Q1575)</f>
        <v>176.2677</v>
      </c>
      <c r="S1575" s="11" t="n">
        <f aca="false">R1575/(1-Resumo!$C$6)</f>
        <v>200.304204545455</v>
      </c>
      <c r="T1575" s="11" t="n">
        <f aca="false">S1575-J1575</f>
        <v>44.9042045454545</v>
      </c>
      <c r="U1575" s="12" t="n">
        <f aca="false">IFERROR(S1575/J1575-1,0)</f>
        <v>0.288958845208845</v>
      </c>
      <c r="V1575" s="2" t="str">
        <f aca="false">IF(S1575&lt;J1575,"SIM","NÃO")</f>
        <v>NÃO</v>
      </c>
      <c r="W1575" s="2" t="n">
        <v>6</v>
      </c>
      <c r="X1575" s="2" t="s">
        <v>156</v>
      </c>
    </row>
    <row r="1576" customFormat="false" ht="15" hidden="false" customHeight="false" outlineLevel="0" collapsed="false">
      <c r="A1576" s="2" t="n">
        <v>388499242</v>
      </c>
      <c r="B1576" s="29" t="n">
        <v>46269.5840277778</v>
      </c>
      <c r="C1576" s="2" t="s">
        <v>153</v>
      </c>
      <c r="D1576" s="2" t="s">
        <v>1656</v>
      </c>
      <c r="E1576" s="2" t="s">
        <v>78</v>
      </c>
      <c r="F1576" s="2" t="s">
        <v>109</v>
      </c>
      <c r="G1576" s="30" t="n">
        <v>60</v>
      </c>
      <c r="H1576" s="11" t="n">
        <v>777.32</v>
      </c>
      <c r="I1576" s="11" t="s">
        <v>155</v>
      </c>
      <c r="J1576" s="11" t="n">
        <v>114.86</v>
      </c>
      <c r="K1576" s="11" t="n">
        <v>112.3</v>
      </c>
      <c r="L1576" s="11" t="n">
        <v>0.7773</v>
      </c>
      <c r="M1576" s="11" t="n">
        <v>1.5546</v>
      </c>
      <c r="N1576" s="11" t="n">
        <v>1</v>
      </c>
      <c r="O1576" s="11" t="n">
        <v>4.5</v>
      </c>
      <c r="P1576" s="11" t="n">
        <v>3.6</v>
      </c>
      <c r="Q1576" s="11" t="n">
        <v>27</v>
      </c>
      <c r="R1576" s="11" t="n">
        <f aca="false">SUM(K1576:Q1576)</f>
        <v>150.7319</v>
      </c>
      <c r="S1576" s="11" t="n">
        <f aca="false">R1576/(1-Resumo!$C$6)</f>
        <v>171.28625</v>
      </c>
      <c r="T1576" s="11" t="n">
        <f aca="false">S1576-J1576</f>
        <v>56.42625</v>
      </c>
      <c r="U1576" s="12" t="n">
        <f aca="false">IFERROR(S1576/J1576-1,0)</f>
        <v>0.491261100470138</v>
      </c>
      <c r="V1576" s="2" t="str">
        <f aca="false">IF(S1576&lt;J1576,"SIM","NÃO")</f>
        <v>NÃO</v>
      </c>
      <c r="W1576" s="2" t="n">
        <v>5</v>
      </c>
      <c r="X1576" s="2" t="s">
        <v>156</v>
      </c>
    </row>
    <row r="1577" customFormat="false" ht="15" hidden="false" customHeight="false" outlineLevel="0" collapsed="false">
      <c r="A1577" s="2" t="n">
        <v>388550119</v>
      </c>
      <c r="B1577" s="29" t="n">
        <v>46269.6619097222</v>
      </c>
      <c r="C1577" s="2" t="s">
        <v>153</v>
      </c>
      <c r="D1577" s="2" t="s">
        <v>1657</v>
      </c>
      <c r="E1577" s="2" t="s">
        <v>79</v>
      </c>
      <c r="F1577" s="2" t="s">
        <v>108</v>
      </c>
      <c r="G1577" s="30" t="n">
        <v>48.3</v>
      </c>
      <c r="H1577" s="11" t="n">
        <v>559.99</v>
      </c>
      <c r="I1577" s="11" t="s">
        <v>155</v>
      </c>
      <c r="J1577" s="11" t="n">
        <v>116.76</v>
      </c>
      <c r="K1577" s="11" t="n">
        <v>114.95</v>
      </c>
      <c r="L1577" s="11" t="n">
        <v>0.56</v>
      </c>
      <c r="M1577" s="11" t="n">
        <v>1.12</v>
      </c>
      <c r="N1577" s="11" t="n">
        <v>1</v>
      </c>
      <c r="O1577" s="11" t="n">
        <v>4.5</v>
      </c>
      <c r="P1577" s="11" t="n">
        <v>2.94</v>
      </c>
      <c r="Q1577" s="11" t="n">
        <v>22.05</v>
      </c>
      <c r="R1577" s="11" t="n">
        <f aca="false">SUM(K1577:Q1577)</f>
        <v>147.12</v>
      </c>
      <c r="S1577" s="11" t="n">
        <f aca="false">R1577/(1-Resumo!$C$6)</f>
        <v>167.181818181818</v>
      </c>
      <c r="T1577" s="11" t="n">
        <f aca="false">S1577-J1577</f>
        <v>50.4218181818182</v>
      </c>
      <c r="U1577" s="12" t="n">
        <f aca="false">IFERROR(S1577/J1577-1,0)</f>
        <v>0.431841539755209</v>
      </c>
      <c r="V1577" s="2" t="str">
        <f aca="false">IF(S1577&lt;J1577,"SIM","NÃO")</f>
        <v>NÃO</v>
      </c>
      <c r="W1577" s="2" t="n">
        <v>7</v>
      </c>
      <c r="X1577" s="2" t="s">
        <v>156</v>
      </c>
    </row>
    <row r="1578" customFormat="false" ht="15" hidden="false" customHeight="false" outlineLevel="0" collapsed="false">
      <c r="A1578" s="2" t="n">
        <v>388611537</v>
      </c>
      <c r="B1578" s="29" t="n">
        <v>46269.7653125</v>
      </c>
      <c r="C1578" s="2" t="s">
        <v>153</v>
      </c>
      <c r="D1578" s="2" t="s">
        <v>1658</v>
      </c>
      <c r="E1578" s="2" t="s">
        <v>78</v>
      </c>
      <c r="F1578" s="2" t="s">
        <v>106</v>
      </c>
      <c r="G1578" s="30" t="n">
        <v>22.4</v>
      </c>
      <c r="H1578" s="11" t="n">
        <v>489.69</v>
      </c>
      <c r="I1578" s="11" t="s">
        <v>155</v>
      </c>
      <c r="J1578" s="11" t="n">
        <v>82.67</v>
      </c>
      <c r="K1578" s="11" t="n">
        <v>82.21</v>
      </c>
      <c r="L1578" s="11" t="n">
        <v>0.4897</v>
      </c>
      <c r="M1578" s="11" t="n">
        <v>0.9794</v>
      </c>
      <c r="N1578" s="11" t="n">
        <v>1</v>
      </c>
      <c r="O1578" s="11" t="n">
        <v>4.5</v>
      </c>
      <c r="P1578" s="11" t="n">
        <v>1.38</v>
      </c>
      <c r="Q1578" s="11" t="n">
        <v>10.35</v>
      </c>
      <c r="R1578" s="11" t="n">
        <f aca="false">SUM(K1578:Q1578)</f>
        <v>100.9091</v>
      </c>
      <c r="S1578" s="11" t="n">
        <f aca="false">R1578/(1-Resumo!$C$6)</f>
        <v>114.669431818182</v>
      </c>
      <c r="T1578" s="11" t="n">
        <f aca="false">S1578-J1578</f>
        <v>31.9994318181818</v>
      </c>
      <c r="U1578" s="12" t="n">
        <f aca="false">IFERROR(S1578/J1578-1,0)</f>
        <v>0.38707429319199</v>
      </c>
      <c r="V1578" s="2" t="str">
        <f aca="false">IF(S1578&lt;J1578,"SIM","NÃO")</f>
        <v>NÃO</v>
      </c>
      <c r="W1578" s="2" t="n">
        <v>5</v>
      </c>
      <c r="X1578" s="2" t="s">
        <v>156</v>
      </c>
    </row>
    <row r="1579" customFormat="false" ht="15" hidden="false" customHeight="false" outlineLevel="0" collapsed="false">
      <c r="A1579" s="2" t="n">
        <v>388635712</v>
      </c>
      <c r="B1579" s="29" t="n">
        <v>46269.8088078704</v>
      </c>
      <c r="C1579" s="2" t="s">
        <v>191</v>
      </c>
      <c r="D1579" s="2" t="s">
        <v>1659</v>
      </c>
      <c r="E1579" s="2" t="s">
        <v>78</v>
      </c>
      <c r="F1579" s="2" t="s">
        <v>112</v>
      </c>
      <c r="G1579" s="30" t="n">
        <v>93.8</v>
      </c>
      <c r="H1579" s="11" t="n">
        <v>979.99</v>
      </c>
      <c r="I1579" s="11" t="s">
        <v>155</v>
      </c>
      <c r="J1579" s="11" t="n">
        <v>163.78</v>
      </c>
      <c r="K1579" s="11" t="n">
        <v>167.99</v>
      </c>
      <c r="L1579" s="11" t="n">
        <v>0.98</v>
      </c>
      <c r="M1579" s="11" t="n">
        <v>1.96</v>
      </c>
      <c r="N1579" s="11" t="n">
        <v>1</v>
      </c>
      <c r="O1579" s="11" t="n">
        <v>4.5</v>
      </c>
      <c r="P1579" s="11" t="n">
        <v>5.64</v>
      </c>
      <c r="Q1579" s="11" t="n">
        <v>42.3</v>
      </c>
      <c r="R1579" s="11" t="n">
        <f aca="false">SUM(K1579:Q1579)</f>
        <v>224.37</v>
      </c>
      <c r="S1579" s="11" t="n">
        <f aca="false">R1579/(1-Resumo!$C$6)</f>
        <v>254.965909090909</v>
      </c>
      <c r="T1579" s="11" t="n">
        <f aca="false">S1579-J1579</f>
        <v>91.1859090909091</v>
      </c>
      <c r="U1579" s="12" t="n">
        <f aca="false">IFERROR(S1579/J1579-1,0)</f>
        <v>0.556758511972824</v>
      </c>
      <c r="V1579" s="2" t="str">
        <f aca="false">IF(S1579&lt;J1579,"SIM","NÃO")</f>
        <v>NÃO</v>
      </c>
      <c r="W1579" s="2" t="n">
        <v>5</v>
      </c>
      <c r="X1579" s="2" t="s">
        <v>156</v>
      </c>
    </row>
    <row r="1580" customFormat="false" ht="15" hidden="false" customHeight="false" outlineLevel="0" collapsed="false">
      <c r="A1580" s="2" t="n">
        <v>388700433</v>
      </c>
      <c r="B1580" s="29" t="n">
        <v>46269.8916087963</v>
      </c>
      <c r="C1580" s="2" t="s">
        <v>158</v>
      </c>
      <c r="D1580" s="2" t="s">
        <v>1494</v>
      </c>
      <c r="E1580" s="2" t="s">
        <v>78</v>
      </c>
      <c r="F1580" s="2" t="s">
        <v>106</v>
      </c>
      <c r="G1580" s="30" t="n">
        <v>21.75</v>
      </c>
      <c r="H1580" s="11" t="n">
        <v>249</v>
      </c>
      <c r="I1580" s="11" t="s">
        <v>155</v>
      </c>
      <c r="J1580" s="11" t="n">
        <v>81.52</v>
      </c>
      <c r="K1580" s="11" t="n">
        <v>82.21</v>
      </c>
      <c r="L1580" s="11" t="n">
        <v>0.249</v>
      </c>
      <c r="M1580" s="11" t="n">
        <v>0.498</v>
      </c>
      <c r="N1580" s="11" t="n">
        <v>1</v>
      </c>
      <c r="O1580" s="11" t="n">
        <v>4.5</v>
      </c>
      <c r="P1580" s="11" t="n">
        <v>1.32</v>
      </c>
      <c r="Q1580" s="11" t="n">
        <v>9.9</v>
      </c>
      <c r="R1580" s="11" t="n">
        <f aca="false">SUM(K1580:Q1580)</f>
        <v>99.677</v>
      </c>
      <c r="S1580" s="11" t="n">
        <f aca="false">R1580/(1-Resumo!$C$6)</f>
        <v>113.269318181818</v>
      </c>
      <c r="T1580" s="11" t="n">
        <f aca="false">S1580-J1580</f>
        <v>31.7493181818182</v>
      </c>
      <c r="U1580" s="12" t="n">
        <f aca="false">IFERROR(S1580/J1580-1,0)</f>
        <v>0.389466611651352</v>
      </c>
      <c r="V1580" s="2" t="str">
        <f aca="false">IF(S1580&lt;J1580,"SIM","NÃO")</f>
        <v>NÃO</v>
      </c>
      <c r="W1580" s="2" t="n">
        <v>5</v>
      </c>
      <c r="X1580" s="2" t="s">
        <v>156</v>
      </c>
    </row>
    <row r="1581" customFormat="false" ht="15" hidden="false" customHeight="false" outlineLevel="0" collapsed="false">
      <c r="A1581" s="2" t="n">
        <v>388731370</v>
      </c>
      <c r="B1581" s="29" t="n">
        <v>46269.9372337963</v>
      </c>
      <c r="C1581" s="2" t="s">
        <v>153</v>
      </c>
      <c r="D1581" s="2" t="s">
        <v>1660</v>
      </c>
      <c r="E1581" s="2" t="s">
        <v>91</v>
      </c>
      <c r="F1581" s="2" t="s">
        <v>108</v>
      </c>
      <c r="G1581" s="30" t="n">
        <v>48.3</v>
      </c>
      <c r="H1581" s="11" t="n">
        <v>459.69</v>
      </c>
      <c r="I1581" s="11" t="s">
        <v>155</v>
      </c>
      <c r="J1581" s="11" t="n">
        <v>130.36</v>
      </c>
      <c r="K1581" s="11" t="n">
        <v>129.29</v>
      </c>
      <c r="L1581" s="11" t="n">
        <v>0.4597</v>
      </c>
      <c r="M1581" s="11" t="n">
        <v>0.9194</v>
      </c>
      <c r="N1581" s="11" t="n">
        <v>1</v>
      </c>
      <c r="O1581" s="11" t="n">
        <v>4.5</v>
      </c>
      <c r="P1581" s="11" t="n">
        <v>2.94</v>
      </c>
      <c r="Q1581" s="11" t="n">
        <v>22.05</v>
      </c>
      <c r="R1581" s="11" t="n">
        <f aca="false">SUM(K1581:Q1581)</f>
        <v>161.1591</v>
      </c>
      <c r="S1581" s="11" t="n">
        <f aca="false">R1581/(1-Resumo!$C$6)</f>
        <v>183.135340909091</v>
      </c>
      <c r="T1581" s="11" t="n">
        <f aca="false">S1581-J1581</f>
        <v>52.7753409090909</v>
      </c>
      <c r="U1581" s="12" t="n">
        <f aca="false">IFERROR(S1581/J1581-1,0)</f>
        <v>0.404843056989037</v>
      </c>
      <c r="V1581" s="2" t="str">
        <f aca="false">IF(S1581&lt;J1581,"SIM","NÃO")</f>
        <v>NÃO</v>
      </c>
      <c r="W1581" s="2" t="n">
        <v>10</v>
      </c>
      <c r="X1581" s="2" t="s">
        <v>156</v>
      </c>
    </row>
    <row r="1582" customFormat="false" ht="15" hidden="false" customHeight="false" outlineLevel="0" collapsed="false">
      <c r="A1582" s="2" t="n">
        <v>388806961</v>
      </c>
      <c r="B1582" s="29" t="n">
        <v>46269.9689699074</v>
      </c>
      <c r="C1582" s="2" t="s">
        <v>158</v>
      </c>
      <c r="D1582" s="2" t="s">
        <v>1661</v>
      </c>
      <c r="E1582" s="2" t="s">
        <v>78</v>
      </c>
      <c r="F1582" s="2" t="s">
        <v>107</v>
      </c>
      <c r="G1582" s="30" t="n">
        <v>36.8</v>
      </c>
      <c r="H1582" s="11" t="n">
        <v>431.64</v>
      </c>
      <c r="I1582" s="11" t="s">
        <v>155</v>
      </c>
      <c r="J1582" s="11" t="n">
        <v>91.92</v>
      </c>
      <c r="K1582" s="11" t="n">
        <v>93.97</v>
      </c>
      <c r="L1582" s="11" t="n">
        <v>0.4316</v>
      </c>
      <c r="M1582" s="11" t="n">
        <v>0.8633</v>
      </c>
      <c r="N1582" s="11" t="n">
        <v>1</v>
      </c>
      <c r="O1582" s="11" t="n">
        <v>4.5</v>
      </c>
      <c r="P1582" s="11" t="n">
        <v>2.22</v>
      </c>
      <c r="Q1582" s="11" t="n">
        <v>16.65</v>
      </c>
      <c r="R1582" s="11" t="n">
        <f aca="false">SUM(K1582:Q1582)</f>
        <v>119.6349</v>
      </c>
      <c r="S1582" s="11" t="n">
        <f aca="false">R1582/(1-Resumo!$C$6)</f>
        <v>135.94875</v>
      </c>
      <c r="T1582" s="11" t="n">
        <f aca="false">S1582-J1582</f>
        <v>44.02875</v>
      </c>
      <c r="U1582" s="12" t="n">
        <f aca="false">IFERROR(S1582/J1582-1,0)</f>
        <v>0.478989882506527</v>
      </c>
      <c r="V1582" s="2" t="str">
        <f aca="false">IF(S1582&lt;J1582,"SIM","NÃO")</f>
        <v>NÃO</v>
      </c>
      <c r="W1582" s="2" t="n">
        <v>5</v>
      </c>
      <c r="X1582" s="2" t="s">
        <v>156</v>
      </c>
    </row>
    <row r="1583" customFormat="false" ht="15" hidden="false" customHeight="false" outlineLevel="0" collapsed="false">
      <c r="A1583" s="2" t="n">
        <v>388774493</v>
      </c>
      <c r="B1583" s="29" t="n">
        <v>46270.0036574074</v>
      </c>
      <c r="C1583" s="2" t="s">
        <v>194</v>
      </c>
      <c r="D1583" s="2" t="s">
        <v>1662</v>
      </c>
      <c r="E1583" s="2" t="s">
        <v>78</v>
      </c>
      <c r="F1583" s="2" t="s">
        <v>110</v>
      </c>
      <c r="G1583" s="30" t="n">
        <v>65.1</v>
      </c>
      <c r="H1583" s="11" t="n">
        <v>718.95</v>
      </c>
      <c r="I1583" s="11" t="s">
        <v>155</v>
      </c>
      <c r="J1583" s="11" t="n">
        <v>124.66</v>
      </c>
      <c r="K1583" s="11" t="n">
        <v>131.02</v>
      </c>
      <c r="L1583" s="11" t="n">
        <v>0.719</v>
      </c>
      <c r="M1583" s="11" t="n">
        <v>1.4379</v>
      </c>
      <c r="N1583" s="11" t="n">
        <v>1</v>
      </c>
      <c r="O1583" s="11" t="n">
        <v>4.5</v>
      </c>
      <c r="P1583" s="11" t="n">
        <v>3.96</v>
      </c>
      <c r="Q1583" s="11" t="n">
        <v>29.7</v>
      </c>
      <c r="R1583" s="11" t="n">
        <f aca="false">SUM(K1583:Q1583)</f>
        <v>172.3369</v>
      </c>
      <c r="S1583" s="11" t="n">
        <f aca="false">R1583/(1-Resumo!$C$6)</f>
        <v>195.837386363636</v>
      </c>
      <c r="T1583" s="11" t="n">
        <f aca="false">S1583-J1583</f>
        <v>71.1773863636363</v>
      </c>
      <c r="U1583" s="12" t="n">
        <f aca="false">IFERROR(S1583/J1583-1,0)</f>
        <v>0.570972135116608</v>
      </c>
      <c r="V1583" s="2" t="str">
        <f aca="false">IF(S1583&lt;J1583,"SIM","NÃO")</f>
        <v>NÃO</v>
      </c>
      <c r="W1583" s="2" t="n">
        <v>5</v>
      </c>
      <c r="X1583" s="2" t="s">
        <v>156</v>
      </c>
    </row>
    <row r="1584" customFormat="false" ht="15" hidden="false" customHeight="false" outlineLevel="0" collapsed="false">
      <c r="A1584" s="2" t="n">
        <v>388894100</v>
      </c>
      <c r="B1584" s="29" t="n">
        <v>46270.3630439815</v>
      </c>
      <c r="C1584" s="2" t="s">
        <v>153</v>
      </c>
      <c r="D1584" s="2" t="s">
        <v>1663</v>
      </c>
      <c r="E1584" s="2" t="s">
        <v>91</v>
      </c>
      <c r="F1584" s="2" t="s">
        <v>109</v>
      </c>
      <c r="G1584" s="30" t="n">
        <v>59.9</v>
      </c>
      <c r="H1584" s="11" t="n">
        <v>944.56</v>
      </c>
      <c r="I1584" s="11" t="s">
        <v>155</v>
      </c>
      <c r="J1584" s="11" t="n">
        <v>144.2</v>
      </c>
      <c r="K1584" s="11" t="n">
        <v>142.32</v>
      </c>
      <c r="L1584" s="11" t="n">
        <v>0.9446</v>
      </c>
      <c r="M1584" s="11" t="n">
        <v>1.8891</v>
      </c>
      <c r="N1584" s="11" t="n">
        <v>1</v>
      </c>
      <c r="O1584" s="11" t="n">
        <v>4.5</v>
      </c>
      <c r="P1584" s="11" t="n">
        <v>3.6</v>
      </c>
      <c r="Q1584" s="11" t="n">
        <v>27</v>
      </c>
      <c r="R1584" s="11" t="n">
        <f aca="false">SUM(K1584:Q1584)</f>
        <v>181.2537</v>
      </c>
      <c r="S1584" s="11" t="n">
        <f aca="false">R1584/(1-Resumo!$C$6)</f>
        <v>205.970113636364</v>
      </c>
      <c r="T1584" s="11" t="n">
        <f aca="false">S1584-J1584</f>
        <v>61.7701136363636</v>
      </c>
      <c r="U1584" s="12" t="n">
        <f aca="false">IFERROR(S1584/J1584-1,0)</f>
        <v>0.428364172235531</v>
      </c>
      <c r="V1584" s="2" t="str">
        <f aca="false">IF(S1584&lt;J1584,"SIM","NÃO")</f>
        <v>NÃO</v>
      </c>
      <c r="W1584" s="2" t="n">
        <v>10</v>
      </c>
      <c r="X1584" s="2" t="s">
        <v>156</v>
      </c>
    </row>
    <row r="1585" customFormat="false" ht="15" hidden="false" customHeight="false" outlineLevel="0" collapsed="false">
      <c r="A1585" s="2" t="n">
        <v>388934354</v>
      </c>
      <c r="B1585" s="29" t="n">
        <v>46270.4415393519</v>
      </c>
      <c r="C1585" s="2" t="s">
        <v>153</v>
      </c>
      <c r="D1585" s="2" t="s">
        <v>315</v>
      </c>
      <c r="E1585" s="2" t="s">
        <v>316</v>
      </c>
      <c r="F1585" s="2" t="s">
        <v>106</v>
      </c>
      <c r="G1585" s="30" t="n">
        <v>22.4</v>
      </c>
      <c r="H1585" s="11" t="n">
        <v>489.69</v>
      </c>
      <c r="I1585" s="11" t="s">
        <v>155</v>
      </c>
      <c r="J1585" s="11" t="n">
        <v>109.52</v>
      </c>
      <c r="K1585" s="11" t="n">
        <v>120.78</v>
      </c>
      <c r="L1585" s="11" t="n">
        <v>0.4897</v>
      </c>
      <c r="M1585" s="11" t="n">
        <v>0.9794</v>
      </c>
      <c r="N1585" s="11" t="n">
        <v>1</v>
      </c>
      <c r="O1585" s="11" t="n">
        <v>4.5</v>
      </c>
      <c r="P1585" s="11" t="n">
        <v>1.38</v>
      </c>
      <c r="Q1585" s="11" t="n">
        <v>10.35</v>
      </c>
      <c r="R1585" s="11" t="n">
        <f aca="false">SUM(K1585:Q1585)</f>
        <v>139.4791</v>
      </c>
      <c r="S1585" s="11" t="n">
        <f aca="false">R1585/(1-Resumo!$C$6)</f>
        <v>158.498977272727</v>
      </c>
      <c r="T1585" s="11" t="n">
        <f aca="false">S1585-J1585</f>
        <v>48.9789772727273</v>
      </c>
      <c r="U1585" s="12" t="n">
        <f aca="false">IFERROR(S1585/J1585-1,0)</f>
        <v>0.447214913008832</v>
      </c>
      <c r="V1585" s="2" t="str">
        <f aca="false">IF(S1585&lt;J1585,"SIM","NÃO")</f>
        <v>NÃO</v>
      </c>
      <c r="W1585" s="2" t="n">
        <v>10</v>
      </c>
      <c r="X1585" s="2" t="s">
        <v>161</v>
      </c>
    </row>
    <row r="1586" customFormat="false" ht="15" hidden="false" customHeight="false" outlineLevel="0" collapsed="false">
      <c r="A1586" s="2" t="n">
        <v>388984081</v>
      </c>
      <c r="B1586" s="29" t="n">
        <v>46270.5257060185</v>
      </c>
      <c r="C1586" s="2" t="s">
        <v>153</v>
      </c>
      <c r="D1586" s="2" t="s">
        <v>1664</v>
      </c>
      <c r="E1586" s="2" t="s">
        <v>88</v>
      </c>
      <c r="F1586" s="2" t="s">
        <v>109</v>
      </c>
      <c r="G1586" s="30" t="n">
        <v>51</v>
      </c>
      <c r="H1586" s="11" t="n">
        <v>793.98</v>
      </c>
      <c r="I1586" s="11" t="s">
        <v>155</v>
      </c>
      <c r="J1586" s="11" t="n">
        <v>143.48</v>
      </c>
      <c r="K1586" s="11" t="n">
        <v>142.32</v>
      </c>
      <c r="L1586" s="11" t="n">
        <v>0.794</v>
      </c>
      <c r="M1586" s="11" t="n">
        <v>1.588</v>
      </c>
      <c r="N1586" s="11" t="n">
        <v>1</v>
      </c>
      <c r="O1586" s="11" t="n">
        <v>4.5</v>
      </c>
      <c r="P1586" s="11" t="n">
        <v>3.06</v>
      </c>
      <c r="Q1586" s="11" t="n">
        <v>22.95</v>
      </c>
      <c r="R1586" s="11" t="n">
        <f aca="false">SUM(K1586:Q1586)</f>
        <v>176.212</v>
      </c>
      <c r="S1586" s="11" t="n">
        <f aca="false">R1586/(1-Resumo!$C$6)</f>
        <v>200.240909090909</v>
      </c>
      <c r="T1586" s="11" t="n">
        <f aca="false">S1586-J1586</f>
        <v>56.7609090909091</v>
      </c>
      <c r="U1586" s="12" t="n">
        <f aca="false">IFERROR(S1586/J1586-1,0)</f>
        <v>0.395601540917961</v>
      </c>
      <c r="V1586" s="2" t="str">
        <f aca="false">IF(S1586&lt;J1586,"SIM","NÃO")</f>
        <v>NÃO</v>
      </c>
      <c r="W1586" s="2" t="n">
        <v>10</v>
      </c>
      <c r="X1586" s="2" t="s">
        <v>156</v>
      </c>
    </row>
    <row r="1587" customFormat="false" ht="15" hidden="false" customHeight="false" outlineLevel="0" collapsed="false">
      <c r="A1587" s="2" t="n">
        <v>389017097</v>
      </c>
      <c r="B1587" s="29" t="n">
        <v>46270.6068518519</v>
      </c>
      <c r="C1587" s="2" t="s">
        <v>178</v>
      </c>
      <c r="D1587" s="2" t="s">
        <v>1665</v>
      </c>
      <c r="E1587" s="2" t="s">
        <v>78</v>
      </c>
      <c r="F1587" s="2" t="s">
        <v>110</v>
      </c>
      <c r="G1587" s="30" t="n">
        <v>69</v>
      </c>
      <c r="H1587" s="11" t="n">
        <v>959.99</v>
      </c>
      <c r="I1587" s="11" t="s">
        <v>155</v>
      </c>
      <c r="J1587" s="11" t="n">
        <v>125.81</v>
      </c>
      <c r="K1587" s="11" t="n">
        <v>131.02</v>
      </c>
      <c r="L1587" s="11" t="n">
        <v>0.96</v>
      </c>
      <c r="M1587" s="11" t="n">
        <v>1.92</v>
      </c>
      <c r="N1587" s="11" t="n">
        <v>1</v>
      </c>
      <c r="O1587" s="11" t="n">
        <v>4.5</v>
      </c>
      <c r="P1587" s="11" t="n">
        <v>4.14</v>
      </c>
      <c r="Q1587" s="11" t="n">
        <v>31.05</v>
      </c>
      <c r="R1587" s="11" t="n">
        <f aca="false">SUM(K1587:Q1587)</f>
        <v>174.59</v>
      </c>
      <c r="S1587" s="11" t="n">
        <f aca="false">R1587/(1-Resumo!$C$6)</f>
        <v>198.397727272727</v>
      </c>
      <c r="T1587" s="11" t="n">
        <f aca="false">S1587-J1587</f>
        <v>72.5877272727273</v>
      </c>
      <c r="U1587" s="12" t="n">
        <f aca="false">IFERROR(S1587/J1587-1,0)</f>
        <v>0.576963097311242</v>
      </c>
      <c r="V1587" s="2" t="str">
        <f aca="false">IF(S1587&lt;J1587,"SIM","NÃO")</f>
        <v>NÃO</v>
      </c>
      <c r="W1587" s="2" t="n">
        <v>5</v>
      </c>
      <c r="X1587" s="2" t="s">
        <v>156</v>
      </c>
    </row>
    <row r="1588" customFormat="false" ht="15" hidden="false" customHeight="false" outlineLevel="0" collapsed="false">
      <c r="A1588" s="2" t="n">
        <v>389042818</v>
      </c>
      <c r="B1588" s="29" t="n">
        <v>46270.6228819444</v>
      </c>
      <c r="C1588" s="2" t="s">
        <v>153</v>
      </c>
      <c r="D1588" s="2" t="s">
        <v>1666</v>
      </c>
      <c r="E1588" s="2" t="s">
        <v>78</v>
      </c>
      <c r="F1588" s="2" t="s">
        <v>106</v>
      </c>
      <c r="G1588" s="30" t="n">
        <v>27</v>
      </c>
      <c r="H1588" s="11" t="n">
        <v>339.99</v>
      </c>
      <c r="I1588" s="11" t="s">
        <v>155</v>
      </c>
      <c r="J1588" s="11" t="n">
        <v>81.95</v>
      </c>
      <c r="K1588" s="11" t="n">
        <v>82.21</v>
      </c>
      <c r="L1588" s="11" t="n">
        <v>0.34</v>
      </c>
      <c r="M1588" s="11" t="n">
        <v>0.68</v>
      </c>
      <c r="N1588" s="11" t="n">
        <v>1</v>
      </c>
      <c r="O1588" s="11" t="n">
        <v>4.5</v>
      </c>
      <c r="P1588" s="11" t="n">
        <v>1.62</v>
      </c>
      <c r="Q1588" s="11" t="n">
        <v>12.15</v>
      </c>
      <c r="R1588" s="11" t="n">
        <f aca="false">SUM(K1588:Q1588)</f>
        <v>102.5</v>
      </c>
      <c r="S1588" s="11" t="n">
        <f aca="false">R1588/(1-Resumo!$C$6)</f>
        <v>116.477272727273</v>
      </c>
      <c r="T1588" s="11" t="n">
        <f aca="false">S1588-J1588</f>
        <v>34.5272727272727</v>
      </c>
      <c r="U1588" s="12" t="n">
        <f aca="false">IFERROR(S1588/J1588-1,0)</f>
        <v>0.42132120472572</v>
      </c>
      <c r="V1588" s="2" t="str">
        <f aca="false">IF(S1588&lt;J1588,"SIM","NÃO")</f>
        <v>NÃO</v>
      </c>
      <c r="W1588" s="2" t="n">
        <v>5</v>
      </c>
      <c r="X1588" s="2" t="s">
        <v>156</v>
      </c>
    </row>
    <row r="1589" customFormat="false" ht="15" hidden="false" customHeight="false" outlineLevel="0" collapsed="false">
      <c r="A1589" s="2" t="n">
        <v>389079113</v>
      </c>
      <c r="B1589" s="29" t="n">
        <v>46270.6863310185</v>
      </c>
      <c r="C1589" s="2" t="s">
        <v>158</v>
      </c>
      <c r="D1589" s="2" t="s">
        <v>1667</v>
      </c>
      <c r="E1589" s="2" t="s">
        <v>280</v>
      </c>
      <c r="F1589" s="2" t="s">
        <v>114</v>
      </c>
      <c r="G1589" s="30" t="n">
        <v>124.2</v>
      </c>
      <c r="H1589" s="11" t="n">
        <v>1699.99</v>
      </c>
      <c r="I1589" s="11" t="s">
        <v>155</v>
      </c>
      <c r="J1589" s="11" t="n">
        <v>261.43</v>
      </c>
      <c r="K1589" s="11" t="n">
        <v>264.84</v>
      </c>
      <c r="L1589" s="11" t="n">
        <v>1.7</v>
      </c>
      <c r="M1589" s="11" t="n">
        <v>3.4</v>
      </c>
      <c r="N1589" s="11" t="n">
        <v>1</v>
      </c>
      <c r="O1589" s="11" t="n">
        <v>9</v>
      </c>
      <c r="P1589" s="11" t="n">
        <v>7.5</v>
      </c>
      <c r="Q1589" s="11" t="n">
        <v>56.25</v>
      </c>
      <c r="R1589" s="11" t="n">
        <f aca="false">SUM(K1589:Q1589)</f>
        <v>343.69</v>
      </c>
      <c r="S1589" s="11" t="n">
        <f aca="false">R1589/(1-Resumo!$C$6)</f>
        <v>390.556818181818</v>
      </c>
      <c r="T1589" s="11" t="n">
        <f aca="false">S1589-J1589</f>
        <v>129.126818181818</v>
      </c>
      <c r="U1589" s="12" t="n">
        <f aca="false">IFERROR(S1589/J1589-1,0)</f>
        <v>0.493925020777333</v>
      </c>
      <c r="V1589" s="2" t="str">
        <f aca="false">IF(S1589&lt;J1589,"SIM","NÃO")</f>
        <v>NÃO</v>
      </c>
      <c r="W1589" s="2" t="n">
        <v>10</v>
      </c>
      <c r="X1589" s="2" t="s">
        <v>161</v>
      </c>
    </row>
    <row r="1590" customFormat="false" ht="15" hidden="false" customHeight="false" outlineLevel="0" collapsed="false">
      <c r="A1590" s="2" t="n">
        <v>389080429</v>
      </c>
      <c r="B1590" s="29" t="n">
        <v>46270.6887962963</v>
      </c>
      <c r="C1590" s="2" t="s">
        <v>153</v>
      </c>
      <c r="D1590" s="2" t="s">
        <v>404</v>
      </c>
      <c r="E1590" s="2" t="s">
        <v>78</v>
      </c>
      <c r="F1590" s="2" t="s">
        <v>107</v>
      </c>
      <c r="G1590" s="30" t="n">
        <v>37.6</v>
      </c>
      <c r="H1590" s="11" t="n">
        <v>449.99</v>
      </c>
      <c r="I1590" s="11" t="s">
        <v>155</v>
      </c>
      <c r="J1590" s="11" t="n">
        <v>92.01</v>
      </c>
      <c r="K1590" s="11" t="n">
        <v>93.97</v>
      </c>
      <c r="L1590" s="11" t="n">
        <v>0.45</v>
      </c>
      <c r="M1590" s="11" t="n">
        <v>0.9</v>
      </c>
      <c r="N1590" s="11" t="n">
        <v>1</v>
      </c>
      <c r="O1590" s="11" t="n">
        <v>4.5</v>
      </c>
      <c r="P1590" s="11" t="n">
        <v>2.28</v>
      </c>
      <c r="Q1590" s="11" t="n">
        <v>17.1</v>
      </c>
      <c r="R1590" s="11" t="n">
        <f aca="false">SUM(K1590:Q1590)</f>
        <v>120.2</v>
      </c>
      <c r="S1590" s="11" t="n">
        <f aca="false">R1590/(1-Resumo!$C$6)</f>
        <v>136.590909090909</v>
      </c>
      <c r="T1590" s="11" t="n">
        <f aca="false">S1590-J1590</f>
        <v>44.5809090909091</v>
      </c>
      <c r="U1590" s="12" t="n">
        <f aca="false">IFERROR(S1590/J1590-1,0)</f>
        <v>0.484522433332345</v>
      </c>
      <c r="V1590" s="2" t="str">
        <f aca="false">IF(S1590&lt;J1590,"SIM","NÃO")</f>
        <v>NÃO</v>
      </c>
      <c r="W1590" s="2" t="n">
        <v>5</v>
      </c>
      <c r="X1590" s="2" t="s">
        <v>156</v>
      </c>
    </row>
    <row r="1591" customFormat="false" ht="15" hidden="false" customHeight="false" outlineLevel="0" collapsed="false">
      <c r="A1591" s="2" t="n">
        <v>389082305</v>
      </c>
      <c r="B1591" s="29" t="n">
        <v>46270.6918981482</v>
      </c>
      <c r="C1591" s="2" t="s">
        <v>153</v>
      </c>
      <c r="D1591" s="2" t="s">
        <v>1668</v>
      </c>
      <c r="E1591" s="2" t="s">
        <v>78</v>
      </c>
      <c r="F1591" s="2" t="s">
        <v>107</v>
      </c>
      <c r="G1591" s="30" t="n">
        <v>38.6</v>
      </c>
      <c r="H1591" s="11" t="n">
        <v>579.99</v>
      </c>
      <c r="I1591" s="11" t="s">
        <v>155</v>
      </c>
      <c r="J1591" s="11" t="n">
        <v>92.64</v>
      </c>
      <c r="K1591" s="11" t="n">
        <v>93.97</v>
      </c>
      <c r="L1591" s="11" t="n">
        <v>0.58</v>
      </c>
      <c r="M1591" s="11" t="n">
        <v>1.16</v>
      </c>
      <c r="N1591" s="11" t="n">
        <v>1</v>
      </c>
      <c r="O1591" s="11" t="n">
        <v>4.5</v>
      </c>
      <c r="P1591" s="11" t="n">
        <v>2.34</v>
      </c>
      <c r="Q1591" s="11" t="n">
        <v>17.55</v>
      </c>
      <c r="R1591" s="11" t="n">
        <f aca="false">SUM(K1591:Q1591)</f>
        <v>121.1</v>
      </c>
      <c r="S1591" s="11" t="n">
        <f aca="false">R1591/(1-Resumo!$C$6)</f>
        <v>137.613636363636</v>
      </c>
      <c r="T1591" s="11" t="n">
        <f aca="false">S1591-J1591</f>
        <v>44.9736363636363</v>
      </c>
      <c r="U1591" s="12" t="n">
        <f aca="false">IFERROR(S1591/J1591-1,0)</f>
        <v>0.485466713769822</v>
      </c>
      <c r="V1591" s="2" t="str">
        <f aca="false">IF(S1591&lt;J1591,"SIM","NÃO")</f>
        <v>NÃO</v>
      </c>
      <c r="W1591" s="2" t="n">
        <v>5</v>
      </c>
      <c r="X1591" s="2" t="s">
        <v>156</v>
      </c>
    </row>
    <row r="1592" customFormat="false" ht="15" hidden="false" customHeight="false" outlineLevel="0" collapsed="false">
      <c r="A1592" s="2" t="n">
        <v>389094920</v>
      </c>
      <c r="B1592" s="29" t="n">
        <v>46270.6933912037</v>
      </c>
      <c r="C1592" s="2" t="s">
        <v>369</v>
      </c>
      <c r="D1592" s="2" t="s">
        <v>1669</v>
      </c>
      <c r="E1592" s="2" t="s">
        <v>78</v>
      </c>
      <c r="F1592" s="2" t="s">
        <v>108</v>
      </c>
      <c r="G1592" s="30" t="n">
        <v>49.6</v>
      </c>
      <c r="H1592" s="11" t="n">
        <v>555.29</v>
      </c>
      <c r="I1592" s="11" t="s">
        <v>155</v>
      </c>
      <c r="J1592" s="11" t="n">
        <v>103.25</v>
      </c>
      <c r="K1592" s="11" t="n">
        <v>93.97</v>
      </c>
      <c r="L1592" s="11" t="n">
        <v>0.5553</v>
      </c>
      <c r="M1592" s="11" t="n">
        <v>1.1106</v>
      </c>
      <c r="N1592" s="11" t="n">
        <v>1</v>
      </c>
      <c r="O1592" s="11" t="n">
        <v>4.5</v>
      </c>
      <c r="P1592" s="11" t="n">
        <v>3</v>
      </c>
      <c r="Q1592" s="11" t="n">
        <v>22.5</v>
      </c>
      <c r="R1592" s="11" t="n">
        <f aca="false">SUM(K1592:Q1592)</f>
        <v>126.6359</v>
      </c>
      <c r="S1592" s="11" t="n">
        <f aca="false">R1592/(1-Resumo!$C$6)</f>
        <v>143.904431818182</v>
      </c>
      <c r="T1592" s="11" t="n">
        <f aca="false">S1592-J1592</f>
        <v>40.6544318181818</v>
      </c>
      <c r="U1592" s="12" t="n">
        <f aca="false">IFERROR(S1592/J1592-1,0)</f>
        <v>0.393747523662778</v>
      </c>
      <c r="V1592" s="2" t="str">
        <f aca="false">IF(S1592&lt;J1592,"SIM","NÃO")</f>
        <v>NÃO</v>
      </c>
      <c r="W1592" s="2" t="n">
        <v>5</v>
      </c>
      <c r="X1592" s="2" t="s">
        <v>156</v>
      </c>
    </row>
    <row r="1593" customFormat="false" ht="15" hidden="false" customHeight="false" outlineLevel="0" collapsed="false">
      <c r="A1593" s="2" t="n">
        <v>389098955</v>
      </c>
      <c r="B1593" s="29" t="n">
        <v>46270.7212847222</v>
      </c>
      <c r="C1593" s="2" t="s">
        <v>153</v>
      </c>
      <c r="D1593" s="2" t="s">
        <v>1670</v>
      </c>
      <c r="E1593" s="2" t="s">
        <v>91</v>
      </c>
      <c r="F1593" s="2" t="s">
        <v>107</v>
      </c>
      <c r="G1593" s="30" t="n">
        <v>40</v>
      </c>
      <c r="H1593" s="11" t="n">
        <v>579.99</v>
      </c>
      <c r="I1593" s="11" t="s">
        <v>155</v>
      </c>
      <c r="J1593" s="11" t="n">
        <v>123.02</v>
      </c>
      <c r="K1593" s="11" t="n">
        <v>124.38</v>
      </c>
      <c r="L1593" s="11" t="n">
        <v>0.58</v>
      </c>
      <c r="M1593" s="11" t="n">
        <v>1.16</v>
      </c>
      <c r="N1593" s="11" t="n">
        <v>1</v>
      </c>
      <c r="O1593" s="11" t="n">
        <v>4.5</v>
      </c>
      <c r="P1593" s="11" t="n">
        <v>2.4</v>
      </c>
      <c r="Q1593" s="11" t="n">
        <v>18</v>
      </c>
      <c r="R1593" s="11" t="n">
        <f aca="false">SUM(K1593:Q1593)</f>
        <v>152.02</v>
      </c>
      <c r="S1593" s="11" t="n">
        <f aca="false">R1593/(1-Resumo!$C$6)</f>
        <v>172.75</v>
      </c>
      <c r="T1593" s="11" t="n">
        <f aca="false">S1593-J1593</f>
        <v>49.73</v>
      </c>
      <c r="U1593" s="12" t="n">
        <f aca="false">IFERROR(S1593/J1593-1,0)</f>
        <v>0.404243212485774</v>
      </c>
      <c r="V1593" s="2" t="str">
        <f aca="false">IF(S1593&lt;J1593,"SIM","NÃO")</f>
        <v>NÃO</v>
      </c>
      <c r="W1593" s="2" t="n">
        <v>10</v>
      </c>
      <c r="X1593" s="2" t="s">
        <v>156</v>
      </c>
    </row>
    <row r="1594" customFormat="false" ht="15" hidden="false" customHeight="false" outlineLevel="0" collapsed="false">
      <c r="A1594" s="2" t="n">
        <v>389103216</v>
      </c>
      <c r="B1594" s="29" t="n">
        <v>46270.7288657407</v>
      </c>
      <c r="C1594" s="2" t="s">
        <v>153</v>
      </c>
      <c r="D1594" s="2" t="s">
        <v>1671</v>
      </c>
      <c r="E1594" s="2" t="s">
        <v>78</v>
      </c>
      <c r="F1594" s="2" t="s">
        <v>110</v>
      </c>
      <c r="G1594" s="30" t="n">
        <v>66.8</v>
      </c>
      <c r="H1594" s="11" t="n">
        <v>666.29</v>
      </c>
      <c r="I1594" s="11" t="s">
        <v>155</v>
      </c>
      <c r="J1594" s="11" t="n">
        <v>124.4</v>
      </c>
      <c r="K1594" s="11" t="n">
        <v>131.02</v>
      </c>
      <c r="L1594" s="11" t="n">
        <v>0.6663</v>
      </c>
      <c r="M1594" s="11" t="n">
        <v>1.3326</v>
      </c>
      <c r="N1594" s="11" t="n">
        <v>1</v>
      </c>
      <c r="O1594" s="11" t="n">
        <v>4.5</v>
      </c>
      <c r="P1594" s="11" t="n">
        <v>4.02</v>
      </c>
      <c r="Q1594" s="11" t="n">
        <v>30.15</v>
      </c>
      <c r="R1594" s="11" t="n">
        <f aca="false">SUM(K1594:Q1594)</f>
        <v>172.6889</v>
      </c>
      <c r="S1594" s="11" t="n">
        <f aca="false">R1594/(1-Resumo!$C$6)</f>
        <v>196.237386363636</v>
      </c>
      <c r="T1594" s="11" t="n">
        <f aca="false">S1594-J1594</f>
        <v>71.8373863636364</v>
      </c>
      <c r="U1594" s="12" t="n">
        <f aca="false">IFERROR(S1594/J1594-1,0)</f>
        <v>0.577470951476177</v>
      </c>
      <c r="V1594" s="2" t="str">
        <f aca="false">IF(S1594&lt;J1594,"SIM","NÃO")</f>
        <v>NÃO</v>
      </c>
      <c r="W1594" s="2" t="n">
        <v>5</v>
      </c>
      <c r="X1594" s="2" t="s">
        <v>156</v>
      </c>
    </row>
    <row r="1595" customFormat="false" ht="15" hidden="false" customHeight="false" outlineLevel="0" collapsed="false">
      <c r="A1595" s="2" t="n">
        <v>389116100</v>
      </c>
      <c r="B1595" s="29" t="n">
        <v>46270.7510648148</v>
      </c>
      <c r="C1595" s="2" t="s">
        <v>153</v>
      </c>
      <c r="D1595" s="2" t="s">
        <v>1672</v>
      </c>
      <c r="E1595" s="2" t="s">
        <v>79</v>
      </c>
      <c r="F1595" s="2" t="s">
        <v>106</v>
      </c>
      <c r="G1595" s="30" t="n">
        <v>27.4</v>
      </c>
      <c r="H1595" s="11" t="n">
        <v>369.99</v>
      </c>
      <c r="I1595" s="11" t="s">
        <v>155</v>
      </c>
      <c r="J1595" s="11" t="n">
        <v>101.16</v>
      </c>
      <c r="K1595" s="11" t="n">
        <v>100.58</v>
      </c>
      <c r="L1595" s="11" t="n">
        <v>0.37</v>
      </c>
      <c r="M1595" s="11" t="n">
        <v>0.74</v>
      </c>
      <c r="N1595" s="11" t="n">
        <v>1</v>
      </c>
      <c r="O1595" s="11" t="n">
        <v>4.5</v>
      </c>
      <c r="P1595" s="11" t="n">
        <v>1.68</v>
      </c>
      <c r="Q1595" s="11" t="n">
        <v>12.6</v>
      </c>
      <c r="R1595" s="11" t="n">
        <f aca="false">SUM(K1595:Q1595)</f>
        <v>121.47</v>
      </c>
      <c r="S1595" s="11" t="n">
        <f aca="false">R1595/(1-Resumo!$C$6)</f>
        <v>138.034090909091</v>
      </c>
      <c r="T1595" s="11" t="n">
        <f aca="false">S1595-J1595</f>
        <v>36.8740909090909</v>
      </c>
      <c r="U1595" s="12" t="n">
        <f aca="false">IFERROR(S1595/J1595-1,0)</f>
        <v>0.36451256335598</v>
      </c>
      <c r="V1595" s="2" t="str">
        <f aca="false">IF(S1595&lt;J1595,"SIM","NÃO")</f>
        <v>NÃO</v>
      </c>
      <c r="W1595" s="2" t="n">
        <v>7</v>
      </c>
      <c r="X1595" s="2" t="s">
        <v>156</v>
      </c>
    </row>
    <row r="1596" customFormat="false" ht="15" hidden="false" customHeight="false" outlineLevel="0" collapsed="false">
      <c r="A1596" s="2" t="n">
        <v>389119630</v>
      </c>
      <c r="B1596" s="29" t="n">
        <v>46270.7566666667</v>
      </c>
      <c r="C1596" s="2" t="s">
        <v>153</v>
      </c>
      <c r="D1596" s="2" t="s">
        <v>569</v>
      </c>
      <c r="E1596" s="2" t="s">
        <v>78</v>
      </c>
      <c r="F1596" s="2" t="s">
        <v>106</v>
      </c>
      <c r="G1596" s="30" t="n">
        <v>34.1</v>
      </c>
      <c r="H1596" s="11" t="n">
        <v>399.99</v>
      </c>
      <c r="I1596" s="11" t="s">
        <v>155</v>
      </c>
      <c r="J1596" s="11" t="n">
        <v>82.24</v>
      </c>
      <c r="K1596" s="11" t="n">
        <v>82.21</v>
      </c>
      <c r="L1596" s="11" t="n">
        <v>0.4</v>
      </c>
      <c r="M1596" s="11" t="n">
        <v>0.8</v>
      </c>
      <c r="N1596" s="11" t="n">
        <v>1</v>
      </c>
      <c r="O1596" s="11" t="n">
        <v>4.5</v>
      </c>
      <c r="P1596" s="11" t="n">
        <v>2.1</v>
      </c>
      <c r="Q1596" s="11" t="n">
        <v>15.75</v>
      </c>
      <c r="R1596" s="11" t="n">
        <f aca="false">SUM(K1596:Q1596)</f>
        <v>106.76</v>
      </c>
      <c r="S1596" s="11" t="n">
        <f aca="false">R1596/(1-Resumo!$C$6)</f>
        <v>121.318181818182</v>
      </c>
      <c r="T1596" s="11" t="n">
        <f aca="false">S1596-J1596</f>
        <v>39.0781818181818</v>
      </c>
      <c r="U1596" s="12" t="n">
        <f aca="false">IFERROR(S1596/J1596-1,0)</f>
        <v>0.47517244428723</v>
      </c>
      <c r="V1596" s="2" t="str">
        <f aca="false">IF(S1596&lt;J1596,"SIM","NÃO")</f>
        <v>NÃO</v>
      </c>
      <c r="W1596" s="2" t="n">
        <v>5</v>
      </c>
      <c r="X1596" s="2" t="s">
        <v>156</v>
      </c>
    </row>
    <row r="1597" customFormat="false" ht="15" hidden="false" customHeight="false" outlineLevel="0" collapsed="false">
      <c r="A1597" s="2" t="n">
        <v>389188455</v>
      </c>
      <c r="B1597" s="29" t="n">
        <v>46270.8719907407</v>
      </c>
      <c r="C1597" s="2" t="s">
        <v>153</v>
      </c>
      <c r="D1597" s="2" t="s">
        <v>1673</v>
      </c>
      <c r="E1597" s="2" t="s">
        <v>88</v>
      </c>
      <c r="F1597" s="2" t="s">
        <v>108</v>
      </c>
      <c r="G1597" s="30" t="n">
        <v>48.3</v>
      </c>
      <c r="H1597" s="11" t="n">
        <v>499.99</v>
      </c>
      <c r="I1597" s="11" t="s">
        <v>155</v>
      </c>
      <c r="J1597" s="11" t="n">
        <v>130.56</v>
      </c>
      <c r="K1597" s="11" t="n">
        <v>124.38</v>
      </c>
      <c r="L1597" s="11" t="n">
        <v>0.5</v>
      </c>
      <c r="M1597" s="11" t="n">
        <v>1</v>
      </c>
      <c r="N1597" s="11" t="n">
        <v>1</v>
      </c>
      <c r="O1597" s="11" t="n">
        <v>4.5</v>
      </c>
      <c r="P1597" s="11" t="n">
        <v>2.94</v>
      </c>
      <c r="Q1597" s="11" t="n">
        <v>22.05</v>
      </c>
      <c r="R1597" s="11" t="n">
        <f aca="false">SUM(K1597:Q1597)</f>
        <v>156.37</v>
      </c>
      <c r="S1597" s="11" t="n">
        <f aca="false">R1597/(1-Resumo!$C$6)</f>
        <v>177.693181818182</v>
      </c>
      <c r="T1597" s="11" t="n">
        <f aca="false">S1597-J1597</f>
        <v>47.1331818181818</v>
      </c>
      <c r="U1597" s="12" t="n">
        <f aca="false">IFERROR(S1597/J1597-1,0)</f>
        <v>0.361007826426025</v>
      </c>
      <c r="V1597" s="2" t="str">
        <f aca="false">IF(S1597&lt;J1597,"SIM","NÃO")</f>
        <v>NÃO</v>
      </c>
      <c r="W1597" s="2" t="n">
        <v>10</v>
      </c>
      <c r="X1597" s="2" t="s">
        <v>156</v>
      </c>
    </row>
    <row r="1598" customFormat="false" ht="15" hidden="false" customHeight="false" outlineLevel="0" collapsed="false">
      <c r="A1598" s="2" t="n">
        <v>389249663</v>
      </c>
      <c r="B1598" s="29" t="n">
        <v>46270.9671180556</v>
      </c>
      <c r="C1598" s="2" t="s">
        <v>191</v>
      </c>
      <c r="D1598" s="2" t="s">
        <v>1674</v>
      </c>
      <c r="E1598" s="2" t="s">
        <v>78</v>
      </c>
      <c r="F1598" s="2" t="s">
        <v>112</v>
      </c>
      <c r="G1598" s="30" t="n">
        <v>83.9</v>
      </c>
      <c r="H1598" s="11" t="n">
        <v>937.49</v>
      </c>
      <c r="I1598" s="11" t="s">
        <v>155</v>
      </c>
      <c r="J1598" s="11" t="n">
        <v>163.57</v>
      </c>
      <c r="K1598" s="11" t="n">
        <v>167.99</v>
      </c>
      <c r="L1598" s="11" t="n">
        <v>0.9375</v>
      </c>
      <c r="M1598" s="11" t="n">
        <v>1.875</v>
      </c>
      <c r="N1598" s="11" t="n">
        <v>1</v>
      </c>
      <c r="O1598" s="11" t="n">
        <v>4.5</v>
      </c>
      <c r="P1598" s="11" t="n">
        <v>5.04</v>
      </c>
      <c r="Q1598" s="11" t="n">
        <v>37.8</v>
      </c>
      <c r="R1598" s="11" t="n">
        <f aca="false">SUM(K1598:Q1598)</f>
        <v>219.1425</v>
      </c>
      <c r="S1598" s="11" t="n">
        <f aca="false">R1598/(1-Resumo!$C$6)</f>
        <v>249.025568181818</v>
      </c>
      <c r="T1598" s="11" t="n">
        <f aca="false">S1598-J1598</f>
        <v>85.4555681818182</v>
      </c>
      <c r="U1598" s="12" t="n">
        <f aca="false">IFERROR(S1598/J1598-1,0)</f>
        <v>0.522440350808939</v>
      </c>
      <c r="V1598" s="2" t="str">
        <f aca="false">IF(S1598&lt;J1598,"SIM","NÃO")</f>
        <v>NÃO</v>
      </c>
      <c r="W1598" s="2" t="n">
        <v>5</v>
      </c>
      <c r="X1598" s="2" t="s">
        <v>156</v>
      </c>
    </row>
    <row r="1599" customFormat="false" ht="15" hidden="false" customHeight="false" outlineLevel="0" collapsed="false">
      <c r="A1599" s="2" t="n">
        <v>389419454</v>
      </c>
      <c r="B1599" s="29" t="n">
        <v>46271.2654861111</v>
      </c>
      <c r="C1599" s="2" t="s">
        <v>158</v>
      </c>
      <c r="D1599" s="2" t="s">
        <v>1675</v>
      </c>
      <c r="E1599" s="2" t="s">
        <v>81</v>
      </c>
      <c r="F1599" s="2" t="s">
        <v>109</v>
      </c>
      <c r="G1599" s="30" t="n">
        <v>53.3</v>
      </c>
      <c r="H1599" s="11" t="n">
        <v>759.99</v>
      </c>
      <c r="I1599" s="11" t="s">
        <v>155</v>
      </c>
      <c r="J1599" s="11" t="n">
        <v>128.92</v>
      </c>
      <c r="K1599" s="11" t="n">
        <v>112.3</v>
      </c>
      <c r="L1599" s="11" t="n">
        <v>0.76</v>
      </c>
      <c r="M1599" s="11" t="n">
        <v>1.52</v>
      </c>
      <c r="N1599" s="11" t="n">
        <v>1</v>
      </c>
      <c r="O1599" s="11" t="n">
        <v>4.5</v>
      </c>
      <c r="P1599" s="11" t="n">
        <v>3.24</v>
      </c>
      <c r="Q1599" s="11" t="n">
        <v>24.3</v>
      </c>
      <c r="R1599" s="11" t="n">
        <f aca="false">SUM(K1599:Q1599)</f>
        <v>147.62</v>
      </c>
      <c r="S1599" s="11" t="n">
        <f aca="false">R1599/(1-Resumo!$C$6)</f>
        <v>167.75</v>
      </c>
      <c r="T1599" s="11" t="n">
        <f aca="false">S1599-J1599</f>
        <v>38.83</v>
      </c>
      <c r="U1599" s="12" t="n">
        <f aca="false">IFERROR(S1599/J1599-1,0)</f>
        <v>0.301194539249147</v>
      </c>
      <c r="V1599" s="2" t="str">
        <f aca="false">IF(S1599&lt;J1599,"SIM","NÃO")</f>
        <v>NÃO</v>
      </c>
      <c r="W1599" s="2" t="n">
        <v>5</v>
      </c>
      <c r="X1599" s="2" t="s">
        <v>156</v>
      </c>
    </row>
    <row r="1600" customFormat="false" ht="15" hidden="false" customHeight="false" outlineLevel="0" collapsed="false">
      <c r="A1600" s="2" t="n">
        <v>389385071</v>
      </c>
      <c r="B1600" s="29" t="n">
        <v>46271.3189814815</v>
      </c>
      <c r="C1600" s="2" t="s">
        <v>153</v>
      </c>
      <c r="D1600" s="2" t="s">
        <v>1676</v>
      </c>
      <c r="E1600" s="2" t="s">
        <v>164</v>
      </c>
      <c r="F1600" s="2" t="s">
        <v>106</v>
      </c>
      <c r="G1600" s="30" t="n">
        <v>23.1</v>
      </c>
      <c r="H1600" s="11" t="n">
        <v>379.99</v>
      </c>
      <c r="I1600" s="11" t="s">
        <v>155</v>
      </c>
      <c r="J1600" s="11" t="n">
        <v>101.2</v>
      </c>
      <c r="K1600" s="11" t="n">
        <v>82.21</v>
      </c>
      <c r="L1600" s="11" t="n">
        <v>0.38</v>
      </c>
      <c r="M1600" s="11" t="n">
        <v>0.76</v>
      </c>
      <c r="N1600" s="11" t="n">
        <v>1</v>
      </c>
      <c r="O1600" s="11" t="n">
        <v>4.5</v>
      </c>
      <c r="P1600" s="11" t="n">
        <v>1.44</v>
      </c>
      <c r="Q1600" s="11" t="n">
        <v>10.8</v>
      </c>
      <c r="R1600" s="11" t="n">
        <f aca="false">SUM(K1600:Q1600)</f>
        <v>101.09</v>
      </c>
      <c r="S1600" s="11" t="n">
        <f aca="false">R1600/(1-Resumo!$C$6)</f>
        <v>114.875</v>
      </c>
      <c r="T1600" s="11" t="n">
        <f aca="false">S1600-J1600</f>
        <v>13.675</v>
      </c>
      <c r="U1600" s="12" t="n">
        <f aca="false">IFERROR(S1600/J1600-1,0)</f>
        <v>0.135128458498023</v>
      </c>
      <c r="V1600" s="2" t="str">
        <f aca="false">IF(S1600&lt;J1600,"SIM","NÃO")</f>
        <v>NÃO</v>
      </c>
      <c r="W1600" s="2" t="n">
        <v>5</v>
      </c>
      <c r="X1600" s="2" t="s">
        <v>161</v>
      </c>
    </row>
    <row r="1601" customFormat="false" ht="15" hidden="false" customHeight="false" outlineLevel="0" collapsed="false">
      <c r="A1601" s="2" t="n">
        <v>389391105</v>
      </c>
      <c r="B1601" s="29" t="n">
        <v>46271.3335416667</v>
      </c>
      <c r="C1601" s="2" t="s">
        <v>153</v>
      </c>
      <c r="D1601" s="2" t="s">
        <v>1677</v>
      </c>
      <c r="E1601" s="2" t="s">
        <v>97</v>
      </c>
      <c r="F1601" s="2" t="s">
        <v>107</v>
      </c>
      <c r="G1601" s="30" t="n">
        <v>36.8</v>
      </c>
      <c r="H1601" s="11" t="n">
        <v>479.99</v>
      </c>
      <c r="I1601" s="11" t="s">
        <v>155</v>
      </c>
      <c r="J1601" s="11" t="n">
        <v>122.55</v>
      </c>
      <c r="K1601" s="11" t="n">
        <v>124.38</v>
      </c>
      <c r="L1601" s="11" t="n">
        <v>0.48</v>
      </c>
      <c r="M1601" s="11" t="n">
        <v>0.96</v>
      </c>
      <c r="N1601" s="11" t="n">
        <v>1</v>
      </c>
      <c r="O1601" s="11" t="n">
        <v>4.5</v>
      </c>
      <c r="P1601" s="11" t="n">
        <v>2.22</v>
      </c>
      <c r="Q1601" s="11" t="n">
        <v>16.65</v>
      </c>
      <c r="R1601" s="11" t="n">
        <f aca="false">SUM(K1601:Q1601)</f>
        <v>150.19</v>
      </c>
      <c r="S1601" s="11" t="n">
        <f aca="false">R1601/(1-Resumo!$C$6)</f>
        <v>170.670454545455</v>
      </c>
      <c r="T1601" s="11" t="n">
        <f aca="false">S1601-J1601</f>
        <v>48.1204545454545</v>
      </c>
      <c r="U1601" s="12" t="n">
        <f aca="false">IFERROR(S1601/J1601-1,0)</f>
        <v>0.392659767812767</v>
      </c>
      <c r="V1601" s="2" t="str">
        <f aca="false">IF(S1601&lt;J1601,"SIM","NÃO")</f>
        <v>NÃO</v>
      </c>
      <c r="W1601" s="2" t="n">
        <v>10</v>
      </c>
      <c r="X1601" s="2" t="s">
        <v>156</v>
      </c>
    </row>
    <row r="1602" customFormat="false" ht="15" hidden="false" customHeight="false" outlineLevel="0" collapsed="false">
      <c r="A1602" s="2" t="n">
        <v>389444784</v>
      </c>
      <c r="B1602" s="29" t="n">
        <v>46271.4304976852</v>
      </c>
      <c r="C1602" s="2" t="s">
        <v>153</v>
      </c>
      <c r="D1602" s="2" t="s">
        <v>1678</v>
      </c>
      <c r="E1602" s="2" t="s">
        <v>172</v>
      </c>
      <c r="F1602" s="2" t="s">
        <v>107</v>
      </c>
      <c r="G1602" s="30" t="n">
        <v>40</v>
      </c>
      <c r="H1602" s="11" t="n">
        <v>579.99</v>
      </c>
      <c r="I1602" s="11" t="s">
        <v>155</v>
      </c>
      <c r="J1602" s="11" t="n">
        <v>123.02</v>
      </c>
      <c r="K1602" s="11" t="n">
        <v>124.38</v>
      </c>
      <c r="L1602" s="11" t="n">
        <v>0.58</v>
      </c>
      <c r="M1602" s="11" t="n">
        <v>1.16</v>
      </c>
      <c r="N1602" s="11" t="n">
        <v>1</v>
      </c>
      <c r="O1602" s="11" t="n">
        <v>4.5</v>
      </c>
      <c r="P1602" s="11" t="n">
        <v>2.4</v>
      </c>
      <c r="Q1602" s="11" t="n">
        <v>18</v>
      </c>
      <c r="R1602" s="11" t="n">
        <f aca="false">SUM(K1602:Q1602)</f>
        <v>152.02</v>
      </c>
      <c r="S1602" s="11" t="n">
        <f aca="false">R1602/(1-Resumo!$C$6)</f>
        <v>172.75</v>
      </c>
      <c r="T1602" s="11" t="n">
        <f aca="false">S1602-J1602</f>
        <v>49.73</v>
      </c>
      <c r="U1602" s="12" t="n">
        <f aca="false">IFERROR(S1602/J1602-1,0)</f>
        <v>0.404243212485774</v>
      </c>
      <c r="V1602" s="2" t="str">
        <f aca="false">IF(S1602&lt;J1602,"SIM","NÃO")</f>
        <v>NÃO</v>
      </c>
      <c r="W1602" s="2" t="n">
        <v>8</v>
      </c>
      <c r="X1602" s="2" t="s">
        <v>161</v>
      </c>
    </row>
    <row r="1603" customFormat="false" ht="15" hidden="false" customHeight="false" outlineLevel="0" collapsed="false">
      <c r="A1603" s="2" t="n">
        <v>389456885</v>
      </c>
      <c r="B1603" s="29" t="n">
        <v>46271.4484953704</v>
      </c>
      <c r="C1603" s="2" t="s">
        <v>153</v>
      </c>
      <c r="D1603" s="2" t="s">
        <v>1679</v>
      </c>
      <c r="E1603" s="2" t="s">
        <v>88</v>
      </c>
      <c r="F1603" s="2" t="s">
        <v>110</v>
      </c>
      <c r="G1603" s="30" t="n">
        <v>61.4</v>
      </c>
      <c r="H1603" s="11" t="n">
        <v>999.99</v>
      </c>
      <c r="I1603" s="11" t="s">
        <v>155</v>
      </c>
      <c r="J1603" s="11" t="n">
        <v>156.81</v>
      </c>
      <c r="K1603" s="11" t="n">
        <v>166.05</v>
      </c>
      <c r="L1603" s="11" t="n">
        <v>1</v>
      </c>
      <c r="M1603" s="11" t="n">
        <v>2</v>
      </c>
      <c r="N1603" s="11" t="n">
        <v>1</v>
      </c>
      <c r="O1603" s="11" t="n">
        <v>4.5</v>
      </c>
      <c r="P1603" s="11" t="n">
        <v>3.72</v>
      </c>
      <c r="Q1603" s="11" t="n">
        <v>27.9</v>
      </c>
      <c r="R1603" s="11" t="n">
        <f aca="false">SUM(K1603:Q1603)</f>
        <v>206.17</v>
      </c>
      <c r="S1603" s="11" t="n">
        <f aca="false">R1603/(1-Resumo!$C$6)</f>
        <v>234.284090909091</v>
      </c>
      <c r="T1603" s="11" t="n">
        <f aca="false">S1603-J1603</f>
        <v>77.4740909090909</v>
      </c>
      <c r="U1603" s="12" t="n">
        <f aca="false">IFERROR(S1603/J1603-1,0)</f>
        <v>0.494063458383336</v>
      </c>
      <c r="V1603" s="2" t="str">
        <f aca="false">IF(S1603&lt;J1603,"SIM","NÃO")</f>
        <v>NÃO</v>
      </c>
      <c r="W1603" s="2" t="n">
        <v>10</v>
      </c>
      <c r="X1603" s="2" t="s">
        <v>156</v>
      </c>
    </row>
    <row r="1604" customFormat="false" ht="15" hidden="false" customHeight="false" outlineLevel="0" collapsed="false">
      <c r="A1604" s="2" t="n">
        <v>389471906</v>
      </c>
      <c r="B1604" s="29" t="n">
        <v>46271.4698726852</v>
      </c>
      <c r="C1604" s="2" t="s">
        <v>153</v>
      </c>
      <c r="D1604" s="2" t="s">
        <v>1680</v>
      </c>
      <c r="E1604" s="2" t="s">
        <v>78</v>
      </c>
      <c r="F1604" s="2" t="s">
        <v>110</v>
      </c>
      <c r="G1604" s="30" t="n">
        <v>66.8</v>
      </c>
      <c r="H1604" s="11" t="n">
        <v>666.23</v>
      </c>
      <c r="I1604" s="11" t="s">
        <v>155</v>
      </c>
      <c r="J1604" s="11" t="n">
        <v>124.4</v>
      </c>
      <c r="K1604" s="11" t="n">
        <v>131.02</v>
      </c>
      <c r="L1604" s="11" t="n">
        <v>0.6662</v>
      </c>
      <c r="M1604" s="11" t="n">
        <v>1.3325</v>
      </c>
      <c r="N1604" s="11" t="n">
        <v>1</v>
      </c>
      <c r="O1604" s="11" t="n">
        <v>4.5</v>
      </c>
      <c r="P1604" s="11" t="n">
        <v>4.02</v>
      </c>
      <c r="Q1604" s="11" t="n">
        <v>30.15</v>
      </c>
      <c r="R1604" s="11" t="n">
        <f aca="false">SUM(K1604:Q1604)</f>
        <v>172.6887</v>
      </c>
      <c r="S1604" s="11" t="n">
        <f aca="false">R1604/(1-Resumo!$C$6)</f>
        <v>196.237159090909</v>
      </c>
      <c r="T1604" s="11" t="n">
        <f aca="false">S1604-J1604</f>
        <v>71.8371590909091</v>
      </c>
      <c r="U1604" s="12" t="n">
        <f aca="false">IFERROR(S1604/J1604-1,0)</f>
        <v>0.577469124524993</v>
      </c>
      <c r="V1604" s="2" t="str">
        <f aca="false">IF(S1604&lt;J1604,"SIM","NÃO")</f>
        <v>NÃO</v>
      </c>
      <c r="W1604" s="2" t="n">
        <v>5</v>
      </c>
      <c r="X1604" s="2" t="s">
        <v>156</v>
      </c>
    </row>
    <row r="1605" customFormat="false" ht="15" hidden="false" customHeight="false" outlineLevel="0" collapsed="false">
      <c r="A1605" s="2" t="n">
        <v>389573191</v>
      </c>
      <c r="B1605" s="29" t="n">
        <v>46271.4882523148</v>
      </c>
      <c r="C1605" s="2" t="s">
        <v>158</v>
      </c>
      <c r="D1605" s="2" t="s">
        <v>1681</v>
      </c>
      <c r="E1605" s="2" t="s">
        <v>78</v>
      </c>
      <c r="F1605" s="2" t="s">
        <v>107</v>
      </c>
      <c r="G1605" s="30" t="n">
        <v>36.8</v>
      </c>
      <c r="H1605" s="11" t="n">
        <v>434.53</v>
      </c>
      <c r="I1605" s="11" t="s">
        <v>155</v>
      </c>
      <c r="J1605" s="11" t="n">
        <v>91.94</v>
      </c>
      <c r="K1605" s="11" t="n">
        <v>93.97</v>
      </c>
      <c r="L1605" s="11" t="n">
        <v>0.4345</v>
      </c>
      <c r="M1605" s="11" t="n">
        <v>0.8691</v>
      </c>
      <c r="N1605" s="11" t="n">
        <v>1</v>
      </c>
      <c r="O1605" s="11" t="n">
        <v>4.5</v>
      </c>
      <c r="P1605" s="11" t="n">
        <v>2.22</v>
      </c>
      <c r="Q1605" s="11" t="n">
        <v>16.65</v>
      </c>
      <c r="R1605" s="11" t="n">
        <f aca="false">SUM(K1605:Q1605)</f>
        <v>119.6436</v>
      </c>
      <c r="S1605" s="11" t="n">
        <f aca="false">R1605/(1-Resumo!$C$6)</f>
        <v>135.958636363636</v>
      </c>
      <c r="T1605" s="11" t="n">
        <f aca="false">S1605-J1605</f>
        <v>44.0186363636364</v>
      </c>
      <c r="U1605" s="12" t="n">
        <f aca="false">IFERROR(S1605/J1605-1,0)</f>
        <v>0.478775683746317</v>
      </c>
      <c r="V1605" s="2" t="str">
        <f aca="false">IF(S1605&lt;J1605,"SIM","NÃO")</f>
        <v>NÃO</v>
      </c>
      <c r="W1605" s="2" t="n">
        <v>5</v>
      </c>
      <c r="X1605" s="2" t="s">
        <v>156</v>
      </c>
    </row>
    <row r="1606" customFormat="false" ht="15" hidden="false" customHeight="false" outlineLevel="0" collapsed="false">
      <c r="A1606" s="2" t="n">
        <v>389515004</v>
      </c>
      <c r="B1606" s="29" t="n">
        <v>46271.5297569444</v>
      </c>
      <c r="C1606" s="2" t="s">
        <v>153</v>
      </c>
      <c r="D1606" s="2" t="s">
        <v>470</v>
      </c>
      <c r="E1606" s="2" t="s">
        <v>78</v>
      </c>
      <c r="F1606" s="2" t="s">
        <v>110</v>
      </c>
      <c r="G1606" s="30" t="n">
        <v>63.9</v>
      </c>
      <c r="H1606" s="11" t="n">
        <v>716.35</v>
      </c>
      <c r="I1606" s="11" t="s">
        <v>155</v>
      </c>
      <c r="J1606" s="11" t="n">
        <v>124.64</v>
      </c>
      <c r="K1606" s="11" t="n">
        <v>131.02</v>
      </c>
      <c r="L1606" s="11" t="n">
        <v>0.7164</v>
      </c>
      <c r="M1606" s="11" t="n">
        <v>1.4327</v>
      </c>
      <c r="N1606" s="11" t="n">
        <v>1</v>
      </c>
      <c r="O1606" s="11" t="n">
        <v>4.5</v>
      </c>
      <c r="P1606" s="11" t="n">
        <v>3.84</v>
      </c>
      <c r="Q1606" s="11" t="n">
        <v>28.8</v>
      </c>
      <c r="R1606" s="11" t="n">
        <f aca="false">SUM(K1606:Q1606)</f>
        <v>171.3091</v>
      </c>
      <c r="S1606" s="11" t="n">
        <f aca="false">R1606/(1-Resumo!$C$6)</f>
        <v>194.669431818182</v>
      </c>
      <c r="T1606" s="11" t="n">
        <f aca="false">S1606-J1606</f>
        <v>70.0294318181819</v>
      </c>
      <c r="U1606" s="12" t="n">
        <f aca="false">IFERROR(S1606/J1606-1,0)</f>
        <v>0.561853592892987</v>
      </c>
      <c r="V1606" s="2" t="str">
        <f aca="false">IF(S1606&lt;J1606,"SIM","NÃO")</f>
        <v>NÃO</v>
      </c>
      <c r="W1606" s="2" t="n">
        <v>5</v>
      </c>
      <c r="X1606" s="2" t="s">
        <v>156</v>
      </c>
    </row>
    <row r="1607" customFormat="false" ht="15" hidden="false" customHeight="false" outlineLevel="0" collapsed="false">
      <c r="A1607" s="2" t="n">
        <v>389551826</v>
      </c>
      <c r="B1607" s="29" t="n">
        <v>46271.5615162037</v>
      </c>
      <c r="C1607" s="2" t="s">
        <v>369</v>
      </c>
      <c r="D1607" s="2" t="s">
        <v>1682</v>
      </c>
      <c r="E1607" s="2" t="s">
        <v>78</v>
      </c>
      <c r="F1607" s="2" t="s">
        <v>108</v>
      </c>
      <c r="G1607" s="30" t="n">
        <v>49.6</v>
      </c>
      <c r="H1607" s="11" t="n">
        <v>683.99</v>
      </c>
      <c r="I1607" s="11" t="s">
        <v>155</v>
      </c>
      <c r="J1607" s="11" t="n">
        <v>103.88</v>
      </c>
      <c r="K1607" s="11" t="n">
        <v>93.97</v>
      </c>
      <c r="L1607" s="11" t="n">
        <v>0.684</v>
      </c>
      <c r="M1607" s="11" t="n">
        <v>1.368</v>
      </c>
      <c r="N1607" s="11" t="n">
        <v>1</v>
      </c>
      <c r="O1607" s="11" t="n">
        <v>4.5</v>
      </c>
      <c r="P1607" s="11" t="n">
        <v>3</v>
      </c>
      <c r="Q1607" s="11" t="n">
        <v>22.5</v>
      </c>
      <c r="R1607" s="11" t="n">
        <f aca="false">SUM(K1607:Q1607)</f>
        <v>127.022</v>
      </c>
      <c r="S1607" s="11" t="n">
        <f aca="false">R1607/(1-Resumo!$C$6)</f>
        <v>144.343181818182</v>
      </c>
      <c r="T1607" s="11" t="n">
        <f aca="false">S1607-J1607</f>
        <v>40.4631818181818</v>
      </c>
      <c r="U1607" s="12" t="n">
        <f aca="false">IFERROR(S1607/J1607-1,0)</f>
        <v>0.389518500367557</v>
      </c>
      <c r="V1607" s="2" t="str">
        <f aca="false">IF(S1607&lt;J1607,"SIM","NÃO")</f>
        <v>NÃO</v>
      </c>
      <c r="W1607" s="2" t="n">
        <v>5</v>
      </c>
      <c r="X1607" s="2" t="s">
        <v>156</v>
      </c>
    </row>
    <row r="1608" customFormat="false" ht="15" hidden="false" customHeight="false" outlineLevel="0" collapsed="false">
      <c r="A1608" s="2" t="n">
        <v>389551263</v>
      </c>
      <c r="B1608" s="29" t="n">
        <v>46271.581400463</v>
      </c>
      <c r="C1608" s="2" t="s">
        <v>153</v>
      </c>
      <c r="D1608" s="2" t="s">
        <v>1683</v>
      </c>
      <c r="E1608" s="2" t="s">
        <v>90</v>
      </c>
      <c r="F1608" s="2" t="s">
        <v>107</v>
      </c>
      <c r="G1608" s="30" t="n">
        <v>36.9</v>
      </c>
      <c r="H1608" s="11" t="n">
        <v>399.99</v>
      </c>
      <c r="I1608" s="11" t="s">
        <v>155</v>
      </c>
      <c r="J1608" s="11" t="n">
        <v>122.16</v>
      </c>
      <c r="K1608" s="11" t="n">
        <v>114.95</v>
      </c>
      <c r="L1608" s="11" t="n">
        <v>0.4</v>
      </c>
      <c r="M1608" s="11" t="n">
        <v>0.8</v>
      </c>
      <c r="N1608" s="11" t="n">
        <v>1</v>
      </c>
      <c r="O1608" s="11" t="n">
        <v>4.5</v>
      </c>
      <c r="P1608" s="11" t="n">
        <v>2.22</v>
      </c>
      <c r="Q1608" s="11" t="n">
        <v>16.65</v>
      </c>
      <c r="R1608" s="11" t="n">
        <f aca="false">SUM(K1608:Q1608)</f>
        <v>140.52</v>
      </c>
      <c r="S1608" s="11" t="n">
        <f aca="false">R1608/(1-Resumo!$C$6)</f>
        <v>159.681818181818</v>
      </c>
      <c r="T1608" s="11" t="n">
        <f aca="false">S1608-J1608</f>
        <v>37.5218181818182</v>
      </c>
      <c r="U1608" s="12" t="n">
        <f aca="false">IFERROR(S1608/J1608-1,0)</f>
        <v>0.307153063046973</v>
      </c>
      <c r="V1608" s="2" t="str">
        <f aca="false">IF(S1608&lt;J1608,"SIM","NÃO")</f>
        <v>NÃO</v>
      </c>
      <c r="W1608" s="2" t="n">
        <v>7</v>
      </c>
      <c r="X1608" s="2" t="s">
        <v>156</v>
      </c>
    </row>
    <row r="1609" customFormat="false" ht="15" hidden="false" customHeight="false" outlineLevel="0" collapsed="false">
      <c r="A1609" s="2" t="n">
        <v>389601584</v>
      </c>
      <c r="B1609" s="29" t="n">
        <v>46271.6548958333</v>
      </c>
      <c r="C1609" s="2" t="s">
        <v>191</v>
      </c>
      <c r="D1609" s="2" t="s">
        <v>1684</v>
      </c>
      <c r="E1609" s="2" t="s">
        <v>78</v>
      </c>
      <c r="F1609" s="2" t="s">
        <v>107</v>
      </c>
      <c r="G1609" s="30" t="n">
        <v>37.6</v>
      </c>
      <c r="H1609" s="11" t="n">
        <v>469.99</v>
      </c>
      <c r="I1609" s="11" t="s">
        <v>155</v>
      </c>
      <c r="J1609" s="11" t="n">
        <v>92.11</v>
      </c>
      <c r="K1609" s="11" t="n">
        <v>93.97</v>
      </c>
      <c r="L1609" s="11" t="n">
        <v>0.47</v>
      </c>
      <c r="M1609" s="11" t="n">
        <v>0.94</v>
      </c>
      <c r="N1609" s="11" t="n">
        <v>1</v>
      </c>
      <c r="O1609" s="11" t="n">
        <v>4.5</v>
      </c>
      <c r="P1609" s="11" t="n">
        <v>2.28</v>
      </c>
      <c r="Q1609" s="11" t="n">
        <v>17.1</v>
      </c>
      <c r="R1609" s="11" t="n">
        <f aca="false">SUM(K1609:Q1609)</f>
        <v>120.26</v>
      </c>
      <c r="S1609" s="11" t="n">
        <f aca="false">R1609/(1-Resumo!$C$6)</f>
        <v>136.659090909091</v>
      </c>
      <c r="T1609" s="11" t="n">
        <f aca="false">S1609-J1609</f>
        <v>44.5490909090909</v>
      </c>
      <c r="U1609" s="12" t="n">
        <f aca="false">IFERROR(S1609/J1609-1,0)</f>
        <v>0.483650970677352</v>
      </c>
      <c r="V1609" s="2" t="str">
        <f aca="false">IF(S1609&lt;J1609,"SIM","NÃO")</f>
        <v>NÃO</v>
      </c>
      <c r="W1609" s="2" t="n">
        <v>5</v>
      </c>
      <c r="X1609" s="2" t="s">
        <v>156</v>
      </c>
    </row>
    <row r="1610" customFormat="false" ht="15" hidden="false" customHeight="false" outlineLevel="0" collapsed="false">
      <c r="A1610" s="2" t="n">
        <v>389611799</v>
      </c>
      <c r="B1610" s="29" t="n">
        <v>46271.6679398148</v>
      </c>
      <c r="C1610" s="2" t="s">
        <v>153</v>
      </c>
      <c r="D1610" s="2" t="s">
        <v>1685</v>
      </c>
      <c r="E1610" s="2" t="s">
        <v>91</v>
      </c>
      <c r="F1610" s="2" t="s">
        <v>107</v>
      </c>
      <c r="G1610" s="30" t="n">
        <v>37.6</v>
      </c>
      <c r="H1610" s="11" t="n">
        <v>378.18</v>
      </c>
      <c r="I1610" s="11" t="s">
        <v>155</v>
      </c>
      <c r="J1610" s="11" t="n">
        <v>122.07</v>
      </c>
      <c r="K1610" s="11" t="n">
        <v>124.38</v>
      </c>
      <c r="L1610" s="11" t="n">
        <v>0.3782</v>
      </c>
      <c r="M1610" s="11" t="n">
        <v>0.7564</v>
      </c>
      <c r="N1610" s="11" t="n">
        <v>1</v>
      </c>
      <c r="O1610" s="11" t="n">
        <v>4.5</v>
      </c>
      <c r="P1610" s="11" t="n">
        <v>2.28</v>
      </c>
      <c r="Q1610" s="11" t="n">
        <v>17.1</v>
      </c>
      <c r="R1610" s="11" t="n">
        <f aca="false">SUM(K1610:Q1610)</f>
        <v>150.3946</v>
      </c>
      <c r="S1610" s="11" t="n">
        <f aca="false">R1610/(1-Resumo!$C$6)</f>
        <v>170.902954545455</v>
      </c>
      <c r="T1610" s="11" t="n">
        <f aca="false">S1610-J1610</f>
        <v>48.8329545454546</v>
      </c>
      <c r="U1610" s="12" t="n">
        <f aca="false">IFERROR(S1610/J1610-1,0)</f>
        <v>0.400040587740268</v>
      </c>
      <c r="V1610" s="2" t="str">
        <f aca="false">IF(S1610&lt;J1610,"SIM","NÃO")</f>
        <v>NÃO</v>
      </c>
      <c r="W1610" s="2" t="n">
        <v>10</v>
      </c>
      <c r="X1610" s="2" t="s">
        <v>156</v>
      </c>
    </row>
    <row r="1611" customFormat="false" ht="15" hidden="false" customHeight="false" outlineLevel="0" collapsed="false">
      <c r="A1611" s="2" t="n">
        <v>389609102</v>
      </c>
      <c r="B1611" s="29" t="n">
        <v>46271.6702777778</v>
      </c>
      <c r="C1611" s="2" t="s">
        <v>194</v>
      </c>
      <c r="D1611" s="2" t="s">
        <v>1686</v>
      </c>
      <c r="E1611" s="2" t="s">
        <v>78</v>
      </c>
      <c r="F1611" s="2" t="s">
        <v>105</v>
      </c>
      <c r="G1611" s="30" t="n">
        <v>15</v>
      </c>
      <c r="H1611" s="11" t="n">
        <v>255.19</v>
      </c>
      <c r="I1611" s="11" t="s">
        <v>155</v>
      </c>
      <c r="J1611" s="11" t="n">
        <v>64.44</v>
      </c>
      <c r="K1611" s="11" t="n">
        <v>46.98</v>
      </c>
      <c r="L1611" s="11" t="n">
        <v>0.2552</v>
      </c>
      <c r="M1611" s="11" t="n">
        <v>0.5104</v>
      </c>
      <c r="N1611" s="11" t="n">
        <v>1</v>
      </c>
      <c r="O1611" s="11" t="n">
        <v>4.5</v>
      </c>
      <c r="P1611" s="11" t="n">
        <v>0.9</v>
      </c>
      <c r="Q1611" s="11" t="n">
        <v>6.75</v>
      </c>
      <c r="R1611" s="11" t="n">
        <f aca="false">SUM(K1611:Q1611)</f>
        <v>60.8956</v>
      </c>
      <c r="S1611" s="11" t="n">
        <f aca="false">R1611/(1-Resumo!$C$6)</f>
        <v>69.1995454545454</v>
      </c>
      <c r="T1611" s="11" t="n">
        <f aca="false">S1611-J1611</f>
        <v>4.75954545454545</v>
      </c>
      <c r="U1611" s="12" t="n">
        <f aca="false">IFERROR(S1611/J1611-1,0)</f>
        <v>0.0738601094746345</v>
      </c>
      <c r="V1611" s="2" t="str">
        <f aca="false">IF(S1611&lt;J1611,"SIM","NÃO")</f>
        <v>NÃO</v>
      </c>
      <c r="W1611" s="2" t="n">
        <v>5</v>
      </c>
      <c r="X1611" s="2" t="s">
        <v>156</v>
      </c>
    </row>
    <row r="1612" customFormat="false" ht="15" hidden="false" customHeight="false" outlineLevel="0" collapsed="false">
      <c r="A1612" s="2" t="n">
        <v>389619063</v>
      </c>
      <c r="B1612" s="29" t="n">
        <v>46271.6786342593</v>
      </c>
      <c r="C1612" s="2" t="s">
        <v>153</v>
      </c>
      <c r="D1612" s="2" t="s">
        <v>1687</v>
      </c>
      <c r="E1612" s="2" t="s">
        <v>78</v>
      </c>
      <c r="F1612" s="2" t="s">
        <v>108</v>
      </c>
      <c r="G1612" s="30" t="n">
        <v>46.8</v>
      </c>
      <c r="H1612" s="11" t="n">
        <v>599.99</v>
      </c>
      <c r="I1612" s="11" t="s">
        <v>155</v>
      </c>
      <c r="J1612" s="11" t="n">
        <v>103.47</v>
      </c>
      <c r="K1612" s="11" t="n">
        <v>93.97</v>
      </c>
      <c r="L1612" s="11" t="n">
        <v>0.6</v>
      </c>
      <c r="M1612" s="11" t="n">
        <v>1.2</v>
      </c>
      <c r="N1612" s="11" t="n">
        <v>1</v>
      </c>
      <c r="O1612" s="11" t="n">
        <v>4.5</v>
      </c>
      <c r="P1612" s="11" t="n">
        <v>2.82</v>
      </c>
      <c r="Q1612" s="11" t="n">
        <v>21.15</v>
      </c>
      <c r="R1612" s="11" t="n">
        <f aca="false">SUM(K1612:Q1612)</f>
        <v>125.24</v>
      </c>
      <c r="S1612" s="11" t="n">
        <f aca="false">R1612/(1-Resumo!$C$6)</f>
        <v>142.318181818182</v>
      </c>
      <c r="T1612" s="11" t="n">
        <f aca="false">S1612-J1612</f>
        <v>38.8481818181818</v>
      </c>
      <c r="U1612" s="12" t="n">
        <f aca="false">IFERROR(S1612/J1612-1,0)</f>
        <v>0.375453578990836</v>
      </c>
      <c r="V1612" s="2" t="str">
        <f aca="false">IF(S1612&lt;J1612,"SIM","NÃO")</f>
        <v>NÃO</v>
      </c>
      <c r="W1612" s="2" t="n">
        <v>5</v>
      </c>
      <c r="X1612" s="2" t="s">
        <v>156</v>
      </c>
    </row>
    <row r="1613" customFormat="false" ht="15" hidden="false" customHeight="false" outlineLevel="0" collapsed="false">
      <c r="A1613" s="2" t="n">
        <v>389669354</v>
      </c>
      <c r="B1613" s="29" t="n">
        <v>46271.751724537</v>
      </c>
      <c r="C1613" s="2" t="s">
        <v>158</v>
      </c>
      <c r="D1613" s="2" t="s">
        <v>1688</v>
      </c>
      <c r="E1613" s="2" t="s">
        <v>78</v>
      </c>
      <c r="F1613" s="2" t="s">
        <v>107</v>
      </c>
      <c r="G1613" s="30" t="n">
        <v>37.6</v>
      </c>
      <c r="H1613" s="11" t="n">
        <v>443.87</v>
      </c>
      <c r="I1613" s="11" t="s">
        <v>155</v>
      </c>
      <c r="J1613" s="11" t="n">
        <v>91.99</v>
      </c>
      <c r="K1613" s="11" t="n">
        <v>93.97</v>
      </c>
      <c r="L1613" s="11" t="n">
        <v>0.4439</v>
      </c>
      <c r="M1613" s="11" t="n">
        <v>0.8877</v>
      </c>
      <c r="N1613" s="11" t="n">
        <v>1</v>
      </c>
      <c r="O1613" s="11" t="n">
        <v>4.5</v>
      </c>
      <c r="P1613" s="11" t="n">
        <v>2.28</v>
      </c>
      <c r="Q1613" s="11" t="n">
        <v>17.1</v>
      </c>
      <c r="R1613" s="11" t="n">
        <f aca="false">SUM(K1613:Q1613)</f>
        <v>120.1816</v>
      </c>
      <c r="S1613" s="11" t="n">
        <f aca="false">R1613/(1-Resumo!$C$6)</f>
        <v>136.57</v>
      </c>
      <c r="T1613" s="11" t="n">
        <f aca="false">S1613-J1613</f>
        <v>44.58</v>
      </c>
      <c r="U1613" s="12" t="n">
        <f aca="false">IFERROR(S1613/J1613-1,0)</f>
        <v>0.484617893249266</v>
      </c>
      <c r="V1613" s="2" t="str">
        <f aca="false">IF(S1613&lt;J1613,"SIM","NÃO")</f>
        <v>NÃO</v>
      </c>
      <c r="W1613" s="2" t="n">
        <v>5</v>
      </c>
      <c r="X1613" s="2" t="s">
        <v>156</v>
      </c>
    </row>
    <row r="1614" customFormat="false" ht="15" hidden="false" customHeight="false" outlineLevel="0" collapsed="false">
      <c r="A1614" s="2" t="n">
        <v>389675699</v>
      </c>
      <c r="B1614" s="29" t="n">
        <v>46271.7612152778</v>
      </c>
      <c r="C1614" s="2" t="s">
        <v>198</v>
      </c>
      <c r="D1614" s="2" t="s">
        <v>1689</v>
      </c>
      <c r="E1614" s="2" t="s">
        <v>78</v>
      </c>
      <c r="F1614" s="2" t="s">
        <v>107</v>
      </c>
      <c r="G1614" s="30" t="n">
        <v>40</v>
      </c>
      <c r="H1614" s="11" t="n">
        <v>539.99</v>
      </c>
      <c r="I1614" s="11" t="s">
        <v>155</v>
      </c>
      <c r="J1614" s="11" t="n">
        <v>92.44</v>
      </c>
      <c r="K1614" s="11" t="n">
        <v>93.97</v>
      </c>
      <c r="L1614" s="11" t="n">
        <v>0.54</v>
      </c>
      <c r="M1614" s="11" t="n">
        <v>1.08</v>
      </c>
      <c r="N1614" s="11" t="n">
        <v>1</v>
      </c>
      <c r="O1614" s="11" t="n">
        <v>4.5</v>
      </c>
      <c r="P1614" s="11" t="n">
        <v>2.4</v>
      </c>
      <c r="Q1614" s="11" t="n">
        <v>18</v>
      </c>
      <c r="R1614" s="11" t="n">
        <f aca="false">SUM(K1614:Q1614)</f>
        <v>121.49</v>
      </c>
      <c r="S1614" s="11" t="n">
        <f aca="false">R1614/(1-Resumo!$C$6)</f>
        <v>138.056818181818</v>
      </c>
      <c r="T1614" s="11" t="n">
        <f aca="false">S1614-J1614</f>
        <v>45.6168181818182</v>
      </c>
      <c r="U1614" s="12" t="n">
        <f aca="false">IFERROR(S1614/J1614-1,0)</f>
        <v>0.493474882970772</v>
      </c>
      <c r="V1614" s="2" t="str">
        <f aca="false">IF(S1614&lt;J1614,"SIM","NÃO")</f>
        <v>NÃO</v>
      </c>
      <c r="W1614" s="2" t="n">
        <v>5</v>
      </c>
      <c r="X1614" s="2" t="s">
        <v>156</v>
      </c>
    </row>
    <row r="1615" customFormat="false" ht="15" hidden="false" customHeight="false" outlineLevel="0" collapsed="false">
      <c r="A1615" s="2" t="n">
        <v>389696145</v>
      </c>
      <c r="B1615" s="29" t="n">
        <v>46271.7924537037</v>
      </c>
      <c r="C1615" s="2" t="s">
        <v>153</v>
      </c>
      <c r="D1615" s="2" t="s">
        <v>1690</v>
      </c>
      <c r="E1615" s="2" t="s">
        <v>1691</v>
      </c>
      <c r="F1615" s="2" t="s">
        <v>108</v>
      </c>
      <c r="G1615" s="30" t="n">
        <v>48.3</v>
      </c>
      <c r="H1615" s="11" t="n">
        <v>459.69</v>
      </c>
      <c r="I1615" s="11" t="s">
        <v>155</v>
      </c>
      <c r="J1615" s="11" t="n">
        <v>130.36</v>
      </c>
      <c r="K1615" s="11" t="n">
        <v>152.54</v>
      </c>
      <c r="L1615" s="11" t="n">
        <v>0.4597</v>
      </c>
      <c r="M1615" s="11" t="n">
        <v>0.9194</v>
      </c>
      <c r="N1615" s="11" t="n">
        <v>1</v>
      </c>
      <c r="O1615" s="11" t="n">
        <v>4.5</v>
      </c>
      <c r="P1615" s="11" t="n">
        <v>2.94</v>
      </c>
      <c r="Q1615" s="11" t="n">
        <v>22.05</v>
      </c>
      <c r="R1615" s="11" t="n">
        <f aca="false">SUM(K1615:Q1615)</f>
        <v>184.4091</v>
      </c>
      <c r="S1615" s="11" t="n">
        <f aca="false">R1615/(1-Resumo!$C$6)</f>
        <v>209.555795454545</v>
      </c>
      <c r="T1615" s="11" t="n">
        <f aca="false">S1615-J1615</f>
        <v>79.1957954545455</v>
      </c>
      <c r="U1615" s="12" t="n">
        <f aca="false">IFERROR(S1615/J1615-1,0)</f>
        <v>0.607516074367486</v>
      </c>
      <c r="V1615" s="2" t="str">
        <f aca="false">IF(S1615&lt;J1615,"SIM","NÃO")</f>
        <v>NÃO</v>
      </c>
      <c r="W1615" s="2" t="n">
        <v>11</v>
      </c>
      <c r="X1615" s="2" t="s">
        <v>161</v>
      </c>
    </row>
    <row r="1616" customFormat="false" ht="15" hidden="false" customHeight="false" outlineLevel="0" collapsed="false">
      <c r="A1616" s="2" t="n">
        <v>389703861</v>
      </c>
      <c r="B1616" s="29" t="n">
        <v>46271.804525463</v>
      </c>
      <c r="C1616" s="2" t="s">
        <v>153</v>
      </c>
      <c r="D1616" s="2" t="s">
        <v>1692</v>
      </c>
      <c r="E1616" s="2" t="s">
        <v>78</v>
      </c>
      <c r="F1616" s="2" t="s">
        <v>106</v>
      </c>
      <c r="G1616" s="30" t="n">
        <v>21.5</v>
      </c>
      <c r="H1616" s="11" t="n">
        <v>299.99</v>
      </c>
      <c r="I1616" s="11" t="s">
        <v>155</v>
      </c>
      <c r="J1616" s="11" t="n">
        <v>81.76</v>
      </c>
      <c r="K1616" s="11" t="n">
        <v>82.21</v>
      </c>
      <c r="L1616" s="11" t="n">
        <v>0.3</v>
      </c>
      <c r="M1616" s="11" t="n">
        <v>0.6</v>
      </c>
      <c r="N1616" s="11" t="n">
        <v>1</v>
      </c>
      <c r="O1616" s="11" t="n">
        <v>4.5</v>
      </c>
      <c r="P1616" s="11" t="n">
        <v>1.32</v>
      </c>
      <c r="Q1616" s="11" t="n">
        <v>9.9</v>
      </c>
      <c r="R1616" s="11" t="n">
        <f aca="false">SUM(K1616:Q1616)</f>
        <v>99.83</v>
      </c>
      <c r="S1616" s="11" t="n">
        <f aca="false">R1616/(1-Resumo!$C$6)</f>
        <v>113.443181818182</v>
      </c>
      <c r="T1616" s="11" t="n">
        <f aca="false">S1616-J1616</f>
        <v>31.6831818181818</v>
      </c>
      <c r="U1616" s="12" t="n">
        <f aca="false">IFERROR(S1616/J1616-1,0)</f>
        <v>0.387514454723359</v>
      </c>
      <c r="V1616" s="2" t="str">
        <f aca="false">IF(S1616&lt;J1616,"SIM","NÃO")</f>
        <v>NÃO</v>
      </c>
      <c r="W1616" s="2" t="n">
        <v>5</v>
      </c>
      <c r="X1616" s="2" t="s">
        <v>156</v>
      </c>
    </row>
    <row r="1617" customFormat="false" ht="15" hidden="false" customHeight="false" outlineLevel="0" collapsed="false">
      <c r="A1617" s="2" t="n">
        <v>389747560</v>
      </c>
      <c r="B1617" s="29" t="n">
        <v>46271.8769444445</v>
      </c>
      <c r="C1617" s="2" t="s">
        <v>153</v>
      </c>
      <c r="D1617" s="2" t="s">
        <v>1693</v>
      </c>
      <c r="E1617" s="2" t="s">
        <v>78</v>
      </c>
      <c r="F1617" s="2" t="s">
        <v>106</v>
      </c>
      <c r="G1617" s="30" t="n">
        <v>31</v>
      </c>
      <c r="H1617" s="11" t="n">
        <v>329.99</v>
      </c>
      <c r="I1617" s="11" t="s">
        <v>155</v>
      </c>
      <c r="J1617" s="11" t="n">
        <v>81.91</v>
      </c>
      <c r="K1617" s="11" t="n">
        <v>82.21</v>
      </c>
      <c r="L1617" s="11" t="n">
        <v>0.33</v>
      </c>
      <c r="M1617" s="11" t="n">
        <v>0.66</v>
      </c>
      <c r="N1617" s="11" t="n">
        <v>1</v>
      </c>
      <c r="O1617" s="11" t="n">
        <v>4.5</v>
      </c>
      <c r="P1617" s="11" t="n">
        <v>1.86</v>
      </c>
      <c r="Q1617" s="11" t="n">
        <v>13.95</v>
      </c>
      <c r="R1617" s="11" t="n">
        <f aca="false">SUM(K1617:Q1617)</f>
        <v>104.51</v>
      </c>
      <c r="S1617" s="11" t="n">
        <f aca="false">R1617/(1-Resumo!$C$6)</f>
        <v>118.761363636364</v>
      </c>
      <c r="T1617" s="11" t="n">
        <f aca="false">S1617-J1617</f>
        <v>36.8513636363636</v>
      </c>
      <c r="U1617" s="12" t="n">
        <f aca="false">IFERROR(S1617/J1617-1,0)</f>
        <v>0.449900667029223</v>
      </c>
      <c r="V1617" s="2" t="str">
        <f aca="false">IF(S1617&lt;J1617,"SIM","NÃO")</f>
        <v>NÃO</v>
      </c>
      <c r="W1617" s="2" t="n">
        <v>5</v>
      </c>
      <c r="X1617" s="2" t="s">
        <v>156</v>
      </c>
    </row>
    <row r="1618" customFormat="false" ht="15" hidden="false" customHeight="false" outlineLevel="0" collapsed="false">
      <c r="A1618" s="2" t="n">
        <v>389750272</v>
      </c>
      <c r="B1618" s="29" t="n">
        <v>46271.8812152778</v>
      </c>
      <c r="C1618" s="2" t="s">
        <v>158</v>
      </c>
      <c r="D1618" s="2" t="s">
        <v>1694</v>
      </c>
      <c r="E1618" s="2" t="s">
        <v>83</v>
      </c>
      <c r="F1618" s="2" t="s">
        <v>106</v>
      </c>
      <c r="G1618" s="30" t="n">
        <v>20.9</v>
      </c>
      <c r="H1618" s="11" t="n">
        <v>470.09</v>
      </c>
      <c r="I1618" s="11" t="s">
        <v>155</v>
      </c>
      <c r="J1618" s="11" t="n">
        <v>109.43</v>
      </c>
      <c r="K1618" s="11" t="n">
        <v>138.29</v>
      </c>
      <c r="L1618" s="11" t="n">
        <v>0.4701</v>
      </c>
      <c r="M1618" s="11" t="n">
        <v>0.9402</v>
      </c>
      <c r="N1618" s="11" t="n">
        <v>1</v>
      </c>
      <c r="O1618" s="11" t="n">
        <v>4.5</v>
      </c>
      <c r="P1618" s="11" t="n">
        <v>1.26</v>
      </c>
      <c r="Q1618" s="11" t="n">
        <v>9.45</v>
      </c>
      <c r="R1618" s="11" t="n">
        <f aca="false">SUM(K1618:Q1618)</f>
        <v>155.9103</v>
      </c>
      <c r="S1618" s="11" t="n">
        <f aca="false">R1618/(1-Resumo!$C$6)</f>
        <v>177.170795454545</v>
      </c>
      <c r="T1618" s="11" t="n">
        <f aca="false">S1618-J1618</f>
        <v>67.7407954545454</v>
      </c>
      <c r="U1618" s="12" t="n">
        <f aca="false">IFERROR(S1618/J1618-1,0)</f>
        <v>0.619033130353152</v>
      </c>
      <c r="V1618" s="2" t="str">
        <f aca="false">IF(S1618&lt;J1618,"SIM","NÃO")</f>
        <v>NÃO</v>
      </c>
      <c r="W1618" s="2" t="n">
        <v>11</v>
      </c>
      <c r="X1618" s="2" t="s">
        <v>156</v>
      </c>
    </row>
    <row r="1619" customFormat="false" ht="15" hidden="false" customHeight="false" outlineLevel="0" collapsed="false">
      <c r="A1619" s="2" t="n">
        <v>389752365</v>
      </c>
      <c r="B1619" s="29" t="n">
        <v>46271.8851041667</v>
      </c>
      <c r="C1619" s="2" t="s">
        <v>153</v>
      </c>
      <c r="D1619" s="2" t="s">
        <v>1695</v>
      </c>
      <c r="E1619" s="2" t="s">
        <v>78</v>
      </c>
      <c r="F1619" s="2" t="s">
        <v>106</v>
      </c>
      <c r="G1619" s="30" t="n">
        <v>28.8</v>
      </c>
      <c r="H1619" s="11" t="n">
        <v>783.38</v>
      </c>
      <c r="I1619" s="11" t="s">
        <v>155</v>
      </c>
      <c r="J1619" s="11" t="n">
        <v>84.09</v>
      </c>
      <c r="K1619" s="11" t="n">
        <v>82.21</v>
      </c>
      <c r="L1619" s="11" t="n">
        <v>0.7834</v>
      </c>
      <c r="M1619" s="11" t="n">
        <v>1.5668</v>
      </c>
      <c r="N1619" s="11" t="n">
        <v>1</v>
      </c>
      <c r="O1619" s="11" t="n">
        <v>4.5</v>
      </c>
      <c r="P1619" s="11" t="n">
        <v>1.74</v>
      </c>
      <c r="Q1619" s="11" t="n">
        <v>13.05</v>
      </c>
      <c r="R1619" s="11" t="n">
        <f aca="false">SUM(K1619:Q1619)</f>
        <v>104.8502</v>
      </c>
      <c r="S1619" s="11" t="n">
        <f aca="false">R1619/(1-Resumo!$C$6)</f>
        <v>119.147954545455</v>
      </c>
      <c r="T1619" s="11" t="n">
        <f aca="false">S1619-J1619</f>
        <v>35.0579545454545</v>
      </c>
      <c r="U1619" s="12" t="n">
        <f aca="false">IFERROR(S1619/J1619-1,0)</f>
        <v>0.416909912539595</v>
      </c>
      <c r="V1619" s="2" t="str">
        <f aca="false">IF(S1619&lt;J1619,"SIM","NÃO")</f>
        <v>NÃO</v>
      </c>
      <c r="W1619" s="2" t="n">
        <v>5</v>
      </c>
      <c r="X1619" s="2" t="s">
        <v>156</v>
      </c>
    </row>
    <row r="1620" customFormat="false" ht="15" hidden="false" customHeight="false" outlineLevel="0" collapsed="false">
      <c r="A1620" s="2" t="n">
        <v>389782420</v>
      </c>
      <c r="B1620" s="29" t="n">
        <v>46271.9381018519</v>
      </c>
      <c r="C1620" s="2" t="s">
        <v>153</v>
      </c>
      <c r="D1620" s="2" t="s">
        <v>1696</v>
      </c>
      <c r="E1620" s="2" t="s">
        <v>82</v>
      </c>
      <c r="F1620" s="2" t="s">
        <v>108</v>
      </c>
      <c r="G1620" s="30" t="n">
        <v>41</v>
      </c>
      <c r="H1620" s="11" t="n">
        <v>559.94</v>
      </c>
      <c r="I1620" s="11" t="s">
        <v>155</v>
      </c>
      <c r="J1620" s="11" t="n">
        <v>116.76</v>
      </c>
      <c r="K1620" s="11" t="n">
        <v>114.95</v>
      </c>
      <c r="L1620" s="11" t="n">
        <v>0.5599</v>
      </c>
      <c r="M1620" s="11" t="n">
        <v>1.1199</v>
      </c>
      <c r="N1620" s="11" t="n">
        <v>1</v>
      </c>
      <c r="O1620" s="11" t="n">
        <v>4.5</v>
      </c>
      <c r="P1620" s="11" t="n">
        <v>2.46</v>
      </c>
      <c r="Q1620" s="11" t="n">
        <v>18.45</v>
      </c>
      <c r="R1620" s="11" t="n">
        <f aca="false">SUM(K1620:Q1620)</f>
        <v>143.0398</v>
      </c>
      <c r="S1620" s="11" t="n">
        <f aca="false">R1620/(1-Resumo!$C$6)</f>
        <v>162.545227272727</v>
      </c>
      <c r="T1620" s="11" t="n">
        <f aca="false">S1620-J1620</f>
        <v>45.7852272727273</v>
      </c>
      <c r="U1620" s="12" t="n">
        <f aca="false">IFERROR(S1620/J1620-1,0)</f>
        <v>0.392131100314553</v>
      </c>
      <c r="V1620" s="2" t="str">
        <f aca="false">IF(S1620&lt;J1620,"SIM","NÃO")</f>
        <v>NÃO</v>
      </c>
      <c r="W1620" s="2" t="n">
        <v>7</v>
      </c>
      <c r="X1620" s="2" t="s">
        <v>156</v>
      </c>
    </row>
    <row r="1621" customFormat="false" ht="15" hidden="false" customHeight="false" outlineLevel="0" collapsed="false">
      <c r="A1621" s="2" t="n">
        <v>389782716</v>
      </c>
      <c r="B1621" s="29" t="n">
        <v>46271.9387962963</v>
      </c>
      <c r="C1621" s="2" t="s">
        <v>153</v>
      </c>
      <c r="D1621" s="2" t="s">
        <v>1697</v>
      </c>
      <c r="E1621" s="2" t="s">
        <v>79</v>
      </c>
      <c r="F1621" s="2" t="s">
        <v>110</v>
      </c>
      <c r="G1621" s="30" t="n">
        <v>66.8</v>
      </c>
      <c r="H1621" s="11" t="n">
        <v>666.29</v>
      </c>
      <c r="I1621" s="11" t="s">
        <v>155</v>
      </c>
      <c r="J1621" s="11" t="n">
        <v>139.62</v>
      </c>
      <c r="K1621" s="11" t="n">
        <v>149.5</v>
      </c>
      <c r="L1621" s="11" t="n">
        <v>0.6663</v>
      </c>
      <c r="M1621" s="11" t="n">
        <v>1.3326</v>
      </c>
      <c r="N1621" s="11" t="n">
        <v>1</v>
      </c>
      <c r="O1621" s="11" t="n">
        <v>4.5</v>
      </c>
      <c r="P1621" s="11" t="n">
        <v>4.02</v>
      </c>
      <c r="Q1621" s="11" t="n">
        <v>30.15</v>
      </c>
      <c r="R1621" s="11" t="n">
        <f aca="false">SUM(K1621:Q1621)</f>
        <v>191.1689</v>
      </c>
      <c r="S1621" s="11" t="n">
        <f aca="false">R1621/(1-Resumo!$C$6)</f>
        <v>217.237386363636</v>
      </c>
      <c r="T1621" s="11" t="n">
        <f aca="false">S1621-J1621</f>
        <v>77.6173863636364</v>
      </c>
      <c r="U1621" s="12" t="n">
        <f aca="false">IFERROR(S1621/J1621-1,0)</f>
        <v>0.555918825122736</v>
      </c>
      <c r="V1621" s="2" t="str">
        <f aca="false">IF(S1621&lt;J1621,"SIM","NÃO")</f>
        <v>NÃO</v>
      </c>
      <c r="W1621" s="2" t="n">
        <v>7</v>
      </c>
      <c r="X1621" s="2" t="s">
        <v>156</v>
      </c>
    </row>
    <row r="1622" customFormat="false" ht="15" hidden="false" customHeight="false" outlineLevel="0" collapsed="false">
      <c r="A1622" s="2" t="n">
        <v>389816000</v>
      </c>
      <c r="B1622" s="29" t="n">
        <v>46272.004537037</v>
      </c>
      <c r="C1622" s="2" t="s">
        <v>153</v>
      </c>
      <c r="D1622" s="2" t="s">
        <v>1698</v>
      </c>
      <c r="E1622" s="2" t="s">
        <v>84</v>
      </c>
      <c r="F1622" s="2" t="s">
        <v>107</v>
      </c>
      <c r="G1622" s="30" t="n">
        <v>35.4</v>
      </c>
      <c r="H1622" s="11" t="n">
        <v>499.99</v>
      </c>
      <c r="I1622" s="11" t="s">
        <v>155</v>
      </c>
      <c r="J1622" s="11" t="n">
        <v>113.35</v>
      </c>
      <c r="K1622" s="11" t="n">
        <v>93.97</v>
      </c>
      <c r="L1622" s="11" t="n">
        <v>0.5</v>
      </c>
      <c r="M1622" s="11" t="n">
        <v>1</v>
      </c>
      <c r="N1622" s="11" t="n">
        <v>1</v>
      </c>
      <c r="O1622" s="11" t="n">
        <v>4.5</v>
      </c>
      <c r="P1622" s="11" t="n">
        <v>2.16</v>
      </c>
      <c r="Q1622" s="11" t="n">
        <v>16.2</v>
      </c>
      <c r="R1622" s="11" t="n">
        <f aca="false">SUM(K1622:Q1622)</f>
        <v>119.33</v>
      </c>
      <c r="S1622" s="11" t="n">
        <f aca="false">R1622/(1-Resumo!$C$6)</f>
        <v>135.602272727273</v>
      </c>
      <c r="T1622" s="11" t="n">
        <f aca="false">S1622-J1622</f>
        <v>22.2522727272727</v>
      </c>
      <c r="U1622" s="12" t="n">
        <f aca="false">IFERROR(S1622/J1622-1,0)</f>
        <v>0.196314713076954</v>
      </c>
      <c r="V1622" s="2" t="str">
        <f aca="false">IF(S1622&lt;J1622,"SIM","NÃO")</f>
        <v>NÃO</v>
      </c>
      <c r="W1622" s="2" t="n">
        <v>5</v>
      </c>
      <c r="X1622" s="2" t="s">
        <v>156</v>
      </c>
    </row>
    <row r="1623" customFormat="false" ht="15" hidden="false" customHeight="false" outlineLevel="0" collapsed="false">
      <c r="A1623" s="2" t="n">
        <v>389935390</v>
      </c>
      <c r="B1623" s="29" t="n">
        <v>46272.3095949074</v>
      </c>
      <c r="C1623" s="2" t="s">
        <v>153</v>
      </c>
      <c r="D1623" s="2" t="s">
        <v>1699</v>
      </c>
      <c r="E1623" s="2" t="s">
        <v>79</v>
      </c>
      <c r="F1623" s="2" t="s">
        <v>110</v>
      </c>
      <c r="G1623" s="30" t="n">
        <v>68.7</v>
      </c>
      <c r="H1623" s="11" t="n">
        <v>749.99</v>
      </c>
      <c r="I1623" s="11" t="s">
        <v>155</v>
      </c>
      <c r="J1623" s="11" t="n">
        <v>140.02</v>
      </c>
      <c r="K1623" s="11" t="n">
        <v>149.5</v>
      </c>
      <c r="L1623" s="11" t="n">
        <v>0.75</v>
      </c>
      <c r="M1623" s="11" t="n">
        <v>1.5</v>
      </c>
      <c r="N1623" s="11" t="n">
        <v>1</v>
      </c>
      <c r="O1623" s="11" t="n">
        <v>4.5</v>
      </c>
      <c r="P1623" s="11" t="n">
        <v>4.14</v>
      </c>
      <c r="Q1623" s="11" t="n">
        <v>31.05</v>
      </c>
      <c r="R1623" s="11" t="n">
        <f aca="false">SUM(K1623:Q1623)</f>
        <v>192.44</v>
      </c>
      <c r="S1623" s="11" t="n">
        <f aca="false">R1623/(1-Resumo!$C$6)</f>
        <v>218.681818181818</v>
      </c>
      <c r="T1623" s="11" t="n">
        <f aca="false">S1623-J1623</f>
        <v>78.6618181818182</v>
      </c>
      <c r="U1623" s="12" t="n">
        <f aca="false">IFERROR(S1623/J1623-1,0)</f>
        <v>0.561789874173819</v>
      </c>
      <c r="V1623" s="2" t="str">
        <f aca="false">IF(S1623&lt;J1623,"SIM","NÃO")</f>
        <v>NÃO</v>
      </c>
      <c r="W1623" s="2" t="n">
        <v>7</v>
      </c>
      <c r="X1623" s="2" t="s">
        <v>156</v>
      </c>
    </row>
    <row r="1624" customFormat="false" ht="15" hidden="false" customHeight="false" outlineLevel="0" collapsed="false">
      <c r="A1624" s="2" t="n">
        <v>389971771</v>
      </c>
      <c r="B1624" s="29" t="n">
        <v>46272.3848032407</v>
      </c>
      <c r="C1624" s="2" t="s">
        <v>153</v>
      </c>
      <c r="D1624" s="2" t="s">
        <v>1381</v>
      </c>
      <c r="E1624" s="2" t="s">
        <v>94</v>
      </c>
      <c r="F1624" s="2" t="s">
        <v>107</v>
      </c>
      <c r="G1624" s="30" t="n">
        <v>40</v>
      </c>
      <c r="H1624" s="11" t="n">
        <v>599.99</v>
      </c>
      <c r="I1624" s="11" t="s">
        <v>155</v>
      </c>
      <c r="J1624" s="11" t="n">
        <v>113.83</v>
      </c>
      <c r="K1624" s="11" t="n">
        <v>93.97</v>
      </c>
      <c r="L1624" s="11" t="n">
        <v>0.6</v>
      </c>
      <c r="M1624" s="11" t="n">
        <v>1.2</v>
      </c>
      <c r="N1624" s="11" t="n">
        <v>1</v>
      </c>
      <c r="O1624" s="11" t="n">
        <v>4.5</v>
      </c>
      <c r="P1624" s="11" t="n">
        <v>2.4</v>
      </c>
      <c r="Q1624" s="11" t="n">
        <v>18</v>
      </c>
      <c r="R1624" s="11" t="n">
        <f aca="false">SUM(K1624:Q1624)</f>
        <v>121.67</v>
      </c>
      <c r="S1624" s="11" t="n">
        <f aca="false">R1624/(1-Resumo!$C$6)</f>
        <v>138.261363636364</v>
      </c>
      <c r="T1624" s="11" t="n">
        <f aca="false">S1624-J1624</f>
        <v>24.4313636363636</v>
      </c>
      <c r="U1624" s="12" t="n">
        <f aca="false">IFERROR(S1624/J1624-1,0)</f>
        <v>0.214630270019886</v>
      </c>
      <c r="V1624" s="2" t="str">
        <f aca="false">IF(S1624&lt;J1624,"SIM","NÃO")</f>
        <v>NÃO</v>
      </c>
      <c r="W1624" s="2" t="n">
        <v>5</v>
      </c>
      <c r="X1624" s="2" t="s">
        <v>156</v>
      </c>
    </row>
    <row r="1625" customFormat="false" ht="15" hidden="false" customHeight="false" outlineLevel="0" collapsed="false">
      <c r="A1625" s="2" t="n">
        <v>389987423</v>
      </c>
      <c r="B1625" s="29" t="n">
        <v>46272.4100694444</v>
      </c>
      <c r="C1625" s="2" t="s">
        <v>153</v>
      </c>
      <c r="D1625" s="2" t="s">
        <v>1700</v>
      </c>
      <c r="E1625" s="2" t="s">
        <v>85</v>
      </c>
      <c r="F1625" s="2" t="s">
        <v>106</v>
      </c>
      <c r="G1625" s="30" t="n">
        <v>24.8</v>
      </c>
      <c r="H1625" s="11" t="n">
        <v>299.99</v>
      </c>
      <c r="I1625" s="11" t="s">
        <v>155</v>
      </c>
      <c r="J1625" s="11" t="n">
        <v>108.61</v>
      </c>
      <c r="K1625" s="11" t="n">
        <v>138.29</v>
      </c>
      <c r="L1625" s="11" t="n">
        <v>0.3</v>
      </c>
      <c r="M1625" s="11" t="n">
        <v>0.6</v>
      </c>
      <c r="N1625" s="11" t="n">
        <v>1</v>
      </c>
      <c r="O1625" s="11" t="n">
        <v>4.5</v>
      </c>
      <c r="P1625" s="11" t="n">
        <v>1.5</v>
      </c>
      <c r="Q1625" s="11" t="n">
        <v>11.25</v>
      </c>
      <c r="R1625" s="11" t="n">
        <f aca="false">SUM(K1625:Q1625)</f>
        <v>157.44</v>
      </c>
      <c r="S1625" s="11" t="n">
        <f aca="false">R1625/(1-Resumo!$C$6)</f>
        <v>178.909090909091</v>
      </c>
      <c r="T1625" s="11" t="n">
        <f aca="false">S1625-J1625</f>
        <v>70.2990909090909</v>
      </c>
      <c r="U1625" s="12" t="n">
        <f aca="false">IFERROR(S1625/J1625-1,0)</f>
        <v>0.647261678566347</v>
      </c>
      <c r="V1625" s="2" t="str">
        <f aca="false">IF(S1625&lt;J1625,"SIM","NÃO")</f>
        <v>NÃO</v>
      </c>
      <c r="W1625" s="2" t="n">
        <v>11</v>
      </c>
      <c r="X1625" s="2" t="s">
        <v>156</v>
      </c>
    </row>
    <row r="1626" customFormat="false" ht="15" hidden="false" customHeight="false" outlineLevel="0" collapsed="false">
      <c r="A1626" s="2" t="n">
        <v>390001961</v>
      </c>
      <c r="B1626" s="29" t="n">
        <v>46272.432037037</v>
      </c>
      <c r="C1626" s="2" t="s">
        <v>153</v>
      </c>
      <c r="D1626" s="2" t="s">
        <v>1701</v>
      </c>
      <c r="E1626" s="2" t="s">
        <v>80</v>
      </c>
      <c r="F1626" s="2" t="s">
        <v>108</v>
      </c>
      <c r="G1626" s="30" t="n">
        <v>48.3</v>
      </c>
      <c r="H1626" s="11" t="n">
        <v>459.69</v>
      </c>
      <c r="I1626" s="11" t="s">
        <v>155</v>
      </c>
      <c r="J1626" s="11" t="n">
        <v>116.27</v>
      </c>
      <c r="K1626" s="11" t="n">
        <v>93.97</v>
      </c>
      <c r="L1626" s="11" t="n">
        <v>0.4597</v>
      </c>
      <c r="M1626" s="11" t="n">
        <v>0.9194</v>
      </c>
      <c r="N1626" s="11" t="n">
        <v>1</v>
      </c>
      <c r="O1626" s="11" t="n">
        <v>4.5</v>
      </c>
      <c r="P1626" s="11" t="n">
        <v>2.94</v>
      </c>
      <c r="Q1626" s="11" t="n">
        <v>22.05</v>
      </c>
      <c r="R1626" s="11" t="n">
        <f aca="false">SUM(K1626:Q1626)</f>
        <v>125.8391</v>
      </c>
      <c r="S1626" s="11" t="n">
        <f aca="false">R1626/(1-Resumo!$C$6)</f>
        <v>142.998977272727</v>
      </c>
      <c r="T1626" s="11" t="n">
        <f aca="false">S1626-J1626</f>
        <v>26.7289772727273</v>
      </c>
      <c r="U1626" s="12" t="n">
        <f aca="false">IFERROR(S1626/J1626-1,0)</f>
        <v>0.229887135742042</v>
      </c>
      <c r="V1626" s="2" t="str">
        <f aca="false">IF(S1626&lt;J1626,"SIM","NÃO")</f>
        <v>NÃO</v>
      </c>
      <c r="W1626" s="2" t="n">
        <v>5</v>
      </c>
      <c r="X1626" s="2" t="s">
        <v>156</v>
      </c>
    </row>
    <row r="1627" customFormat="false" ht="15" hidden="false" customHeight="false" outlineLevel="0" collapsed="false">
      <c r="A1627" s="2" t="n">
        <v>390087497</v>
      </c>
      <c r="B1627" s="29" t="n">
        <v>46272.5534027778</v>
      </c>
      <c r="C1627" s="2" t="s">
        <v>153</v>
      </c>
      <c r="D1627" s="2" t="s">
        <v>1702</v>
      </c>
      <c r="E1627" s="2" t="s">
        <v>239</v>
      </c>
      <c r="F1627" s="2" t="s">
        <v>106</v>
      </c>
      <c r="G1627" s="30" t="n">
        <v>20.9</v>
      </c>
      <c r="H1627" s="11" t="n">
        <v>440.99</v>
      </c>
      <c r="I1627" s="11" t="s">
        <v>155</v>
      </c>
      <c r="J1627" s="11" t="n">
        <v>109.28</v>
      </c>
      <c r="K1627" s="11" t="n">
        <v>120.78</v>
      </c>
      <c r="L1627" s="11" t="n">
        <v>0.441</v>
      </c>
      <c r="M1627" s="11" t="n">
        <v>0.882</v>
      </c>
      <c r="N1627" s="11" t="n">
        <v>1</v>
      </c>
      <c r="O1627" s="11" t="n">
        <v>4.5</v>
      </c>
      <c r="P1627" s="11" t="n">
        <v>1.26</v>
      </c>
      <c r="Q1627" s="11" t="n">
        <v>9.45</v>
      </c>
      <c r="R1627" s="11" t="n">
        <f aca="false">SUM(K1627:Q1627)</f>
        <v>138.313</v>
      </c>
      <c r="S1627" s="11" t="n">
        <f aca="false">R1627/(1-Resumo!$C$6)</f>
        <v>157.173863636364</v>
      </c>
      <c r="T1627" s="11" t="n">
        <f aca="false">S1627-J1627</f>
        <v>47.8938636363636</v>
      </c>
      <c r="U1627" s="12" t="n">
        <f aca="false">IFERROR(S1627/J1627-1,0)</f>
        <v>0.43826741980567</v>
      </c>
      <c r="V1627" s="2" t="str">
        <f aca="false">IF(S1627&lt;J1627,"SIM","NÃO")</f>
        <v>NÃO</v>
      </c>
      <c r="W1627" s="2" t="n">
        <v>10</v>
      </c>
      <c r="X1627" s="2" t="s">
        <v>161</v>
      </c>
    </row>
    <row r="1628" customFormat="false" ht="15" hidden="false" customHeight="false" outlineLevel="0" collapsed="false">
      <c r="A1628" s="2" t="n">
        <v>390130609</v>
      </c>
      <c r="B1628" s="29" t="n">
        <v>46272.6176851852</v>
      </c>
      <c r="C1628" s="2" t="s">
        <v>153</v>
      </c>
      <c r="D1628" s="2" t="s">
        <v>228</v>
      </c>
      <c r="E1628" s="2" t="s">
        <v>78</v>
      </c>
      <c r="F1628" s="2" t="s">
        <v>108</v>
      </c>
      <c r="G1628" s="30" t="n">
        <v>41.6</v>
      </c>
      <c r="H1628" s="11" t="n">
        <v>679.98</v>
      </c>
      <c r="I1628" s="11" t="s">
        <v>155</v>
      </c>
      <c r="J1628" s="11" t="n">
        <v>103.84</v>
      </c>
      <c r="K1628" s="11" t="n">
        <v>93.97</v>
      </c>
      <c r="L1628" s="11" t="n">
        <v>0.68</v>
      </c>
      <c r="M1628" s="11" t="n">
        <v>1.36</v>
      </c>
      <c r="N1628" s="11" t="n">
        <v>1</v>
      </c>
      <c r="O1628" s="11" t="n">
        <v>4.5</v>
      </c>
      <c r="P1628" s="11" t="n">
        <v>2.52</v>
      </c>
      <c r="Q1628" s="11" t="n">
        <v>18.9</v>
      </c>
      <c r="R1628" s="11" t="n">
        <f aca="false">SUM(K1628:Q1628)</f>
        <v>122.93</v>
      </c>
      <c r="S1628" s="11" t="n">
        <f aca="false">R1628/(1-Resumo!$C$6)</f>
        <v>139.693181818182</v>
      </c>
      <c r="T1628" s="11" t="n">
        <f aca="false">S1628-J1628</f>
        <v>35.8531818181818</v>
      </c>
      <c r="U1628" s="12" t="n">
        <f aca="false">IFERROR(S1628/J1628-1,0)</f>
        <v>0.345273322594201</v>
      </c>
      <c r="V1628" s="2" t="str">
        <f aca="false">IF(S1628&lt;J1628,"SIM","NÃO")</f>
        <v>NÃO</v>
      </c>
      <c r="W1628" s="2" t="n">
        <v>5</v>
      </c>
      <c r="X1628" s="2" t="s">
        <v>156</v>
      </c>
    </row>
    <row r="1629" customFormat="false" ht="15" hidden="false" customHeight="false" outlineLevel="0" collapsed="false">
      <c r="A1629" s="2" t="n">
        <v>390166163</v>
      </c>
      <c r="B1629" s="29" t="n">
        <v>46272.6717013889</v>
      </c>
      <c r="C1629" s="2" t="s">
        <v>153</v>
      </c>
      <c r="D1629" s="2" t="s">
        <v>1703</v>
      </c>
      <c r="E1629" s="2" t="s">
        <v>78</v>
      </c>
      <c r="F1629" s="2" t="s">
        <v>107</v>
      </c>
      <c r="G1629" s="30" t="n">
        <v>37.6</v>
      </c>
      <c r="H1629" s="11" t="n">
        <v>378.18</v>
      </c>
      <c r="I1629" s="11" t="s">
        <v>155</v>
      </c>
      <c r="J1629" s="11" t="n">
        <v>91.68</v>
      </c>
      <c r="K1629" s="11" t="n">
        <v>93.97</v>
      </c>
      <c r="L1629" s="11" t="n">
        <v>0.3782</v>
      </c>
      <c r="M1629" s="11" t="n">
        <v>0.7564</v>
      </c>
      <c r="N1629" s="11" t="n">
        <v>1</v>
      </c>
      <c r="O1629" s="11" t="n">
        <v>4.5</v>
      </c>
      <c r="P1629" s="11" t="n">
        <v>2.28</v>
      </c>
      <c r="Q1629" s="11" t="n">
        <v>17.1</v>
      </c>
      <c r="R1629" s="11" t="n">
        <f aca="false">SUM(K1629:Q1629)</f>
        <v>119.9846</v>
      </c>
      <c r="S1629" s="11" t="n">
        <f aca="false">R1629/(1-Resumo!$C$6)</f>
        <v>136.346136363636</v>
      </c>
      <c r="T1629" s="11" t="n">
        <f aca="false">S1629-J1629</f>
        <v>44.6661363636364</v>
      </c>
      <c r="U1629" s="12" t="n">
        <f aca="false">IFERROR(S1629/J1629-1,0)</f>
        <v>0.487196077264794</v>
      </c>
      <c r="V1629" s="2" t="str">
        <f aca="false">IF(S1629&lt;J1629,"SIM","NÃO")</f>
        <v>NÃO</v>
      </c>
      <c r="W1629" s="2" t="n">
        <v>5</v>
      </c>
      <c r="X1629" s="2" t="s">
        <v>156</v>
      </c>
    </row>
    <row r="1630" customFormat="false" ht="15" hidden="false" customHeight="false" outlineLevel="0" collapsed="false">
      <c r="A1630" s="2" t="n">
        <v>390186429</v>
      </c>
      <c r="B1630" s="29" t="n">
        <v>46272.7024768519</v>
      </c>
      <c r="C1630" s="2" t="s">
        <v>153</v>
      </c>
      <c r="D1630" s="2" t="s">
        <v>1704</v>
      </c>
      <c r="E1630" s="2" t="s">
        <v>78</v>
      </c>
      <c r="F1630" s="2" t="s">
        <v>107</v>
      </c>
      <c r="G1630" s="30" t="n">
        <v>36.8</v>
      </c>
      <c r="H1630" s="11" t="n">
        <v>464.95</v>
      </c>
      <c r="I1630" s="11" t="s">
        <v>155</v>
      </c>
      <c r="J1630" s="11" t="n">
        <v>92.08</v>
      </c>
      <c r="K1630" s="11" t="n">
        <v>93.97</v>
      </c>
      <c r="L1630" s="11" t="n">
        <v>0.465</v>
      </c>
      <c r="M1630" s="11" t="n">
        <v>0.9299</v>
      </c>
      <c r="N1630" s="11" t="n">
        <v>1</v>
      </c>
      <c r="O1630" s="11" t="n">
        <v>4.5</v>
      </c>
      <c r="P1630" s="11" t="n">
        <v>2.22</v>
      </c>
      <c r="Q1630" s="11" t="n">
        <v>16.65</v>
      </c>
      <c r="R1630" s="11" t="n">
        <f aca="false">SUM(K1630:Q1630)</f>
        <v>119.7349</v>
      </c>
      <c r="S1630" s="11" t="n">
        <f aca="false">R1630/(1-Resumo!$C$6)</f>
        <v>136.062386363636</v>
      </c>
      <c r="T1630" s="11" t="n">
        <f aca="false">S1630-J1630</f>
        <v>43.9823863636364</v>
      </c>
      <c r="U1630" s="12" t="n">
        <f aca="false">IFERROR(S1630/J1630-1,0)</f>
        <v>0.477654065634626</v>
      </c>
      <c r="V1630" s="2" t="str">
        <f aca="false">IF(S1630&lt;J1630,"SIM","NÃO")</f>
        <v>NÃO</v>
      </c>
      <c r="W1630" s="2" t="n">
        <v>5</v>
      </c>
      <c r="X1630" s="2" t="s">
        <v>156</v>
      </c>
    </row>
    <row r="1631" customFormat="false" ht="15" hidden="false" customHeight="false" outlineLevel="0" collapsed="false">
      <c r="A1631" s="2" t="n">
        <v>390206014</v>
      </c>
      <c r="B1631" s="29" t="n">
        <v>46272.7301273148</v>
      </c>
      <c r="C1631" s="2" t="s">
        <v>158</v>
      </c>
      <c r="D1631" s="2" t="s">
        <v>1528</v>
      </c>
      <c r="E1631" s="2" t="s">
        <v>89</v>
      </c>
      <c r="F1631" s="2" t="s">
        <v>110</v>
      </c>
      <c r="G1631" s="30" t="n">
        <v>66.8</v>
      </c>
      <c r="H1631" s="11" t="n">
        <v>651</v>
      </c>
      <c r="I1631" s="11" t="s">
        <v>155</v>
      </c>
      <c r="J1631" s="11" t="n">
        <v>155.14</v>
      </c>
      <c r="K1631" s="11" t="n">
        <v>166.05</v>
      </c>
      <c r="L1631" s="11" t="n">
        <v>0.651</v>
      </c>
      <c r="M1631" s="11" t="n">
        <v>1.302</v>
      </c>
      <c r="N1631" s="11" t="n">
        <v>1</v>
      </c>
      <c r="O1631" s="11" t="n">
        <v>4.5</v>
      </c>
      <c r="P1631" s="11" t="n">
        <v>4.02</v>
      </c>
      <c r="Q1631" s="11" t="n">
        <v>30.15</v>
      </c>
      <c r="R1631" s="11" t="n">
        <f aca="false">SUM(K1631:Q1631)</f>
        <v>207.673</v>
      </c>
      <c r="S1631" s="11" t="n">
        <f aca="false">R1631/(1-Resumo!$C$6)</f>
        <v>235.992045454546</v>
      </c>
      <c r="T1631" s="11" t="n">
        <f aca="false">S1631-J1631</f>
        <v>80.8520454545455</v>
      </c>
      <c r="U1631" s="12" t="n">
        <f aca="false">IFERROR(S1631/J1631-1,0)</f>
        <v>0.521155378719515</v>
      </c>
      <c r="V1631" s="2" t="str">
        <f aca="false">IF(S1631&lt;J1631,"SIM","NÃO")</f>
        <v>NÃO</v>
      </c>
      <c r="W1631" s="2" t="n">
        <v>8</v>
      </c>
      <c r="X1631" s="2" t="s">
        <v>156</v>
      </c>
    </row>
    <row r="1632" customFormat="false" ht="15" hidden="false" customHeight="false" outlineLevel="0" collapsed="false">
      <c r="A1632" s="2" t="n">
        <v>390252699</v>
      </c>
      <c r="B1632" s="29" t="n">
        <v>46272.7945023148</v>
      </c>
      <c r="C1632" s="2" t="s">
        <v>158</v>
      </c>
      <c r="D1632" s="2" t="s">
        <v>1705</v>
      </c>
      <c r="E1632" s="2" t="s">
        <v>78</v>
      </c>
      <c r="F1632" s="2" t="s">
        <v>110</v>
      </c>
      <c r="G1632" s="30" t="n">
        <v>66.8</v>
      </c>
      <c r="H1632" s="11" t="n">
        <v>699.99</v>
      </c>
      <c r="I1632" s="11" t="s">
        <v>155</v>
      </c>
      <c r="J1632" s="11" t="n">
        <v>124.56</v>
      </c>
      <c r="K1632" s="11" t="n">
        <v>131.02</v>
      </c>
      <c r="L1632" s="11" t="n">
        <v>0.7</v>
      </c>
      <c r="M1632" s="11" t="n">
        <v>1.4</v>
      </c>
      <c r="N1632" s="11" t="n">
        <v>1</v>
      </c>
      <c r="O1632" s="11" t="n">
        <v>4.5</v>
      </c>
      <c r="P1632" s="11" t="n">
        <v>4.02</v>
      </c>
      <c r="Q1632" s="11" t="n">
        <v>30.15</v>
      </c>
      <c r="R1632" s="11" t="n">
        <f aca="false">SUM(K1632:Q1632)</f>
        <v>172.79</v>
      </c>
      <c r="S1632" s="11" t="n">
        <f aca="false">R1632/(1-Resumo!$C$6)</f>
        <v>196.352272727273</v>
      </c>
      <c r="T1632" s="11" t="n">
        <f aca="false">S1632-J1632</f>
        <v>71.7922727272728</v>
      </c>
      <c r="U1632" s="12" t="n">
        <f aca="false">IFERROR(S1632/J1632-1,0)</f>
        <v>0.57636699363578</v>
      </c>
      <c r="V1632" s="2" t="str">
        <f aca="false">IF(S1632&lt;J1632,"SIM","NÃO")</f>
        <v>NÃO</v>
      </c>
      <c r="W1632" s="2" t="n">
        <v>5</v>
      </c>
      <c r="X1632" s="2" t="s">
        <v>156</v>
      </c>
    </row>
    <row r="1633" customFormat="false" ht="15" hidden="false" customHeight="false" outlineLevel="0" collapsed="false">
      <c r="A1633" s="2" t="n">
        <v>390284917</v>
      </c>
      <c r="B1633" s="29" t="n">
        <v>46272.8297453704</v>
      </c>
      <c r="C1633" s="2" t="s">
        <v>158</v>
      </c>
      <c r="D1633" s="2" t="s">
        <v>1706</v>
      </c>
      <c r="E1633" s="2" t="s">
        <v>78</v>
      </c>
      <c r="F1633" s="2" t="s">
        <v>106</v>
      </c>
      <c r="G1633" s="30" t="n">
        <v>20.9</v>
      </c>
      <c r="H1633" s="11" t="n">
        <v>470.09</v>
      </c>
      <c r="I1633" s="11" t="s">
        <v>155</v>
      </c>
      <c r="J1633" s="11" t="n">
        <v>82.58</v>
      </c>
      <c r="K1633" s="11" t="n">
        <v>82.21</v>
      </c>
      <c r="L1633" s="11" t="n">
        <v>0.4701</v>
      </c>
      <c r="M1633" s="11" t="n">
        <v>0.9402</v>
      </c>
      <c r="N1633" s="11" t="n">
        <v>1</v>
      </c>
      <c r="O1633" s="11" t="n">
        <v>4.5</v>
      </c>
      <c r="P1633" s="11" t="n">
        <v>1.26</v>
      </c>
      <c r="Q1633" s="11" t="n">
        <v>9.45</v>
      </c>
      <c r="R1633" s="11" t="n">
        <f aca="false">SUM(K1633:Q1633)</f>
        <v>99.8303</v>
      </c>
      <c r="S1633" s="11" t="n">
        <f aca="false">R1633/(1-Resumo!$C$6)</f>
        <v>113.443522727273</v>
      </c>
      <c r="T1633" s="11" t="n">
        <f aca="false">S1633-J1633</f>
        <v>30.8635227272727</v>
      </c>
      <c r="U1633" s="12" t="n">
        <f aca="false">IFERROR(S1633/J1633-1,0)</f>
        <v>0.373740890376274</v>
      </c>
      <c r="V1633" s="2" t="str">
        <f aca="false">IF(S1633&lt;J1633,"SIM","NÃO")</f>
        <v>NÃO</v>
      </c>
      <c r="W1633" s="2" t="n">
        <v>5</v>
      </c>
      <c r="X1633" s="2" t="s">
        <v>156</v>
      </c>
    </row>
    <row r="1634" customFormat="false" ht="15" hidden="false" customHeight="false" outlineLevel="0" collapsed="false">
      <c r="A1634" s="2" t="n">
        <v>390606214</v>
      </c>
      <c r="B1634" s="29" t="n">
        <v>46273.4055324074</v>
      </c>
      <c r="C1634" s="2" t="s">
        <v>191</v>
      </c>
      <c r="D1634" s="2" t="s">
        <v>1707</v>
      </c>
      <c r="E1634" s="2" t="s">
        <v>88</v>
      </c>
      <c r="F1634" s="2" t="s">
        <v>107</v>
      </c>
      <c r="G1634" s="30" t="n">
        <v>40</v>
      </c>
      <c r="H1634" s="11" t="n">
        <v>495.99</v>
      </c>
      <c r="I1634" s="11" t="s">
        <v>155</v>
      </c>
      <c r="J1634" s="11" t="n">
        <v>122.63</v>
      </c>
      <c r="K1634" s="11" t="n">
        <v>124.38</v>
      </c>
      <c r="L1634" s="11" t="n">
        <v>0.496</v>
      </c>
      <c r="M1634" s="11" t="n">
        <v>0.992</v>
      </c>
      <c r="N1634" s="11" t="n">
        <v>1</v>
      </c>
      <c r="O1634" s="11" t="n">
        <v>4.5</v>
      </c>
      <c r="P1634" s="11" t="n">
        <v>2.4</v>
      </c>
      <c r="Q1634" s="11" t="n">
        <v>18</v>
      </c>
      <c r="R1634" s="11" t="n">
        <f aca="false">SUM(K1634:Q1634)</f>
        <v>151.768</v>
      </c>
      <c r="S1634" s="11" t="n">
        <f aca="false">R1634/(1-Resumo!$C$6)</f>
        <v>172.463636363636</v>
      </c>
      <c r="T1634" s="11" t="n">
        <f aca="false">S1634-J1634</f>
        <v>49.8336363636364</v>
      </c>
      <c r="U1634" s="12" t="n">
        <f aca="false">IFERROR(S1634/J1634-1,0)</f>
        <v>0.406373940827174</v>
      </c>
      <c r="V1634" s="2" t="str">
        <f aca="false">IF(S1634&lt;J1634,"SIM","NÃO")</f>
        <v>NÃO</v>
      </c>
      <c r="W1634" s="2" t="n">
        <v>10</v>
      </c>
      <c r="X1634" s="2" t="s">
        <v>156</v>
      </c>
    </row>
    <row r="1635" customFormat="false" ht="15" hidden="false" customHeight="false" outlineLevel="0" collapsed="false">
      <c r="A1635" s="2" t="n">
        <v>390689385</v>
      </c>
      <c r="B1635" s="29" t="n">
        <v>46273.4819560185</v>
      </c>
      <c r="C1635" s="2" t="s">
        <v>153</v>
      </c>
      <c r="D1635" s="2" t="s">
        <v>1708</v>
      </c>
      <c r="E1635" s="2" t="s">
        <v>78</v>
      </c>
      <c r="F1635" s="2" t="s">
        <v>106</v>
      </c>
      <c r="G1635" s="30" t="n">
        <v>24.4</v>
      </c>
      <c r="H1635" s="11" t="n">
        <v>301.43</v>
      </c>
      <c r="I1635" s="11" t="s">
        <v>155</v>
      </c>
      <c r="J1635" s="11" t="n">
        <v>81.76</v>
      </c>
      <c r="K1635" s="11" t="n">
        <v>82.21</v>
      </c>
      <c r="L1635" s="11" t="n">
        <v>0.3014</v>
      </c>
      <c r="M1635" s="11" t="n">
        <v>0.6029</v>
      </c>
      <c r="N1635" s="11" t="n">
        <v>1</v>
      </c>
      <c r="O1635" s="11" t="n">
        <v>4.5</v>
      </c>
      <c r="P1635" s="11" t="n">
        <v>1.5</v>
      </c>
      <c r="Q1635" s="11" t="n">
        <v>11.25</v>
      </c>
      <c r="R1635" s="11" t="n">
        <f aca="false">SUM(K1635:Q1635)</f>
        <v>101.3643</v>
      </c>
      <c r="S1635" s="11" t="n">
        <f aca="false">R1635/(1-Resumo!$C$6)</f>
        <v>115.186704545455</v>
      </c>
      <c r="T1635" s="11" t="n">
        <f aca="false">S1635-J1635</f>
        <v>33.4267045454545</v>
      </c>
      <c r="U1635" s="12" t="n">
        <f aca="false">IFERROR(S1635/J1635-1,0)</f>
        <v>0.408839341309375</v>
      </c>
      <c r="V1635" s="2" t="str">
        <f aca="false">IF(S1635&lt;J1635,"SIM","NÃO")</f>
        <v>NÃO</v>
      </c>
      <c r="W1635" s="2" t="n">
        <v>5</v>
      </c>
      <c r="X1635" s="2" t="s">
        <v>156</v>
      </c>
    </row>
    <row r="1636" customFormat="false" ht="15" hidden="false" customHeight="false" outlineLevel="0" collapsed="false">
      <c r="A1636" s="2" t="n">
        <v>390702280</v>
      </c>
      <c r="B1636" s="29" t="n">
        <v>46273.5085532407</v>
      </c>
      <c r="C1636" s="2" t="s">
        <v>158</v>
      </c>
      <c r="D1636" s="2" t="s">
        <v>1101</v>
      </c>
      <c r="E1636" s="2" t="s">
        <v>78</v>
      </c>
      <c r="F1636" s="2" t="s">
        <v>110</v>
      </c>
      <c r="G1636" s="30" t="n">
        <v>68.1</v>
      </c>
      <c r="H1636" s="11" t="n">
        <v>898</v>
      </c>
      <c r="I1636" s="11" t="s">
        <v>155</v>
      </c>
      <c r="J1636" s="11" t="n">
        <v>125.52</v>
      </c>
      <c r="K1636" s="11" t="n">
        <v>131.02</v>
      </c>
      <c r="L1636" s="11" t="n">
        <v>0.898</v>
      </c>
      <c r="M1636" s="11" t="n">
        <v>1.796</v>
      </c>
      <c r="N1636" s="11" t="n">
        <v>1</v>
      </c>
      <c r="O1636" s="11" t="n">
        <v>4.5</v>
      </c>
      <c r="P1636" s="11" t="n">
        <v>4.14</v>
      </c>
      <c r="Q1636" s="11" t="n">
        <v>31.05</v>
      </c>
      <c r="R1636" s="11" t="n">
        <f aca="false">SUM(K1636:Q1636)</f>
        <v>174.404</v>
      </c>
      <c r="S1636" s="11" t="n">
        <f aca="false">R1636/(1-Resumo!$C$6)</f>
        <v>198.186363636364</v>
      </c>
      <c r="T1636" s="11" t="n">
        <f aca="false">S1636-J1636</f>
        <v>72.6663636363637</v>
      </c>
      <c r="U1636" s="12" t="n">
        <f aca="false">IFERROR(S1636/J1636-1,0)</f>
        <v>0.578922591111884</v>
      </c>
      <c r="V1636" s="2" t="str">
        <f aca="false">IF(S1636&lt;J1636,"SIM","NÃO")</f>
        <v>NÃO</v>
      </c>
      <c r="W1636" s="2" t="n">
        <v>5</v>
      </c>
      <c r="X1636" s="2" t="s">
        <v>156</v>
      </c>
    </row>
    <row r="1637" customFormat="false" ht="15" hidden="false" customHeight="false" outlineLevel="0" collapsed="false">
      <c r="A1637" s="2" t="n">
        <v>390765534</v>
      </c>
      <c r="B1637" s="29" t="n">
        <v>46273.5942592593</v>
      </c>
      <c r="C1637" s="2" t="s">
        <v>158</v>
      </c>
      <c r="D1637" s="2" t="s">
        <v>1709</v>
      </c>
      <c r="E1637" s="2" t="s">
        <v>78</v>
      </c>
      <c r="F1637" s="2" t="s">
        <v>106</v>
      </c>
      <c r="G1637" s="30" t="n">
        <v>27.4</v>
      </c>
      <c r="H1637" s="11" t="n">
        <v>307.67</v>
      </c>
      <c r="I1637" s="11" t="s">
        <v>155</v>
      </c>
      <c r="J1637" s="11" t="n">
        <v>81.81</v>
      </c>
      <c r="K1637" s="11" t="n">
        <v>82.21</v>
      </c>
      <c r="L1637" s="11" t="n">
        <v>0.3077</v>
      </c>
      <c r="M1637" s="11" t="n">
        <v>0.6153</v>
      </c>
      <c r="N1637" s="11" t="n">
        <v>1</v>
      </c>
      <c r="O1637" s="11" t="n">
        <v>4.5</v>
      </c>
      <c r="P1637" s="11" t="n">
        <v>1.68</v>
      </c>
      <c r="Q1637" s="11" t="n">
        <v>12.6</v>
      </c>
      <c r="R1637" s="11" t="n">
        <f aca="false">SUM(K1637:Q1637)</f>
        <v>102.913</v>
      </c>
      <c r="S1637" s="11" t="n">
        <f aca="false">R1637/(1-Resumo!$C$6)</f>
        <v>116.946590909091</v>
      </c>
      <c r="T1637" s="11" t="n">
        <f aca="false">S1637-J1637</f>
        <v>35.1365909090909</v>
      </c>
      <c r="U1637" s="12" t="n">
        <f aca="false">IFERROR(S1637/J1637-1,0)</f>
        <v>0.429490171239346</v>
      </c>
      <c r="V1637" s="2" t="str">
        <f aca="false">IF(S1637&lt;J1637,"SIM","NÃO")</f>
        <v>NÃO</v>
      </c>
      <c r="W1637" s="2" t="n">
        <v>5</v>
      </c>
      <c r="X1637" s="2" t="s">
        <v>156</v>
      </c>
    </row>
    <row r="1638" customFormat="false" ht="15" hidden="false" customHeight="false" outlineLevel="0" collapsed="false">
      <c r="A1638" s="2" t="n">
        <v>390836750</v>
      </c>
      <c r="B1638" s="29" t="n">
        <v>46273.6726967593</v>
      </c>
      <c r="C1638" s="2" t="s">
        <v>158</v>
      </c>
      <c r="D1638" s="2" t="s">
        <v>1710</v>
      </c>
      <c r="E1638" s="2" t="s">
        <v>78</v>
      </c>
      <c r="F1638" s="2" t="s">
        <v>106</v>
      </c>
      <c r="G1638" s="30" t="n">
        <v>31.9</v>
      </c>
      <c r="H1638" s="11" t="n">
        <v>560.99</v>
      </c>
      <c r="I1638" s="11" t="s">
        <v>155</v>
      </c>
      <c r="J1638" s="11" t="n">
        <v>83.01</v>
      </c>
      <c r="K1638" s="11" t="n">
        <v>82.21</v>
      </c>
      <c r="L1638" s="11" t="n">
        <v>0.561</v>
      </c>
      <c r="M1638" s="11" t="n">
        <v>1.122</v>
      </c>
      <c r="N1638" s="11" t="n">
        <v>1</v>
      </c>
      <c r="O1638" s="11" t="n">
        <v>4.5</v>
      </c>
      <c r="P1638" s="11" t="n">
        <v>1.92</v>
      </c>
      <c r="Q1638" s="11" t="n">
        <v>14.4</v>
      </c>
      <c r="R1638" s="11" t="n">
        <f aca="false">SUM(K1638:Q1638)</f>
        <v>105.713</v>
      </c>
      <c r="S1638" s="11" t="n">
        <f aca="false">R1638/(1-Resumo!$C$6)</f>
        <v>120.128409090909</v>
      </c>
      <c r="T1638" s="11" t="n">
        <f aca="false">S1638-J1638</f>
        <v>37.1184090909091</v>
      </c>
      <c r="U1638" s="12" t="n">
        <f aca="false">IFERROR(S1638/J1638-1,0)</f>
        <v>0.44715587388157</v>
      </c>
      <c r="V1638" s="2" t="str">
        <f aca="false">IF(S1638&lt;J1638,"SIM","NÃO")</f>
        <v>NÃO</v>
      </c>
      <c r="W1638" s="2" t="n">
        <v>5</v>
      </c>
      <c r="X1638" s="2" t="s">
        <v>156</v>
      </c>
    </row>
    <row r="1639" customFormat="false" ht="15" hidden="false" customHeight="false" outlineLevel="0" collapsed="false">
      <c r="A1639" s="2" t="n">
        <v>390878415</v>
      </c>
      <c r="B1639" s="29" t="n">
        <v>46273.7184259259</v>
      </c>
      <c r="C1639" s="2" t="s">
        <v>153</v>
      </c>
      <c r="D1639" s="2" t="s">
        <v>1711</v>
      </c>
      <c r="E1639" s="2" t="s">
        <v>82</v>
      </c>
      <c r="F1639" s="2" t="s">
        <v>110</v>
      </c>
      <c r="G1639" s="30" t="n">
        <v>63.9</v>
      </c>
      <c r="H1639" s="11" t="n">
        <v>716.35</v>
      </c>
      <c r="I1639" s="11" t="s">
        <v>155</v>
      </c>
      <c r="J1639" s="11" t="n">
        <v>139.86</v>
      </c>
      <c r="K1639" s="11" t="n">
        <v>149.5</v>
      </c>
      <c r="L1639" s="11" t="n">
        <v>0.7164</v>
      </c>
      <c r="M1639" s="11" t="n">
        <v>1.4327</v>
      </c>
      <c r="N1639" s="11" t="n">
        <v>1</v>
      </c>
      <c r="O1639" s="11" t="n">
        <v>4.5</v>
      </c>
      <c r="P1639" s="11" t="n">
        <v>3.84</v>
      </c>
      <c r="Q1639" s="11" t="n">
        <v>28.8</v>
      </c>
      <c r="R1639" s="11" t="n">
        <f aca="false">SUM(K1639:Q1639)</f>
        <v>189.7891</v>
      </c>
      <c r="S1639" s="11" t="n">
        <f aca="false">R1639/(1-Resumo!$C$6)</f>
        <v>215.669431818182</v>
      </c>
      <c r="T1639" s="11" t="n">
        <f aca="false">S1639-J1639</f>
        <v>75.8094318181818</v>
      </c>
      <c r="U1639" s="12" t="n">
        <f aca="false">IFERROR(S1639/J1639-1,0)</f>
        <v>0.54203797953798</v>
      </c>
      <c r="V1639" s="2" t="str">
        <f aca="false">IF(S1639&lt;J1639,"SIM","NÃO")</f>
        <v>NÃO</v>
      </c>
      <c r="W1639" s="2" t="n">
        <v>7</v>
      </c>
      <c r="X1639" s="2" t="s">
        <v>156</v>
      </c>
    </row>
    <row r="1640" customFormat="false" ht="15" hidden="false" customHeight="false" outlineLevel="0" collapsed="false">
      <c r="A1640" s="2" t="n">
        <v>390968030</v>
      </c>
      <c r="B1640" s="29" t="n">
        <v>46273.8181828704</v>
      </c>
      <c r="C1640" s="2" t="s">
        <v>153</v>
      </c>
      <c r="D1640" s="2" t="s">
        <v>1712</v>
      </c>
      <c r="E1640" s="2" t="s">
        <v>78</v>
      </c>
      <c r="F1640" s="2" t="s">
        <v>108</v>
      </c>
      <c r="G1640" s="30" t="n">
        <v>43.5</v>
      </c>
      <c r="H1640" s="11" t="n">
        <v>749.99</v>
      </c>
      <c r="I1640" s="11" t="s">
        <v>155</v>
      </c>
      <c r="J1640" s="11" t="n">
        <v>104.18</v>
      </c>
      <c r="K1640" s="11" t="n">
        <v>93.97</v>
      </c>
      <c r="L1640" s="11" t="n">
        <v>0.75</v>
      </c>
      <c r="M1640" s="11" t="n">
        <v>1.5</v>
      </c>
      <c r="N1640" s="11" t="n">
        <v>1</v>
      </c>
      <c r="O1640" s="11" t="n">
        <v>4.5</v>
      </c>
      <c r="P1640" s="11" t="n">
        <v>2.64</v>
      </c>
      <c r="Q1640" s="11" t="n">
        <v>19.8</v>
      </c>
      <c r="R1640" s="11" t="n">
        <f aca="false">SUM(K1640:Q1640)</f>
        <v>124.16</v>
      </c>
      <c r="S1640" s="11" t="n">
        <f aca="false">R1640/(1-Resumo!$C$6)</f>
        <v>141.090909090909</v>
      </c>
      <c r="T1640" s="11" t="n">
        <f aca="false">S1640-J1640</f>
        <v>36.9109090909091</v>
      </c>
      <c r="U1640" s="12" t="n">
        <f aca="false">IFERROR(S1640/J1640-1,0)</f>
        <v>0.354299376952477</v>
      </c>
      <c r="V1640" s="2" t="str">
        <f aca="false">IF(S1640&lt;J1640,"SIM","NÃO")</f>
        <v>NÃO</v>
      </c>
      <c r="W1640" s="2" t="n">
        <v>5</v>
      </c>
      <c r="X1640" s="2" t="s">
        <v>156</v>
      </c>
    </row>
    <row r="1641" customFormat="false" ht="15" hidden="false" customHeight="false" outlineLevel="0" collapsed="false">
      <c r="A1641" s="2" t="n">
        <v>390978986</v>
      </c>
      <c r="B1641" s="29" t="n">
        <v>46273.836875</v>
      </c>
      <c r="C1641" s="2" t="s">
        <v>191</v>
      </c>
      <c r="D1641" s="2" t="s">
        <v>1713</v>
      </c>
      <c r="E1641" s="2" t="s">
        <v>664</v>
      </c>
      <c r="F1641" s="2" t="s">
        <v>106</v>
      </c>
      <c r="G1641" s="30" t="n">
        <v>22.4</v>
      </c>
      <c r="H1641" s="11" t="n">
        <v>592.48</v>
      </c>
      <c r="I1641" s="11" t="s">
        <v>155</v>
      </c>
      <c r="J1641" s="11" t="n">
        <v>110.01</v>
      </c>
      <c r="K1641" s="11" t="n">
        <v>114.95</v>
      </c>
      <c r="L1641" s="11" t="n">
        <v>0.5925</v>
      </c>
      <c r="M1641" s="11" t="n">
        <v>1.185</v>
      </c>
      <c r="N1641" s="11" t="n">
        <v>1</v>
      </c>
      <c r="O1641" s="11" t="n">
        <v>4.5</v>
      </c>
      <c r="P1641" s="11" t="n">
        <v>1.38</v>
      </c>
      <c r="Q1641" s="11" t="n">
        <v>10.35</v>
      </c>
      <c r="R1641" s="11" t="n">
        <f aca="false">SUM(K1641:Q1641)</f>
        <v>133.9575</v>
      </c>
      <c r="S1641" s="11" t="n">
        <f aca="false">R1641/(1-Resumo!$C$6)</f>
        <v>152.224431818182</v>
      </c>
      <c r="T1641" s="11" t="n">
        <f aca="false">S1641-J1641</f>
        <v>42.2144318181818</v>
      </c>
      <c r="U1641" s="12" t="n">
        <f aca="false">IFERROR(S1641/J1641-1,0)</f>
        <v>0.383732677194635</v>
      </c>
      <c r="V1641" s="2" t="str">
        <f aca="false">IF(S1641&lt;J1641,"SIM","NÃO")</f>
        <v>NÃO</v>
      </c>
      <c r="W1641" s="2" t="n">
        <v>10</v>
      </c>
      <c r="X1641" s="2" t="s">
        <v>161</v>
      </c>
    </row>
    <row r="1642" customFormat="false" ht="15" hidden="false" customHeight="false" outlineLevel="0" collapsed="false">
      <c r="A1642" s="2" t="n">
        <v>391014865</v>
      </c>
      <c r="B1642" s="29" t="n">
        <v>46273.8774884259</v>
      </c>
      <c r="C1642" s="2" t="s">
        <v>153</v>
      </c>
      <c r="D1642" s="2" t="s">
        <v>1714</v>
      </c>
      <c r="E1642" s="2" t="s">
        <v>96</v>
      </c>
      <c r="F1642" s="2" t="s">
        <v>108</v>
      </c>
      <c r="G1642" s="30" t="n">
        <v>45.3</v>
      </c>
      <c r="H1642" s="11" t="n">
        <v>630.04</v>
      </c>
      <c r="I1642" s="11" t="s">
        <v>155</v>
      </c>
      <c r="J1642" s="11" t="n">
        <v>131.18</v>
      </c>
      <c r="K1642" s="11" t="n">
        <v>135.03</v>
      </c>
      <c r="L1642" s="11" t="n">
        <v>0.63</v>
      </c>
      <c r="M1642" s="11" t="n">
        <v>1.2601</v>
      </c>
      <c r="N1642" s="11" t="n">
        <v>1</v>
      </c>
      <c r="O1642" s="11" t="n">
        <v>4.5</v>
      </c>
      <c r="P1642" s="11" t="n">
        <v>2.76</v>
      </c>
      <c r="Q1642" s="11" t="n">
        <v>20.7</v>
      </c>
      <c r="R1642" s="11" t="n">
        <f aca="false">SUM(K1642:Q1642)</f>
        <v>165.8801</v>
      </c>
      <c r="S1642" s="11" t="n">
        <f aca="false">R1642/(1-Resumo!$C$6)</f>
        <v>188.500113636364</v>
      </c>
      <c r="T1642" s="11" t="n">
        <f aca="false">S1642-J1642</f>
        <v>57.3201136363636</v>
      </c>
      <c r="U1642" s="12" t="n">
        <f aca="false">IFERROR(S1642/J1642-1,0)</f>
        <v>0.436957719441711</v>
      </c>
      <c r="V1642" s="2" t="str">
        <f aca="false">IF(S1642&lt;J1642,"SIM","NÃO")</f>
        <v>NÃO</v>
      </c>
      <c r="W1642" s="2" t="n">
        <v>10</v>
      </c>
      <c r="X1642" s="2" t="s">
        <v>156</v>
      </c>
    </row>
    <row r="1643" customFormat="false" ht="15" hidden="false" customHeight="false" outlineLevel="0" collapsed="false">
      <c r="A1643" s="2" t="n">
        <v>391042779</v>
      </c>
      <c r="B1643" s="29" t="n">
        <v>46273.9085648148</v>
      </c>
      <c r="C1643" s="2" t="s">
        <v>153</v>
      </c>
      <c r="D1643" s="2" t="s">
        <v>524</v>
      </c>
      <c r="E1643" s="2" t="s">
        <v>525</v>
      </c>
      <c r="F1643" s="2" t="s">
        <v>106</v>
      </c>
      <c r="G1643" s="30" t="n">
        <v>27.4</v>
      </c>
      <c r="H1643" s="11" t="n">
        <v>349.99</v>
      </c>
      <c r="I1643" s="11" t="s">
        <v>155</v>
      </c>
      <c r="J1643" s="11" t="n">
        <v>108.85</v>
      </c>
      <c r="K1643" s="11" t="n">
        <v>138.29</v>
      </c>
      <c r="L1643" s="11" t="n">
        <v>0.35</v>
      </c>
      <c r="M1643" s="11" t="n">
        <v>0.7</v>
      </c>
      <c r="N1643" s="11" t="n">
        <v>1</v>
      </c>
      <c r="O1643" s="11" t="n">
        <v>4.5</v>
      </c>
      <c r="P1643" s="11" t="n">
        <v>1.68</v>
      </c>
      <c r="Q1643" s="11" t="n">
        <v>12.6</v>
      </c>
      <c r="R1643" s="11" t="n">
        <f aca="false">SUM(K1643:Q1643)</f>
        <v>159.12</v>
      </c>
      <c r="S1643" s="11" t="n">
        <f aca="false">R1643/(1-Resumo!$C$6)</f>
        <v>180.818181818182</v>
      </c>
      <c r="T1643" s="11" t="n">
        <f aca="false">S1643-J1643</f>
        <v>71.9681818181818</v>
      </c>
      <c r="U1643" s="12" t="n">
        <f aca="false">IFERROR(S1643/J1643-1,0)</f>
        <v>0.661168413579989</v>
      </c>
      <c r="V1643" s="2" t="str">
        <f aca="false">IF(S1643&lt;J1643,"SIM","NÃO")</f>
        <v>NÃO</v>
      </c>
      <c r="W1643" s="2" t="n">
        <v>11</v>
      </c>
      <c r="X1643" s="2" t="s">
        <v>161</v>
      </c>
    </row>
    <row r="1644" customFormat="false" ht="15" hidden="false" customHeight="false" outlineLevel="0" collapsed="false">
      <c r="A1644" s="2" t="n">
        <v>391087531</v>
      </c>
      <c r="B1644" s="29" t="n">
        <v>46273.9715856482</v>
      </c>
      <c r="C1644" s="2" t="s">
        <v>198</v>
      </c>
      <c r="D1644" s="2" t="s">
        <v>1715</v>
      </c>
      <c r="E1644" s="2" t="s">
        <v>78</v>
      </c>
      <c r="F1644" s="2" t="s">
        <v>112</v>
      </c>
      <c r="G1644" s="30" t="n">
        <v>94.9</v>
      </c>
      <c r="H1644" s="11" t="n">
        <v>1399.98</v>
      </c>
      <c r="I1644" s="11" t="s">
        <v>155</v>
      </c>
      <c r="J1644" s="11" t="n">
        <v>165.81</v>
      </c>
      <c r="K1644" s="11" t="n">
        <v>167.99</v>
      </c>
      <c r="L1644" s="11" t="n">
        <v>1.4</v>
      </c>
      <c r="M1644" s="11" t="n">
        <v>2.8</v>
      </c>
      <c r="N1644" s="11" t="n">
        <v>1</v>
      </c>
      <c r="O1644" s="11" t="n">
        <v>4.5</v>
      </c>
      <c r="P1644" s="11" t="n">
        <v>5.7</v>
      </c>
      <c r="Q1644" s="11" t="n">
        <v>42.75</v>
      </c>
      <c r="R1644" s="11" t="n">
        <f aca="false">SUM(K1644:Q1644)</f>
        <v>226.14</v>
      </c>
      <c r="S1644" s="11" t="n">
        <f aca="false">R1644/(1-Resumo!$C$6)</f>
        <v>256.977272727273</v>
      </c>
      <c r="T1644" s="11" t="n">
        <f aca="false">S1644-J1644</f>
        <v>91.1672727272728</v>
      </c>
      <c r="U1644" s="12" t="n">
        <f aca="false">IFERROR(S1644/J1644-1,0)</f>
        <v>0.549829761336908</v>
      </c>
      <c r="V1644" s="2" t="str">
        <f aca="false">IF(S1644&lt;J1644,"SIM","NÃO")</f>
        <v>NÃO</v>
      </c>
      <c r="W1644" s="2" t="n">
        <v>5</v>
      </c>
      <c r="X1644" s="2" t="s">
        <v>156</v>
      </c>
    </row>
    <row r="1645" customFormat="false" ht="15" hidden="false" customHeight="false" outlineLevel="0" collapsed="false">
      <c r="A1645" s="2" t="n">
        <v>391121755</v>
      </c>
      <c r="B1645" s="29" t="n">
        <v>46274.0048842593</v>
      </c>
      <c r="C1645" s="2" t="s">
        <v>153</v>
      </c>
      <c r="D1645" s="2" t="s">
        <v>1716</v>
      </c>
      <c r="E1645" s="2" t="s">
        <v>90</v>
      </c>
      <c r="F1645" s="2" t="s">
        <v>106</v>
      </c>
      <c r="G1645" s="30" t="n">
        <v>29.2</v>
      </c>
      <c r="H1645" s="11" t="n">
        <v>360.99</v>
      </c>
      <c r="I1645" s="11" t="s">
        <v>155</v>
      </c>
      <c r="J1645" s="11" t="n">
        <v>108.91</v>
      </c>
      <c r="K1645" s="11" t="n">
        <v>100.58</v>
      </c>
      <c r="L1645" s="11" t="n">
        <v>0.361</v>
      </c>
      <c r="M1645" s="11" t="n">
        <v>0.722</v>
      </c>
      <c r="N1645" s="11" t="n">
        <v>1</v>
      </c>
      <c r="O1645" s="11" t="n">
        <v>4.5</v>
      </c>
      <c r="P1645" s="11" t="n">
        <v>1.8</v>
      </c>
      <c r="Q1645" s="11" t="n">
        <v>13.5</v>
      </c>
      <c r="R1645" s="11" t="n">
        <f aca="false">SUM(K1645:Q1645)</f>
        <v>122.463</v>
      </c>
      <c r="S1645" s="11" t="n">
        <f aca="false">R1645/(1-Resumo!$C$6)</f>
        <v>139.1625</v>
      </c>
      <c r="T1645" s="11" t="n">
        <f aca="false">S1645-J1645</f>
        <v>30.2525</v>
      </c>
      <c r="U1645" s="12" t="n">
        <f aca="false">IFERROR(S1645/J1645-1,0)</f>
        <v>0.277775227251859</v>
      </c>
      <c r="V1645" s="2" t="str">
        <f aca="false">IF(S1645&lt;J1645,"SIM","NÃO")</f>
        <v>NÃO</v>
      </c>
      <c r="W1645" s="2" t="n">
        <v>7</v>
      </c>
      <c r="X1645" s="2" t="s">
        <v>156</v>
      </c>
    </row>
    <row r="1646" customFormat="false" ht="15" hidden="false" customHeight="false" outlineLevel="0" collapsed="false">
      <c r="A1646" s="2" t="n">
        <v>391243018</v>
      </c>
      <c r="B1646" s="29" t="n">
        <v>46274.2280324074</v>
      </c>
      <c r="C1646" s="2" t="s">
        <v>153</v>
      </c>
      <c r="D1646" s="2" t="s">
        <v>1717</v>
      </c>
      <c r="E1646" s="2" t="s">
        <v>89</v>
      </c>
      <c r="F1646" s="2" t="s">
        <v>106</v>
      </c>
      <c r="G1646" s="30" t="n">
        <v>34.4</v>
      </c>
      <c r="H1646" s="11" t="n">
        <v>499.98</v>
      </c>
      <c r="I1646" s="11" t="s">
        <v>155</v>
      </c>
      <c r="J1646" s="11" t="n">
        <v>109.58</v>
      </c>
      <c r="K1646" s="11" t="n">
        <v>108.83</v>
      </c>
      <c r="L1646" s="11" t="n">
        <v>0.5</v>
      </c>
      <c r="M1646" s="11" t="n">
        <v>1</v>
      </c>
      <c r="N1646" s="11" t="n">
        <v>1</v>
      </c>
      <c r="O1646" s="11" t="n">
        <v>4.5</v>
      </c>
      <c r="P1646" s="11" t="n">
        <v>2.1</v>
      </c>
      <c r="Q1646" s="11" t="n">
        <v>15.75</v>
      </c>
      <c r="R1646" s="11" t="n">
        <f aca="false">SUM(K1646:Q1646)</f>
        <v>133.68</v>
      </c>
      <c r="S1646" s="11" t="n">
        <f aca="false">R1646/(1-Resumo!$C$6)</f>
        <v>151.909090909091</v>
      </c>
      <c r="T1646" s="11" t="n">
        <f aca="false">S1646-J1646</f>
        <v>42.3290909090909</v>
      </c>
      <c r="U1646" s="12" t="n">
        <f aca="false">IFERROR(S1646/J1646-1,0)</f>
        <v>0.386284823043356</v>
      </c>
      <c r="V1646" s="2" t="str">
        <f aca="false">IF(S1646&lt;J1646,"SIM","NÃO")</f>
        <v>NÃO</v>
      </c>
      <c r="W1646" s="2" t="n">
        <v>8</v>
      </c>
      <c r="X1646" s="2" t="s">
        <v>156</v>
      </c>
    </row>
    <row r="1647" customFormat="false" ht="15" hidden="false" customHeight="false" outlineLevel="0" collapsed="false">
      <c r="A1647" s="2" t="n">
        <v>391259265</v>
      </c>
      <c r="B1647" s="29" t="n">
        <v>46274.2803240741</v>
      </c>
      <c r="C1647" s="2" t="s">
        <v>153</v>
      </c>
      <c r="D1647" s="2" t="s">
        <v>1718</v>
      </c>
      <c r="E1647" s="2" t="s">
        <v>78</v>
      </c>
      <c r="F1647" s="2" t="s">
        <v>106</v>
      </c>
      <c r="G1647" s="30" t="n">
        <v>24.4</v>
      </c>
      <c r="H1647" s="11" t="n">
        <v>297.99</v>
      </c>
      <c r="I1647" s="11" t="s">
        <v>155</v>
      </c>
      <c r="J1647" s="11" t="n">
        <v>81.76</v>
      </c>
      <c r="K1647" s="11" t="n">
        <v>82.21</v>
      </c>
      <c r="L1647" s="11" t="n">
        <v>0.298</v>
      </c>
      <c r="M1647" s="11" t="n">
        <v>0.596</v>
      </c>
      <c r="N1647" s="11" t="n">
        <v>1</v>
      </c>
      <c r="O1647" s="11" t="n">
        <v>4.5</v>
      </c>
      <c r="P1647" s="11" t="n">
        <v>1.5</v>
      </c>
      <c r="Q1647" s="11" t="n">
        <v>11.25</v>
      </c>
      <c r="R1647" s="11" t="n">
        <f aca="false">SUM(K1647:Q1647)</f>
        <v>101.354</v>
      </c>
      <c r="S1647" s="11" t="n">
        <f aca="false">R1647/(1-Resumo!$C$6)</f>
        <v>115.175</v>
      </c>
      <c r="T1647" s="11" t="n">
        <f aca="false">S1647-J1647</f>
        <v>33.415</v>
      </c>
      <c r="U1647" s="12" t="n">
        <f aca="false">IFERROR(S1647/J1647-1,0)</f>
        <v>0.408696183953033</v>
      </c>
      <c r="V1647" s="2" t="str">
        <f aca="false">IF(S1647&lt;J1647,"SIM","NÃO")</f>
        <v>NÃO</v>
      </c>
      <c r="W1647" s="2" t="n">
        <v>5</v>
      </c>
      <c r="X1647" s="2" t="s">
        <v>156</v>
      </c>
    </row>
    <row r="1648" customFormat="false" ht="15" hidden="false" customHeight="false" outlineLevel="0" collapsed="false">
      <c r="A1648" s="2" t="n">
        <v>391292671</v>
      </c>
      <c r="B1648" s="29" t="n">
        <v>46274.3362847222</v>
      </c>
      <c r="C1648" s="2" t="s">
        <v>153</v>
      </c>
      <c r="D1648" s="2" t="s">
        <v>1719</v>
      </c>
      <c r="E1648" s="2" t="s">
        <v>82</v>
      </c>
      <c r="F1648" s="2" t="s">
        <v>106</v>
      </c>
      <c r="G1648" s="30" t="n">
        <v>30.94</v>
      </c>
      <c r="H1648" s="11" t="n">
        <v>419.99</v>
      </c>
      <c r="I1648" s="11" t="s">
        <v>155</v>
      </c>
      <c r="J1648" s="11" t="n">
        <v>101.4</v>
      </c>
      <c r="K1648" s="11" t="n">
        <v>100.58</v>
      </c>
      <c r="L1648" s="11" t="n">
        <v>0.42</v>
      </c>
      <c r="M1648" s="11" t="n">
        <v>0.84</v>
      </c>
      <c r="N1648" s="11" t="n">
        <v>1</v>
      </c>
      <c r="O1648" s="11" t="n">
        <v>4.5</v>
      </c>
      <c r="P1648" s="11" t="n">
        <v>1.86</v>
      </c>
      <c r="Q1648" s="11" t="n">
        <v>13.95</v>
      </c>
      <c r="R1648" s="11" t="n">
        <f aca="false">SUM(K1648:Q1648)</f>
        <v>123.15</v>
      </c>
      <c r="S1648" s="11" t="n">
        <f aca="false">R1648/(1-Resumo!$C$6)</f>
        <v>139.943181818182</v>
      </c>
      <c r="T1648" s="11" t="n">
        <f aca="false">S1648-J1648</f>
        <v>38.5431818181818</v>
      </c>
      <c r="U1648" s="12" t="n">
        <f aca="false">IFERROR(S1648/J1648-1,0)</f>
        <v>0.380110274341043</v>
      </c>
      <c r="V1648" s="2" t="str">
        <f aca="false">IF(S1648&lt;J1648,"SIM","NÃO")</f>
        <v>NÃO</v>
      </c>
      <c r="W1648" s="2" t="n">
        <v>7</v>
      </c>
      <c r="X1648" s="2" t="s">
        <v>156</v>
      </c>
    </row>
    <row r="1649" customFormat="false" ht="15" hidden="false" customHeight="false" outlineLevel="0" collapsed="false">
      <c r="A1649" s="2" t="n">
        <v>391336626</v>
      </c>
      <c r="B1649" s="29" t="n">
        <v>46274.3878935185</v>
      </c>
      <c r="C1649" s="2" t="s">
        <v>191</v>
      </c>
      <c r="D1649" s="2" t="s">
        <v>1720</v>
      </c>
      <c r="E1649" s="2" t="s">
        <v>89</v>
      </c>
      <c r="F1649" s="2" t="s">
        <v>106</v>
      </c>
      <c r="G1649" s="30" t="n">
        <v>29.2</v>
      </c>
      <c r="H1649" s="11" t="n">
        <v>458.18</v>
      </c>
      <c r="I1649" s="11" t="s">
        <v>155</v>
      </c>
      <c r="J1649" s="11" t="n">
        <v>109.39</v>
      </c>
      <c r="K1649" s="11" t="n">
        <v>108.83</v>
      </c>
      <c r="L1649" s="11" t="n">
        <v>0.4582</v>
      </c>
      <c r="M1649" s="11" t="n">
        <v>0.9164</v>
      </c>
      <c r="N1649" s="11" t="n">
        <v>1</v>
      </c>
      <c r="O1649" s="11" t="n">
        <v>4.5</v>
      </c>
      <c r="P1649" s="11" t="n">
        <v>1.8</v>
      </c>
      <c r="Q1649" s="11" t="n">
        <v>13.5</v>
      </c>
      <c r="R1649" s="11" t="n">
        <f aca="false">SUM(K1649:Q1649)</f>
        <v>131.0046</v>
      </c>
      <c r="S1649" s="11" t="n">
        <f aca="false">R1649/(1-Resumo!$C$6)</f>
        <v>148.868863636364</v>
      </c>
      <c r="T1649" s="11" t="n">
        <f aca="false">S1649-J1649</f>
        <v>39.4788636363636</v>
      </c>
      <c r="U1649" s="12" t="n">
        <f aca="false">IFERROR(S1649/J1649-1,0)</f>
        <v>0.360900115516625</v>
      </c>
      <c r="V1649" s="2" t="str">
        <f aca="false">IF(S1649&lt;J1649,"SIM","NÃO")</f>
        <v>NÃO</v>
      </c>
      <c r="W1649" s="2" t="n">
        <v>8</v>
      </c>
      <c r="X1649" s="2" t="s">
        <v>156</v>
      </c>
    </row>
    <row r="1650" customFormat="false" ht="15" hidden="false" customHeight="false" outlineLevel="0" collapsed="false">
      <c r="A1650" s="2" t="n">
        <v>391344349</v>
      </c>
      <c r="B1650" s="29" t="n">
        <v>46274.3956018519</v>
      </c>
      <c r="C1650" s="2" t="s">
        <v>153</v>
      </c>
      <c r="D1650" s="2" t="s">
        <v>1721</v>
      </c>
      <c r="E1650" s="2" t="s">
        <v>79</v>
      </c>
      <c r="F1650" s="2" t="s">
        <v>109</v>
      </c>
      <c r="G1650" s="30" t="n">
        <v>52.3</v>
      </c>
      <c r="H1650" s="11" t="n">
        <v>602.99</v>
      </c>
      <c r="I1650" s="11" t="s">
        <v>155</v>
      </c>
      <c r="J1650" s="11" t="n">
        <v>128.18</v>
      </c>
      <c r="K1650" s="11" t="n">
        <v>128.14</v>
      </c>
      <c r="L1650" s="11" t="n">
        <v>0.603</v>
      </c>
      <c r="M1650" s="11" t="n">
        <v>1.206</v>
      </c>
      <c r="N1650" s="11" t="n">
        <v>1</v>
      </c>
      <c r="O1650" s="11" t="n">
        <v>4.5</v>
      </c>
      <c r="P1650" s="11" t="n">
        <v>3.18</v>
      </c>
      <c r="Q1650" s="11" t="n">
        <v>23.85</v>
      </c>
      <c r="R1650" s="11" t="n">
        <f aca="false">SUM(K1650:Q1650)</f>
        <v>162.479</v>
      </c>
      <c r="S1650" s="11" t="n">
        <f aca="false">R1650/(1-Resumo!$C$6)</f>
        <v>184.635227272727</v>
      </c>
      <c r="T1650" s="11" t="n">
        <f aca="false">S1650-J1650</f>
        <v>56.4552272727273</v>
      </c>
      <c r="U1650" s="12" t="n">
        <f aca="false">IFERROR(S1650/J1650-1,0)</f>
        <v>0.440437098398559</v>
      </c>
      <c r="V1650" s="2" t="str">
        <f aca="false">IF(S1650&lt;J1650,"SIM","NÃO")</f>
        <v>NÃO</v>
      </c>
      <c r="W1650" s="2" t="n">
        <v>7</v>
      </c>
      <c r="X1650" s="2" t="s">
        <v>156</v>
      </c>
    </row>
    <row r="1651" customFormat="false" ht="15" hidden="false" customHeight="false" outlineLevel="0" collapsed="false">
      <c r="A1651" s="2" t="n">
        <v>391377197</v>
      </c>
      <c r="B1651" s="29" t="n">
        <v>46274.4358912037</v>
      </c>
      <c r="C1651" s="2" t="s">
        <v>153</v>
      </c>
      <c r="D1651" s="2" t="s">
        <v>1722</v>
      </c>
      <c r="E1651" s="2" t="s">
        <v>83</v>
      </c>
      <c r="F1651" s="2" t="s">
        <v>106</v>
      </c>
      <c r="G1651" s="30" t="n">
        <v>31.9</v>
      </c>
      <c r="H1651" s="11" t="n">
        <v>629.99</v>
      </c>
      <c r="I1651" s="11" t="s">
        <v>155</v>
      </c>
      <c r="J1651" s="11" t="n">
        <v>110.2</v>
      </c>
      <c r="K1651" s="11" t="n">
        <v>138.29</v>
      </c>
      <c r="L1651" s="11" t="n">
        <v>0.63</v>
      </c>
      <c r="M1651" s="11" t="n">
        <v>1.26</v>
      </c>
      <c r="N1651" s="11" t="n">
        <v>1</v>
      </c>
      <c r="O1651" s="11" t="n">
        <v>4.5</v>
      </c>
      <c r="P1651" s="11" t="n">
        <v>1.92</v>
      </c>
      <c r="Q1651" s="11" t="n">
        <v>14.4</v>
      </c>
      <c r="R1651" s="11" t="n">
        <f aca="false">SUM(K1651:Q1651)</f>
        <v>162</v>
      </c>
      <c r="S1651" s="11" t="n">
        <f aca="false">R1651/(1-Resumo!$C$6)</f>
        <v>184.090909090909</v>
      </c>
      <c r="T1651" s="11" t="n">
        <f aca="false">S1651-J1651</f>
        <v>73.8909090909091</v>
      </c>
      <c r="U1651" s="12" t="n">
        <f aca="false">IFERROR(S1651/J1651-1,0)</f>
        <v>0.670516416432932</v>
      </c>
      <c r="V1651" s="2" t="str">
        <f aca="false">IF(S1651&lt;J1651,"SIM","NÃO")</f>
        <v>NÃO</v>
      </c>
      <c r="W1651" s="2" t="n">
        <v>11</v>
      </c>
      <c r="X1651" s="2" t="s">
        <v>156</v>
      </c>
    </row>
    <row r="1652" customFormat="false" ht="15" hidden="false" customHeight="false" outlineLevel="0" collapsed="false">
      <c r="A1652" s="2" t="n">
        <v>391384936</v>
      </c>
      <c r="B1652" s="29" t="n">
        <v>46274.4430324074</v>
      </c>
      <c r="C1652" s="2" t="s">
        <v>153</v>
      </c>
      <c r="D1652" s="2" t="s">
        <v>1723</v>
      </c>
      <c r="E1652" s="2" t="s">
        <v>87</v>
      </c>
      <c r="F1652" s="2" t="s">
        <v>107</v>
      </c>
      <c r="G1652" s="30" t="n">
        <v>37.2</v>
      </c>
      <c r="H1652" s="11" t="n">
        <v>360.99</v>
      </c>
      <c r="I1652" s="11" t="s">
        <v>155</v>
      </c>
      <c r="J1652" s="11" t="n">
        <v>121.98</v>
      </c>
      <c r="K1652" s="11" t="n">
        <v>124.38</v>
      </c>
      <c r="L1652" s="11" t="n">
        <v>0.361</v>
      </c>
      <c r="M1652" s="11" t="n">
        <v>0.722</v>
      </c>
      <c r="N1652" s="11" t="n">
        <v>1</v>
      </c>
      <c r="O1652" s="11" t="n">
        <v>4.5</v>
      </c>
      <c r="P1652" s="11" t="n">
        <v>2.28</v>
      </c>
      <c r="Q1652" s="11" t="n">
        <v>17.1</v>
      </c>
      <c r="R1652" s="11" t="n">
        <f aca="false">SUM(K1652:Q1652)</f>
        <v>150.343</v>
      </c>
      <c r="S1652" s="11" t="n">
        <f aca="false">R1652/(1-Resumo!$C$6)</f>
        <v>170.844318181818</v>
      </c>
      <c r="T1652" s="11" t="n">
        <f aca="false">S1652-J1652</f>
        <v>48.8643181818182</v>
      </c>
      <c r="U1652" s="12" t="n">
        <f aca="false">IFERROR(S1652/J1652-1,0)</f>
        <v>0.400592869173784</v>
      </c>
      <c r="V1652" s="2" t="str">
        <f aca="false">IF(S1652&lt;J1652,"SIM","NÃO")</f>
        <v>NÃO</v>
      </c>
      <c r="W1652" s="2" t="n">
        <v>10</v>
      </c>
      <c r="X1652" s="2" t="s">
        <v>156</v>
      </c>
    </row>
    <row r="1653" customFormat="false" ht="15" hidden="false" customHeight="false" outlineLevel="0" collapsed="false">
      <c r="A1653" s="2" t="n">
        <v>391391659</v>
      </c>
      <c r="B1653" s="29" t="n">
        <v>46274.4486689815</v>
      </c>
      <c r="C1653" s="2" t="s">
        <v>153</v>
      </c>
      <c r="D1653" s="2" t="s">
        <v>539</v>
      </c>
      <c r="E1653" s="2" t="s">
        <v>78</v>
      </c>
      <c r="F1653" s="2" t="s">
        <v>106</v>
      </c>
      <c r="G1653" s="30" t="n">
        <v>34.8</v>
      </c>
      <c r="H1653" s="11" t="n">
        <v>469.99</v>
      </c>
      <c r="I1653" s="11" t="s">
        <v>155</v>
      </c>
      <c r="J1653" s="11" t="n">
        <v>82.58</v>
      </c>
      <c r="K1653" s="11" t="n">
        <v>82.21</v>
      </c>
      <c r="L1653" s="11" t="n">
        <v>0.47</v>
      </c>
      <c r="M1653" s="11" t="n">
        <v>0.94</v>
      </c>
      <c r="N1653" s="11" t="n">
        <v>1</v>
      </c>
      <c r="O1653" s="11" t="n">
        <v>4.5</v>
      </c>
      <c r="P1653" s="11" t="n">
        <v>2.1</v>
      </c>
      <c r="Q1653" s="11" t="n">
        <v>15.75</v>
      </c>
      <c r="R1653" s="11" t="n">
        <f aca="false">SUM(K1653:Q1653)</f>
        <v>106.97</v>
      </c>
      <c r="S1653" s="11" t="n">
        <f aca="false">R1653/(1-Resumo!$C$6)</f>
        <v>121.556818181818</v>
      </c>
      <c r="T1653" s="11" t="n">
        <f aca="false">S1653-J1653</f>
        <v>38.9768181818182</v>
      </c>
      <c r="U1653" s="12" t="n">
        <f aca="false">IFERROR(S1653/J1653-1,0)</f>
        <v>0.471988595081354</v>
      </c>
      <c r="V1653" s="2" t="str">
        <f aca="false">IF(S1653&lt;J1653,"SIM","NÃO")</f>
        <v>NÃO</v>
      </c>
      <c r="W1653" s="2" t="n">
        <v>5</v>
      </c>
      <c r="X1653" s="2" t="s">
        <v>156</v>
      </c>
    </row>
    <row r="1654" customFormat="false" ht="15" hidden="false" customHeight="false" outlineLevel="0" collapsed="false">
      <c r="A1654" s="2" t="n">
        <v>391437552</v>
      </c>
      <c r="B1654" s="29" t="n">
        <v>46274.4997685185</v>
      </c>
      <c r="C1654" s="2" t="s">
        <v>153</v>
      </c>
      <c r="D1654" s="2" t="s">
        <v>1724</v>
      </c>
      <c r="E1654" s="2" t="s">
        <v>78</v>
      </c>
      <c r="F1654" s="2" t="s">
        <v>107</v>
      </c>
      <c r="G1654" s="30" t="n">
        <v>35.4</v>
      </c>
      <c r="H1654" s="11" t="n">
        <v>499.99</v>
      </c>
      <c r="I1654" s="11" t="s">
        <v>155</v>
      </c>
      <c r="J1654" s="11" t="n">
        <v>92.25</v>
      </c>
      <c r="K1654" s="11" t="n">
        <v>93.97</v>
      </c>
      <c r="L1654" s="11" t="n">
        <v>0.5</v>
      </c>
      <c r="M1654" s="11" t="n">
        <v>1</v>
      </c>
      <c r="N1654" s="11" t="n">
        <v>1</v>
      </c>
      <c r="O1654" s="11" t="n">
        <v>4.5</v>
      </c>
      <c r="P1654" s="11" t="n">
        <v>2.16</v>
      </c>
      <c r="Q1654" s="11" t="n">
        <v>16.2</v>
      </c>
      <c r="R1654" s="11" t="n">
        <f aca="false">SUM(K1654:Q1654)</f>
        <v>119.33</v>
      </c>
      <c r="S1654" s="11" t="n">
        <f aca="false">R1654/(1-Resumo!$C$6)</f>
        <v>135.602272727273</v>
      </c>
      <c r="T1654" s="11" t="n">
        <f aca="false">S1654-J1654</f>
        <v>43.3522727272727</v>
      </c>
      <c r="U1654" s="12" t="n">
        <f aca="false">IFERROR(S1654/J1654-1,0)</f>
        <v>0.469943335796994</v>
      </c>
      <c r="V1654" s="2" t="str">
        <f aca="false">IF(S1654&lt;J1654,"SIM","NÃO")</f>
        <v>NÃO</v>
      </c>
      <c r="W1654" s="2" t="n">
        <v>5</v>
      </c>
      <c r="X1654" s="2" t="s">
        <v>156</v>
      </c>
    </row>
    <row r="1655" customFormat="false" ht="15" hidden="false" customHeight="false" outlineLevel="0" collapsed="false">
      <c r="A1655" s="2" t="n">
        <v>391499524</v>
      </c>
      <c r="B1655" s="29" t="n">
        <v>46274.5593402778</v>
      </c>
      <c r="C1655" s="2" t="s">
        <v>153</v>
      </c>
      <c r="D1655" s="2" t="s">
        <v>754</v>
      </c>
      <c r="E1655" s="2" t="s">
        <v>755</v>
      </c>
      <c r="F1655" s="2" t="s">
        <v>108</v>
      </c>
      <c r="G1655" s="30" t="n">
        <v>48</v>
      </c>
      <c r="H1655" s="11" t="n">
        <v>828.99</v>
      </c>
      <c r="I1655" s="11" t="s">
        <v>155</v>
      </c>
      <c r="J1655" s="11" t="n">
        <v>132.14</v>
      </c>
      <c r="K1655" s="11" t="n">
        <v>129.29</v>
      </c>
      <c r="L1655" s="11" t="n">
        <v>0.829</v>
      </c>
      <c r="M1655" s="11" t="n">
        <v>1.658</v>
      </c>
      <c r="N1655" s="11" t="n">
        <v>1</v>
      </c>
      <c r="O1655" s="11" t="n">
        <v>4.5</v>
      </c>
      <c r="P1655" s="11" t="n">
        <v>2.88</v>
      </c>
      <c r="Q1655" s="11" t="n">
        <v>21.6</v>
      </c>
      <c r="R1655" s="11" t="n">
        <f aca="false">SUM(K1655:Q1655)</f>
        <v>161.757</v>
      </c>
      <c r="S1655" s="11" t="n">
        <f aca="false">R1655/(1-Resumo!$C$6)</f>
        <v>183.814772727273</v>
      </c>
      <c r="T1655" s="11" t="n">
        <f aca="false">S1655-J1655</f>
        <v>51.6747727272727</v>
      </c>
      <c r="U1655" s="12" t="n">
        <f aca="false">IFERROR(S1655/J1655-1,0)</f>
        <v>0.391060789520756</v>
      </c>
      <c r="V1655" s="2" t="str">
        <f aca="false">IF(S1655&lt;J1655,"SIM","NÃO")</f>
        <v>NÃO</v>
      </c>
      <c r="W1655" s="2" t="n">
        <v>10</v>
      </c>
      <c r="X1655" s="2" t="s">
        <v>161</v>
      </c>
    </row>
    <row r="1656" customFormat="false" ht="15" hidden="false" customHeight="false" outlineLevel="0" collapsed="false">
      <c r="A1656" s="2" t="n">
        <v>391508677</v>
      </c>
      <c r="B1656" s="29" t="n">
        <v>46274.5672337963</v>
      </c>
      <c r="C1656" s="2" t="s">
        <v>153</v>
      </c>
      <c r="D1656" s="2" t="s">
        <v>1725</v>
      </c>
      <c r="E1656" s="2" t="s">
        <v>78</v>
      </c>
      <c r="F1656" s="2" t="s">
        <v>108</v>
      </c>
      <c r="G1656" s="30" t="n">
        <v>43.5</v>
      </c>
      <c r="H1656" s="11" t="n">
        <v>690.99</v>
      </c>
      <c r="I1656" s="11" t="s">
        <v>155</v>
      </c>
      <c r="J1656" s="11" t="n">
        <v>103.9</v>
      </c>
      <c r="K1656" s="11" t="n">
        <v>93.97</v>
      </c>
      <c r="L1656" s="11" t="n">
        <v>0.691</v>
      </c>
      <c r="M1656" s="11" t="n">
        <v>1.382</v>
      </c>
      <c r="N1656" s="11" t="n">
        <v>1</v>
      </c>
      <c r="O1656" s="11" t="n">
        <v>4.5</v>
      </c>
      <c r="P1656" s="11" t="n">
        <v>2.64</v>
      </c>
      <c r="Q1656" s="11" t="n">
        <v>19.8</v>
      </c>
      <c r="R1656" s="11" t="n">
        <f aca="false">SUM(K1656:Q1656)</f>
        <v>123.983</v>
      </c>
      <c r="S1656" s="11" t="n">
        <f aca="false">R1656/(1-Resumo!$C$6)</f>
        <v>140.889772727273</v>
      </c>
      <c r="T1656" s="11" t="n">
        <f aca="false">S1656-J1656</f>
        <v>36.9897727272727</v>
      </c>
      <c r="U1656" s="12" t="n">
        <f aca="false">IFERROR(S1656/J1656-1,0)</f>
        <v>0.35601321200455</v>
      </c>
      <c r="V1656" s="2" t="str">
        <f aca="false">IF(S1656&lt;J1656,"SIM","NÃO")</f>
        <v>NÃO</v>
      </c>
      <c r="W1656" s="2" t="n">
        <v>5</v>
      </c>
      <c r="X1656" s="2" t="s">
        <v>156</v>
      </c>
    </row>
    <row r="1657" customFormat="false" ht="15" hidden="false" customHeight="false" outlineLevel="0" collapsed="false">
      <c r="A1657" s="2" t="n">
        <v>391514814</v>
      </c>
      <c r="B1657" s="29" t="n">
        <v>46274.5730787037</v>
      </c>
      <c r="C1657" s="2" t="s">
        <v>153</v>
      </c>
      <c r="D1657" s="2" t="s">
        <v>1726</v>
      </c>
      <c r="E1657" s="2" t="s">
        <v>79</v>
      </c>
      <c r="F1657" s="2" t="s">
        <v>106</v>
      </c>
      <c r="G1657" s="30" t="n">
        <v>30.5</v>
      </c>
      <c r="H1657" s="11" t="n">
        <v>429.99</v>
      </c>
      <c r="I1657" s="11" t="s">
        <v>350</v>
      </c>
      <c r="J1657" s="11" t="n">
        <v>101.31</v>
      </c>
      <c r="K1657" s="11" t="n">
        <v>100.58</v>
      </c>
      <c r="L1657" s="11" t="n">
        <v>0.43</v>
      </c>
      <c r="M1657" s="11" t="n">
        <v>0.86</v>
      </c>
      <c r="N1657" s="11" t="n">
        <v>1</v>
      </c>
      <c r="O1657" s="11" t="n">
        <v>4.5</v>
      </c>
      <c r="P1657" s="11" t="n">
        <v>1.86</v>
      </c>
      <c r="Q1657" s="11" t="n">
        <v>13.95</v>
      </c>
      <c r="R1657" s="11" t="n">
        <f aca="false">SUM(K1657:Q1657)</f>
        <v>123.18</v>
      </c>
      <c r="S1657" s="11" t="n">
        <f aca="false">R1657/(1-Resumo!$C$6)</f>
        <v>139.977272727273</v>
      </c>
      <c r="T1657" s="11" t="n">
        <f aca="false">S1657-J1657</f>
        <v>38.6672727272727</v>
      </c>
      <c r="U1657" s="12" t="n">
        <f aca="false">IFERROR(S1657/J1657-1,0)</f>
        <v>0.381672813416965</v>
      </c>
      <c r="V1657" s="2" t="str">
        <f aca="false">IF(S1657&lt;J1657,"SIM","NÃO")</f>
        <v>NÃO</v>
      </c>
      <c r="W1657" s="2" t="n">
        <v>7</v>
      </c>
      <c r="X1657" s="2" t="s">
        <v>156</v>
      </c>
    </row>
    <row r="1658" customFormat="false" ht="15" hidden="false" customHeight="false" outlineLevel="0" collapsed="false">
      <c r="A1658" s="2" t="n">
        <v>391515967</v>
      </c>
      <c r="B1658" s="29" t="n">
        <v>46274.5741435185</v>
      </c>
      <c r="C1658" s="2" t="s">
        <v>153</v>
      </c>
      <c r="D1658" s="2" t="s">
        <v>1727</v>
      </c>
      <c r="E1658" s="2" t="s">
        <v>78</v>
      </c>
      <c r="F1658" s="2" t="s">
        <v>107</v>
      </c>
      <c r="G1658" s="30" t="n">
        <v>40</v>
      </c>
      <c r="H1658" s="11" t="n">
        <v>579.99</v>
      </c>
      <c r="I1658" s="11" t="s">
        <v>155</v>
      </c>
      <c r="J1658" s="11" t="n">
        <v>92.64</v>
      </c>
      <c r="K1658" s="11" t="n">
        <v>93.97</v>
      </c>
      <c r="L1658" s="11" t="n">
        <v>0.58</v>
      </c>
      <c r="M1658" s="11" t="n">
        <v>1.16</v>
      </c>
      <c r="N1658" s="11" t="n">
        <v>1</v>
      </c>
      <c r="O1658" s="11" t="n">
        <v>4.5</v>
      </c>
      <c r="P1658" s="11" t="n">
        <v>2.4</v>
      </c>
      <c r="Q1658" s="11" t="n">
        <v>18</v>
      </c>
      <c r="R1658" s="11" t="n">
        <f aca="false">SUM(K1658:Q1658)</f>
        <v>121.61</v>
      </c>
      <c r="S1658" s="11" t="n">
        <f aca="false">R1658/(1-Resumo!$C$6)</f>
        <v>138.193181818182</v>
      </c>
      <c r="T1658" s="11" t="n">
        <f aca="false">S1658-J1658</f>
        <v>45.5531818181818</v>
      </c>
      <c r="U1658" s="12" t="n">
        <f aca="false">IFERROR(S1658/J1658-1,0)</f>
        <v>0.491722601664312</v>
      </c>
      <c r="V1658" s="2" t="str">
        <f aca="false">IF(S1658&lt;J1658,"SIM","NÃO")</f>
        <v>NÃO</v>
      </c>
      <c r="W1658" s="2" t="n">
        <v>5</v>
      </c>
      <c r="X1658" s="2" t="s">
        <v>156</v>
      </c>
    </row>
    <row r="1659" customFormat="false" ht="15" hidden="false" customHeight="false" outlineLevel="0" collapsed="false">
      <c r="A1659" s="2" t="n">
        <v>391663600</v>
      </c>
      <c r="B1659" s="29" t="n">
        <v>46274.5812615741</v>
      </c>
      <c r="C1659" s="2" t="s">
        <v>158</v>
      </c>
      <c r="D1659" s="2" t="s">
        <v>1728</v>
      </c>
      <c r="E1659" s="2" t="s">
        <v>79</v>
      </c>
      <c r="F1659" s="2" t="s">
        <v>108</v>
      </c>
      <c r="G1659" s="30" t="n">
        <v>48.6</v>
      </c>
      <c r="H1659" s="11" t="n">
        <v>601.74</v>
      </c>
      <c r="I1659" s="11" t="s">
        <v>350</v>
      </c>
      <c r="J1659" s="11" t="n">
        <v>118.78</v>
      </c>
      <c r="K1659" s="11" t="n">
        <v>114.95</v>
      </c>
      <c r="L1659" s="11" t="n">
        <v>0.6017</v>
      </c>
      <c r="M1659" s="11" t="n">
        <v>1.2035</v>
      </c>
      <c r="N1659" s="11" t="n">
        <v>1</v>
      </c>
      <c r="O1659" s="11" t="n">
        <v>4.5</v>
      </c>
      <c r="P1659" s="11" t="n">
        <v>2.94</v>
      </c>
      <c r="Q1659" s="11" t="n">
        <v>22.05</v>
      </c>
      <c r="R1659" s="11" t="n">
        <f aca="false">SUM(K1659:Q1659)</f>
        <v>147.2452</v>
      </c>
      <c r="S1659" s="11" t="n">
        <f aca="false">R1659/(1-Resumo!$C$6)</f>
        <v>167.324090909091</v>
      </c>
      <c r="T1659" s="11" t="n">
        <f aca="false">S1659-J1659</f>
        <v>48.5440909090909</v>
      </c>
      <c r="U1659" s="12" t="n">
        <f aca="false">IFERROR(S1659/J1659-1,0)</f>
        <v>0.408689096725803</v>
      </c>
      <c r="V1659" s="2" t="str">
        <f aca="false">IF(S1659&lt;J1659,"SIM","NÃO")</f>
        <v>NÃO</v>
      </c>
      <c r="W1659" s="2" t="n">
        <v>7</v>
      </c>
      <c r="X1659" s="2" t="s">
        <v>156</v>
      </c>
    </row>
    <row r="1660" customFormat="false" ht="15" hidden="false" customHeight="false" outlineLevel="0" collapsed="false">
      <c r="A1660" s="2" t="n">
        <v>391527267</v>
      </c>
      <c r="B1660" s="29" t="n">
        <v>46274.5873958333</v>
      </c>
      <c r="C1660" s="2" t="s">
        <v>153</v>
      </c>
      <c r="D1660" s="2" t="s">
        <v>1729</v>
      </c>
      <c r="E1660" s="2" t="s">
        <v>85</v>
      </c>
      <c r="F1660" s="2" t="s">
        <v>106</v>
      </c>
      <c r="G1660" s="30" t="n">
        <v>27.6</v>
      </c>
      <c r="H1660" s="11" t="n">
        <v>559.99</v>
      </c>
      <c r="I1660" s="11" t="s">
        <v>350</v>
      </c>
      <c r="J1660" s="11" t="n">
        <v>108.17</v>
      </c>
      <c r="K1660" s="11" t="n">
        <v>138.29</v>
      </c>
      <c r="L1660" s="11" t="n">
        <v>0.56</v>
      </c>
      <c r="M1660" s="11" t="n">
        <v>1.12</v>
      </c>
      <c r="N1660" s="11" t="n">
        <v>1</v>
      </c>
      <c r="O1660" s="11" t="n">
        <v>4.5</v>
      </c>
      <c r="P1660" s="11" t="n">
        <v>1.68</v>
      </c>
      <c r="Q1660" s="11" t="n">
        <v>12.6</v>
      </c>
      <c r="R1660" s="11" t="n">
        <f aca="false">SUM(K1660:Q1660)</f>
        <v>159.75</v>
      </c>
      <c r="S1660" s="11" t="n">
        <f aca="false">R1660/(1-Resumo!$C$6)</f>
        <v>181.534090909091</v>
      </c>
      <c r="T1660" s="11" t="n">
        <f aca="false">S1660-J1660</f>
        <v>73.3640909090909</v>
      </c>
      <c r="U1660" s="12" t="n">
        <f aca="false">IFERROR(S1660/J1660-1,0)</f>
        <v>0.678229554489146</v>
      </c>
      <c r="V1660" s="2" t="str">
        <f aca="false">IF(S1660&lt;J1660,"SIM","NÃO")</f>
        <v>NÃO</v>
      </c>
      <c r="W1660" s="2" t="n">
        <v>11</v>
      </c>
      <c r="X1660" s="2" t="s">
        <v>156</v>
      </c>
    </row>
    <row r="1661" customFormat="false" ht="15" hidden="false" customHeight="false" outlineLevel="0" collapsed="false">
      <c r="A1661" s="2" t="n">
        <v>391529192</v>
      </c>
      <c r="B1661" s="29" t="n">
        <v>46274.5892361111</v>
      </c>
      <c r="C1661" s="2" t="s">
        <v>153</v>
      </c>
      <c r="D1661" s="2" t="s">
        <v>1730</v>
      </c>
      <c r="E1661" s="2" t="s">
        <v>85</v>
      </c>
      <c r="F1661" s="2" t="s">
        <v>106</v>
      </c>
      <c r="G1661" s="30" t="n">
        <v>27</v>
      </c>
      <c r="H1661" s="11" t="n">
        <v>349.99</v>
      </c>
      <c r="I1661" s="11" t="s">
        <v>350</v>
      </c>
      <c r="J1661" s="11" t="n">
        <v>106.64</v>
      </c>
      <c r="K1661" s="11" t="n">
        <v>138.29</v>
      </c>
      <c r="L1661" s="11" t="n">
        <v>0.35</v>
      </c>
      <c r="M1661" s="11" t="n">
        <v>0.7</v>
      </c>
      <c r="N1661" s="11" t="n">
        <v>1</v>
      </c>
      <c r="O1661" s="11" t="n">
        <v>4.5</v>
      </c>
      <c r="P1661" s="11" t="n">
        <v>1.62</v>
      </c>
      <c r="Q1661" s="11" t="n">
        <v>12.15</v>
      </c>
      <c r="R1661" s="11" t="n">
        <f aca="false">SUM(K1661:Q1661)</f>
        <v>158.61</v>
      </c>
      <c r="S1661" s="11" t="n">
        <f aca="false">R1661/(1-Resumo!$C$6)</f>
        <v>180.238636363636</v>
      </c>
      <c r="T1661" s="11" t="n">
        <f aca="false">S1661-J1661</f>
        <v>73.5986363636363</v>
      </c>
      <c r="U1661" s="12" t="n">
        <f aca="false">IFERROR(S1661/J1661-1,0)</f>
        <v>0.690159755848053</v>
      </c>
      <c r="V1661" s="2" t="str">
        <f aca="false">IF(S1661&lt;J1661,"SIM","NÃO")</f>
        <v>NÃO</v>
      </c>
      <c r="W1661" s="2" t="n">
        <v>11</v>
      </c>
      <c r="X1661" s="2" t="s">
        <v>156</v>
      </c>
    </row>
    <row r="1662" customFormat="false" ht="15" hidden="false" customHeight="false" outlineLevel="0" collapsed="false">
      <c r="A1662" s="2" t="n">
        <v>391535167</v>
      </c>
      <c r="B1662" s="29" t="n">
        <v>46274.5951388889</v>
      </c>
      <c r="C1662" s="2" t="s">
        <v>158</v>
      </c>
      <c r="D1662" s="2" t="s">
        <v>1731</v>
      </c>
      <c r="E1662" s="2" t="s">
        <v>88</v>
      </c>
      <c r="F1662" s="2" t="s">
        <v>105</v>
      </c>
      <c r="G1662" s="30" t="n">
        <v>15.15</v>
      </c>
      <c r="H1662" s="11" t="n">
        <v>230.54</v>
      </c>
      <c r="I1662" s="11" t="s">
        <v>350</v>
      </c>
      <c r="J1662" s="11" t="n">
        <v>79.22</v>
      </c>
      <c r="K1662" s="11" t="n">
        <v>77.35</v>
      </c>
      <c r="L1662" s="11" t="n">
        <v>0.2305</v>
      </c>
      <c r="M1662" s="11" t="n">
        <v>0.4611</v>
      </c>
      <c r="N1662" s="11" t="n">
        <v>1</v>
      </c>
      <c r="O1662" s="11" t="n">
        <v>4.5</v>
      </c>
      <c r="P1662" s="11" t="n">
        <v>0.96</v>
      </c>
      <c r="Q1662" s="11" t="n">
        <v>7.2</v>
      </c>
      <c r="R1662" s="11" t="n">
        <f aca="false">SUM(K1662:Q1662)</f>
        <v>91.7016</v>
      </c>
      <c r="S1662" s="11" t="n">
        <f aca="false">R1662/(1-Resumo!$C$6)</f>
        <v>104.206363636364</v>
      </c>
      <c r="T1662" s="11" t="n">
        <f aca="false">S1662-J1662</f>
        <v>24.9863636363636</v>
      </c>
      <c r="U1662" s="12" t="n">
        <f aca="false">IFERROR(S1662/J1662-1,0)</f>
        <v>0.315404741685984</v>
      </c>
      <c r="V1662" s="2" t="str">
        <f aca="false">IF(S1662&lt;J1662,"SIM","NÃO")</f>
        <v>NÃO</v>
      </c>
      <c r="W1662" s="2" t="n">
        <v>10</v>
      </c>
      <c r="X1662" s="2" t="s">
        <v>156</v>
      </c>
    </row>
    <row r="1663" customFormat="false" ht="15" hidden="false" customHeight="false" outlineLevel="0" collapsed="false">
      <c r="A1663" s="2" t="n">
        <v>391531300</v>
      </c>
      <c r="B1663" s="29" t="n">
        <v>46274.596875</v>
      </c>
      <c r="C1663" s="2" t="s">
        <v>191</v>
      </c>
      <c r="D1663" s="2" t="s">
        <v>1164</v>
      </c>
      <c r="E1663" s="2" t="s">
        <v>78</v>
      </c>
      <c r="F1663" s="2" t="s">
        <v>107</v>
      </c>
      <c r="G1663" s="30" t="n">
        <v>38.15</v>
      </c>
      <c r="H1663" s="11" t="n">
        <v>459.99</v>
      </c>
      <c r="I1663" s="11" t="s">
        <v>350</v>
      </c>
      <c r="J1663" s="11" t="n">
        <v>93.68</v>
      </c>
      <c r="K1663" s="11" t="n">
        <v>93.97</v>
      </c>
      <c r="L1663" s="11" t="n">
        <v>0.46</v>
      </c>
      <c r="M1663" s="11" t="n">
        <v>0.92</v>
      </c>
      <c r="N1663" s="11" t="n">
        <v>1</v>
      </c>
      <c r="O1663" s="11" t="n">
        <v>4.5</v>
      </c>
      <c r="P1663" s="11" t="n">
        <v>2.34</v>
      </c>
      <c r="Q1663" s="11" t="n">
        <v>17.55</v>
      </c>
      <c r="R1663" s="11" t="n">
        <f aca="false">SUM(K1663:Q1663)</f>
        <v>120.74</v>
      </c>
      <c r="S1663" s="11" t="n">
        <f aca="false">R1663/(1-Resumo!$C$6)</f>
        <v>137.204545454545</v>
      </c>
      <c r="T1663" s="11" t="n">
        <f aca="false">S1663-J1663</f>
        <v>43.5245454545454</v>
      </c>
      <c r="U1663" s="12" t="n">
        <f aca="false">IFERROR(S1663/J1663-1,0)</f>
        <v>0.464608726030587</v>
      </c>
      <c r="V1663" s="2" t="str">
        <f aca="false">IF(S1663&lt;J1663,"SIM","NÃO")</f>
        <v>NÃO</v>
      </c>
      <c r="W1663" s="2" t="n">
        <v>5</v>
      </c>
      <c r="X1663" s="2" t="s">
        <v>156</v>
      </c>
    </row>
    <row r="1664" customFormat="false" ht="15" hidden="false" customHeight="false" outlineLevel="0" collapsed="false">
      <c r="A1664" s="2" t="n">
        <v>391544534</v>
      </c>
      <c r="B1664" s="29" t="n">
        <v>46274.6049884259</v>
      </c>
      <c r="C1664" s="2" t="s">
        <v>153</v>
      </c>
      <c r="D1664" s="2" t="s">
        <v>1732</v>
      </c>
      <c r="E1664" s="2" t="s">
        <v>78</v>
      </c>
      <c r="F1664" s="2" t="s">
        <v>107</v>
      </c>
      <c r="G1664" s="30" t="n">
        <v>37.5</v>
      </c>
      <c r="H1664" s="11" t="n">
        <v>342.99</v>
      </c>
      <c r="I1664" s="11" t="s">
        <v>350</v>
      </c>
      <c r="J1664" s="11" t="n">
        <v>92.6</v>
      </c>
      <c r="K1664" s="11" t="n">
        <v>93.97</v>
      </c>
      <c r="L1664" s="11" t="n">
        <v>0.343</v>
      </c>
      <c r="M1664" s="11" t="n">
        <v>0.686</v>
      </c>
      <c r="N1664" s="11" t="n">
        <v>1</v>
      </c>
      <c r="O1664" s="11" t="n">
        <v>4.5</v>
      </c>
      <c r="P1664" s="11" t="n">
        <v>2.28</v>
      </c>
      <c r="Q1664" s="11" t="n">
        <v>17.1</v>
      </c>
      <c r="R1664" s="11" t="n">
        <f aca="false">SUM(K1664:Q1664)</f>
        <v>119.879</v>
      </c>
      <c r="S1664" s="11" t="n">
        <f aca="false">R1664/(1-Resumo!$C$6)</f>
        <v>136.226136363636</v>
      </c>
      <c r="T1664" s="11" t="n">
        <f aca="false">S1664-J1664</f>
        <v>43.6261363636364</v>
      </c>
      <c r="U1664" s="12" t="n">
        <f aca="false">IFERROR(S1664/J1664-1,0)</f>
        <v>0.471124582760652</v>
      </c>
      <c r="V1664" s="2" t="str">
        <f aca="false">IF(S1664&lt;J1664,"SIM","NÃO")</f>
        <v>NÃO</v>
      </c>
      <c r="W1664" s="2" t="n">
        <v>5</v>
      </c>
      <c r="X1664" s="2" t="s">
        <v>156</v>
      </c>
    </row>
    <row r="1665" customFormat="false" ht="15" hidden="false" customHeight="false" outlineLevel="0" collapsed="false">
      <c r="A1665" s="2" t="n">
        <v>391570685</v>
      </c>
      <c r="B1665" s="29" t="n">
        <v>46274.6282638889</v>
      </c>
      <c r="C1665" s="2" t="s">
        <v>153</v>
      </c>
      <c r="D1665" s="2" t="s">
        <v>1733</v>
      </c>
      <c r="E1665" s="2" t="s">
        <v>79</v>
      </c>
      <c r="F1665" s="2" t="s">
        <v>106</v>
      </c>
      <c r="G1665" s="30" t="n">
        <v>33</v>
      </c>
      <c r="H1665" s="11" t="n">
        <v>449.99</v>
      </c>
      <c r="I1665" s="11" t="s">
        <v>350</v>
      </c>
      <c r="J1665" s="11" t="n">
        <v>102.42</v>
      </c>
      <c r="K1665" s="11" t="n">
        <v>100.58</v>
      </c>
      <c r="L1665" s="11" t="n">
        <v>0.45</v>
      </c>
      <c r="M1665" s="11" t="n">
        <v>0.9</v>
      </c>
      <c r="N1665" s="11" t="n">
        <v>1</v>
      </c>
      <c r="O1665" s="11" t="n">
        <v>4.5</v>
      </c>
      <c r="P1665" s="11" t="n">
        <v>1.98</v>
      </c>
      <c r="Q1665" s="11" t="n">
        <v>14.85</v>
      </c>
      <c r="R1665" s="11" t="n">
        <f aca="false">SUM(K1665:Q1665)</f>
        <v>124.26</v>
      </c>
      <c r="S1665" s="11" t="n">
        <f aca="false">R1665/(1-Resumo!$C$6)</f>
        <v>141.204545454545</v>
      </c>
      <c r="T1665" s="11" t="n">
        <f aca="false">S1665-J1665</f>
        <v>38.7845454545454</v>
      </c>
      <c r="U1665" s="12" t="n">
        <f aca="false">IFERROR(S1665/J1665-1,0)</f>
        <v>0.378681365500346</v>
      </c>
      <c r="V1665" s="2" t="str">
        <f aca="false">IF(S1665&lt;J1665,"SIM","NÃO")</f>
        <v>NÃO</v>
      </c>
      <c r="W1665" s="2" t="n">
        <v>7</v>
      </c>
      <c r="X1665" s="2" t="s">
        <v>156</v>
      </c>
    </row>
    <row r="1666" customFormat="false" ht="15" hidden="false" customHeight="false" outlineLevel="0" collapsed="false">
      <c r="A1666" s="2" t="n">
        <v>391601971</v>
      </c>
      <c r="B1666" s="29" t="n">
        <v>46274.6552893519</v>
      </c>
      <c r="C1666" s="2" t="s">
        <v>153</v>
      </c>
      <c r="D1666" s="2" t="s">
        <v>1734</v>
      </c>
      <c r="E1666" s="2" t="s">
        <v>78</v>
      </c>
      <c r="F1666" s="2" t="s">
        <v>110</v>
      </c>
      <c r="G1666" s="30" t="n">
        <v>61.4</v>
      </c>
      <c r="H1666" s="11" t="n">
        <v>999.99</v>
      </c>
      <c r="I1666" s="11" t="s">
        <v>155</v>
      </c>
      <c r="J1666" s="11" t="n">
        <v>126</v>
      </c>
      <c r="K1666" s="11" t="n">
        <v>131.02</v>
      </c>
      <c r="L1666" s="11" t="n">
        <v>1</v>
      </c>
      <c r="M1666" s="11" t="n">
        <v>2</v>
      </c>
      <c r="N1666" s="11" t="n">
        <v>1</v>
      </c>
      <c r="O1666" s="11" t="n">
        <v>4.5</v>
      </c>
      <c r="P1666" s="11" t="n">
        <v>3.72</v>
      </c>
      <c r="Q1666" s="11" t="n">
        <v>27.9</v>
      </c>
      <c r="R1666" s="11" t="n">
        <f aca="false">SUM(K1666:Q1666)</f>
        <v>171.14</v>
      </c>
      <c r="S1666" s="11" t="n">
        <f aca="false">R1666/(1-Resumo!$C$6)</f>
        <v>194.477272727273</v>
      </c>
      <c r="T1666" s="11" t="n">
        <f aca="false">S1666-J1666</f>
        <v>68.4772727272728</v>
      </c>
      <c r="U1666" s="12" t="n">
        <f aca="false">IFERROR(S1666/J1666-1,0)</f>
        <v>0.543470418470419</v>
      </c>
      <c r="V1666" s="2" t="str">
        <f aca="false">IF(S1666&lt;J1666,"SIM","NÃO")</f>
        <v>NÃO</v>
      </c>
      <c r="W1666" s="2" t="n">
        <v>5</v>
      </c>
      <c r="X1666" s="2" t="s">
        <v>156</v>
      </c>
    </row>
    <row r="1667" customFormat="false" ht="15" hidden="false" customHeight="false" outlineLevel="0" collapsed="false">
      <c r="A1667" s="2" t="n">
        <v>391612691</v>
      </c>
      <c r="B1667" s="29" t="n">
        <v>46274.6637731482</v>
      </c>
      <c r="C1667" s="2" t="s">
        <v>153</v>
      </c>
      <c r="D1667" s="2" t="s">
        <v>1735</v>
      </c>
      <c r="E1667" s="2" t="s">
        <v>92</v>
      </c>
      <c r="F1667" s="2" t="s">
        <v>110</v>
      </c>
      <c r="G1667" s="30" t="n">
        <v>61.5</v>
      </c>
      <c r="H1667" s="11" t="n">
        <v>708.99</v>
      </c>
      <c r="I1667" s="11" t="s">
        <v>350</v>
      </c>
      <c r="J1667" s="11" t="n">
        <v>154.18</v>
      </c>
      <c r="K1667" s="11" t="n">
        <v>166.05</v>
      </c>
      <c r="L1667" s="11" t="n">
        <v>0.709</v>
      </c>
      <c r="M1667" s="11" t="n">
        <v>1.418</v>
      </c>
      <c r="N1667" s="11" t="n">
        <v>1</v>
      </c>
      <c r="O1667" s="11" t="n">
        <v>4.5</v>
      </c>
      <c r="P1667" s="11" t="n">
        <v>3.72</v>
      </c>
      <c r="Q1667" s="11" t="n">
        <v>27.9</v>
      </c>
      <c r="R1667" s="11" t="n">
        <f aca="false">SUM(K1667:Q1667)</f>
        <v>205.297</v>
      </c>
      <c r="S1667" s="11" t="n">
        <f aca="false">R1667/(1-Resumo!$C$6)</f>
        <v>233.292045454545</v>
      </c>
      <c r="T1667" s="11" t="n">
        <f aca="false">S1667-J1667</f>
        <v>79.1120454545455</v>
      </c>
      <c r="U1667" s="12" t="n">
        <f aca="false">IFERROR(S1667/J1667-1,0)</f>
        <v>0.513114836259862</v>
      </c>
      <c r="V1667" s="2" t="str">
        <f aca="false">IF(S1667&lt;J1667,"SIM","NÃO")</f>
        <v>NÃO</v>
      </c>
      <c r="W1667" s="2" t="n">
        <v>10</v>
      </c>
      <c r="X1667" s="2" t="s">
        <v>156</v>
      </c>
    </row>
    <row r="1668" customFormat="false" ht="15" hidden="false" customHeight="false" outlineLevel="0" collapsed="false">
      <c r="A1668" s="2" t="n">
        <v>391694668</v>
      </c>
      <c r="B1668" s="29" t="n">
        <v>46274.6862152778</v>
      </c>
      <c r="C1668" s="2" t="s">
        <v>153</v>
      </c>
      <c r="D1668" s="2" t="s">
        <v>1305</v>
      </c>
      <c r="E1668" s="2" t="s">
        <v>78</v>
      </c>
      <c r="F1668" s="2" t="s">
        <v>106</v>
      </c>
      <c r="G1668" s="30" t="n">
        <v>27.4</v>
      </c>
      <c r="H1668" s="11" t="n">
        <v>315.99</v>
      </c>
      <c r="I1668" s="11" t="s">
        <v>350</v>
      </c>
      <c r="J1668" s="11" t="n">
        <v>80.26</v>
      </c>
      <c r="K1668" s="11" t="n">
        <v>82.21</v>
      </c>
      <c r="L1668" s="11" t="n">
        <v>0.316</v>
      </c>
      <c r="M1668" s="11" t="n">
        <v>0.632</v>
      </c>
      <c r="N1668" s="11" t="n">
        <v>1</v>
      </c>
      <c r="O1668" s="11" t="n">
        <v>4.5</v>
      </c>
      <c r="P1668" s="11" t="n">
        <v>1.68</v>
      </c>
      <c r="Q1668" s="11" t="n">
        <v>12.6</v>
      </c>
      <c r="R1668" s="11" t="n">
        <f aca="false">SUM(K1668:Q1668)</f>
        <v>102.938</v>
      </c>
      <c r="S1668" s="11" t="n">
        <f aca="false">R1668/(1-Resumo!$C$6)</f>
        <v>116.975</v>
      </c>
      <c r="T1668" s="11" t="n">
        <f aca="false">S1668-J1668</f>
        <v>36.715</v>
      </c>
      <c r="U1668" s="12" t="n">
        <f aca="false">IFERROR(S1668/J1668-1,0)</f>
        <v>0.457450784948916</v>
      </c>
      <c r="V1668" s="2" t="str">
        <f aca="false">IF(S1668&lt;J1668,"SIM","NÃO")</f>
        <v>NÃO</v>
      </c>
      <c r="W1668" s="2" t="n">
        <v>5</v>
      </c>
      <c r="X1668" s="2" t="s">
        <v>156</v>
      </c>
    </row>
    <row r="1669" customFormat="false" ht="15" hidden="false" customHeight="false" outlineLevel="0" collapsed="false">
      <c r="A1669" s="2" t="n">
        <v>391657048</v>
      </c>
      <c r="B1669" s="29" t="n">
        <v>46274.7007291667</v>
      </c>
      <c r="C1669" s="2" t="s">
        <v>153</v>
      </c>
      <c r="D1669" s="2" t="s">
        <v>1736</v>
      </c>
      <c r="E1669" s="2" t="s">
        <v>78</v>
      </c>
      <c r="F1669" s="2" t="s">
        <v>107</v>
      </c>
      <c r="G1669" s="30" t="n">
        <v>37.2</v>
      </c>
      <c r="H1669" s="11" t="n">
        <v>360.99</v>
      </c>
      <c r="I1669" s="11" t="s">
        <v>155</v>
      </c>
      <c r="J1669" s="11" t="n">
        <v>91.58</v>
      </c>
      <c r="K1669" s="11" t="n">
        <v>93.97</v>
      </c>
      <c r="L1669" s="11" t="n">
        <v>0.361</v>
      </c>
      <c r="M1669" s="11" t="n">
        <v>0.722</v>
      </c>
      <c r="N1669" s="11" t="n">
        <v>1</v>
      </c>
      <c r="O1669" s="11" t="n">
        <v>4.5</v>
      </c>
      <c r="P1669" s="11" t="n">
        <v>2.28</v>
      </c>
      <c r="Q1669" s="11" t="n">
        <v>17.1</v>
      </c>
      <c r="R1669" s="11" t="n">
        <f aca="false">SUM(K1669:Q1669)</f>
        <v>119.933</v>
      </c>
      <c r="S1669" s="11" t="n">
        <f aca="false">R1669/(1-Resumo!$C$6)</f>
        <v>136.2875</v>
      </c>
      <c r="T1669" s="11" t="n">
        <f aca="false">S1669-J1669</f>
        <v>44.7075</v>
      </c>
      <c r="U1669" s="12" t="n">
        <f aca="false">IFERROR(S1669/J1669-1,0)</f>
        <v>0.488179733566281</v>
      </c>
      <c r="V1669" s="2" t="str">
        <f aca="false">IF(S1669&lt;J1669,"SIM","NÃO")</f>
        <v>NÃO</v>
      </c>
      <c r="W1669" s="2" t="n">
        <v>5</v>
      </c>
      <c r="X1669" s="2" t="s">
        <v>156</v>
      </c>
    </row>
    <row r="1670" customFormat="false" ht="15" hidden="false" customHeight="false" outlineLevel="0" collapsed="false">
      <c r="A1670" s="2" t="n">
        <v>391673118</v>
      </c>
      <c r="B1670" s="29" t="n">
        <v>46274.7149537037</v>
      </c>
      <c r="C1670" s="2" t="s">
        <v>153</v>
      </c>
      <c r="D1670" s="2" t="s">
        <v>1737</v>
      </c>
      <c r="E1670" s="2" t="s">
        <v>79</v>
      </c>
      <c r="F1670" s="2" t="s">
        <v>108</v>
      </c>
      <c r="G1670" s="30" t="n">
        <v>44.5</v>
      </c>
      <c r="H1670" s="11" t="n">
        <v>726.99</v>
      </c>
      <c r="I1670" s="11" t="s">
        <v>350</v>
      </c>
      <c r="J1670" s="11" t="n">
        <v>117.35</v>
      </c>
      <c r="K1670" s="11" t="n">
        <v>114.95</v>
      </c>
      <c r="L1670" s="11" t="n">
        <v>0.727</v>
      </c>
      <c r="M1670" s="11" t="n">
        <v>1.454</v>
      </c>
      <c r="N1670" s="11" t="n">
        <v>1</v>
      </c>
      <c r="O1670" s="11" t="n">
        <v>4.5</v>
      </c>
      <c r="P1670" s="11" t="n">
        <v>2.7</v>
      </c>
      <c r="Q1670" s="11" t="n">
        <v>20.25</v>
      </c>
      <c r="R1670" s="11" t="n">
        <f aca="false">SUM(K1670:Q1670)</f>
        <v>145.581</v>
      </c>
      <c r="S1670" s="11" t="n">
        <f aca="false">R1670/(1-Resumo!$C$6)</f>
        <v>165.432954545455</v>
      </c>
      <c r="T1670" s="11" t="n">
        <f aca="false">S1670-J1670</f>
        <v>48.0829545454546</v>
      </c>
      <c r="U1670" s="12" t="n">
        <f aca="false">IFERROR(S1670/J1670-1,0)</f>
        <v>0.409739706395011</v>
      </c>
      <c r="V1670" s="2" t="str">
        <f aca="false">IF(S1670&lt;J1670,"SIM","NÃO")</f>
        <v>NÃO</v>
      </c>
      <c r="W1670" s="2" t="n">
        <v>7</v>
      </c>
      <c r="X1670" s="2" t="s">
        <v>156</v>
      </c>
    </row>
    <row r="1671" customFormat="false" ht="15" hidden="false" customHeight="false" outlineLevel="0" collapsed="false">
      <c r="A1671" s="2" t="n">
        <v>391677007</v>
      </c>
      <c r="B1671" s="29" t="n">
        <v>46274.7197222222</v>
      </c>
      <c r="C1671" s="2" t="s">
        <v>153</v>
      </c>
      <c r="D1671" s="2" t="s">
        <v>1738</v>
      </c>
      <c r="E1671" s="2" t="s">
        <v>85</v>
      </c>
      <c r="F1671" s="2" t="s">
        <v>110</v>
      </c>
      <c r="G1671" s="30" t="n">
        <v>63.9</v>
      </c>
      <c r="H1671" s="11" t="n">
        <v>719.99</v>
      </c>
      <c r="I1671" s="11" t="s">
        <v>350</v>
      </c>
      <c r="J1671" s="11" t="n">
        <v>155.25</v>
      </c>
      <c r="K1671" s="11" t="n">
        <v>171.54</v>
      </c>
      <c r="L1671" s="11" t="n">
        <v>0.72</v>
      </c>
      <c r="M1671" s="11" t="n">
        <v>1.44</v>
      </c>
      <c r="N1671" s="11" t="n">
        <v>1</v>
      </c>
      <c r="O1671" s="11" t="n">
        <v>4.5</v>
      </c>
      <c r="P1671" s="11" t="n">
        <v>3.84</v>
      </c>
      <c r="Q1671" s="11" t="n">
        <v>28.8</v>
      </c>
      <c r="R1671" s="11" t="n">
        <f aca="false">SUM(K1671:Q1671)</f>
        <v>211.84</v>
      </c>
      <c r="S1671" s="11" t="n">
        <f aca="false">R1671/(1-Resumo!$C$6)</f>
        <v>240.727272727273</v>
      </c>
      <c r="T1671" s="11" t="n">
        <f aca="false">S1671-J1671</f>
        <v>85.4772727272727</v>
      </c>
      <c r="U1671" s="12" t="n">
        <f aca="false">IFERROR(S1671/J1671-1,0)</f>
        <v>0.55057824623042</v>
      </c>
      <c r="V1671" s="2" t="str">
        <f aca="false">IF(S1671&lt;J1671,"SIM","NÃO")</f>
        <v>NÃO</v>
      </c>
      <c r="W1671" s="2" t="n">
        <v>11</v>
      </c>
      <c r="X1671" s="2" t="s">
        <v>156</v>
      </c>
    </row>
    <row r="1672" customFormat="false" ht="15" hidden="false" customHeight="false" outlineLevel="0" collapsed="false">
      <c r="A1672" s="2" t="n">
        <v>391683036</v>
      </c>
      <c r="B1672" s="29" t="n">
        <v>46274.7281018519</v>
      </c>
      <c r="C1672" s="2" t="s">
        <v>153</v>
      </c>
      <c r="D1672" s="2" t="s">
        <v>1739</v>
      </c>
      <c r="E1672" s="2" t="s">
        <v>89</v>
      </c>
      <c r="F1672" s="2" t="s">
        <v>110</v>
      </c>
      <c r="G1672" s="30" t="n">
        <v>69.45</v>
      </c>
      <c r="H1672" s="11" t="n">
        <v>859.99</v>
      </c>
      <c r="I1672" s="11" t="s">
        <v>350</v>
      </c>
      <c r="J1672" s="11" t="n">
        <v>159</v>
      </c>
      <c r="K1672" s="11" t="n">
        <v>166.05</v>
      </c>
      <c r="L1672" s="11" t="n">
        <v>0.86</v>
      </c>
      <c r="M1672" s="11" t="n">
        <v>1.72</v>
      </c>
      <c r="N1672" s="11" t="n">
        <v>1</v>
      </c>
      <c r="O1672" s="11" t="n">
        <v>4.5</v>
      </c>
      <c r="P1672" s="11" t="n">
        <v>4.2</v>
      </c>
      <c r="Q1672" s="11" t="n">
        <v>31.5</v>
      </c>
      <c r="R1672" s="11" t="n">
        <f aca="false">SUM(K1672:Q1672)</f>
        <v>209.83</v>
      </c>
      <c r="S1672" s="11" t="n">
        <f aca="false">R1672/(1-Resumo!$C$6)</f>
        <v>238.443181818182</v>
      </c>
      <c r="T1672" s="11" t="n">
        <f aca="false">S1672-J1672</f>
        <v>79.4431818181818</v>
      </c>
      <c r="U1672" s="12" t="n">
        <f aca="false">IFERROR(S1672/J1672-1,0)</f>
        <v>0.49964265294454</v>
      </c>
      <c r="V1672" s="2" t="str">
        <f aca="false">IF(S1672&lt;J1672,"SIM","NÃO")</f>
        <v>NÃO</v>
      </c>
      <c r="W1672" s="2" t="n">
        <v>8</v>
      </c>
      <c r="X1672" s="2" t="s">
        <v>156</v>
      </c>
    </row>
    <row r="1673" customFormat="false" ht="15" hidden="false" customHeight="false" outlineLevel="0" collapsed="false">
      <c r="A1673" s="2" t="n">
        <v>391677862</v>
      </c>
      <c r="B1673" s="29" t="n">
        <v>46274.7646527778</v>
      </c>
      <c r="C1673" s="2" t="s">
        <v>194</v>
      </c>
      <c r="D1673" s="2" t="s">
        <v>1740</v>
      </c>
      <c r="E1673" s="2" t="s">
        <v>88</v>
      </c>
      <c r="F1673" s="2" t="s">
        <v>105</v>
      </c>
      <c r="G1673" s="30" t="n">
        <v>17</v>
      </c>
      <c r="H1673" s="11" t="n">
        <v>281.59</v>
      </c>
      <c r="I1673" s="11" t="s">
        <v>350</v>
      </c>
      <c r="J1673" s="11" t="n">
        <v>79.98</v>
      </c>
      <c r="K1673" s="11" t="n">
        <v>77.35</v>
      </c>
      <c r="L1673" s="11" t="n">
        <v>0.2816</v>
      </c>
      <c r="M1673" s="11" t="n">
        <v>0.5632</v>
      </c>
      <c r="N1673" s="11" t="n">
        <v>1</v>
      </c>
      <c r="O1673" s="11" t="n">
        <v>4.5</v>
      </c>
      <c r="P1673" s="11" t="n">
        <v>1.02</v>
      </c>
      <c r="Q1673" s="11" t="n">
        <v>7.65</v>
      </c>
      <c r="R1673" s="11" t="n">
        <f aca="false">SUM(K1673:Q1673)</f>
        <v>92.3648</v>
      </c>
      <c r="S1673" s="11" t="n">
        <f aca="false">R1673/(1-Resumo!$C$6)</f>
        <v>104.96</v>
      </c>
      <c r="T1673" s="11" t="n">
        <f aca="false">S1673-J1673</f>
        <v>24.98</v>
      </c>
      <c r="U1673" s="12" t="n">
        <f aca="false">IFERROR(S1673/J1673-1,0)</f>
        <v>0.312328082020505</v>
      </c>
      <c r="V1673" s="2" t="str">
        <f aca="false">IF(S1673&lt;J1673,"SIM","NÃO")</f>
        <v>NÃO</v>
      </c>
      <c r="W1673" s="2" t="n">
        <v>10</v>
      </c>
      <c r="X1673" s="2" t="s">
        <v>156</v>
      </c>
    </row>
    <row r="1674" customFormat="false" ht="15" hidden="false" customHeight="false" outlineLevel="0" collapsed="false">
      <c r="A1674" s="2" t="n">
        <v>391721763</v>
      </c>
      <c r="B1674" s="29" t="n">
        <v>46274.7714467593</v>
      </c>
      <c r="C1674" s="2" t="s">
        <v>158</v>
      </c>
      <c r="D1674" s="2" t="s">
        <v>282</v>
      </c>
      <c r="E1674" s="2" t="s">
        <v>283</v>
      </c>
      <c r="F1674" s="2" t="s">
        <v>110</v>
      </c>
      <c r="G1674" s="30" t="n">
        <v>68.1</v>
      </c>
      <c r="H1674" s="11" t="n">
        <v>884.99</v>
      </c>
      <c r="I1674" s="11" t="s">
        <v>350</v>
      </c>
      <c r="J1674" s="11" t="n">
        <v>158.6</v>
      </c>
      <c r="K1674" s="11" t="n">
        <v>171.54</v>
      </c>
      <c r="L1674" s="11" t="n">
        <v>0.885</v>
      </c>
      <c r="M1674" s="11" t="n">
        <v>1.77</v>
      </c>
      <c r="N1674" s="11" t="n">
        <v>1</v>
      </c>
      <c r="O1674" s="11" t="n">
        <v>4.5</v>
      </c>
      <c r="P1674" s="11" t="n">
        <v>4.14</v>
      </c>
      <c r="Q1674" s="11" t="n">
        <v>31.05</v>
      </c>
      <c r="R1674" s="11" t="n">
        <f aca="false">SUM(K1674:Q1674)</f>
        <v>214.885</v>
      </c>
      <c r="S1674" s="11" t="n">
        <f aca="false">R1674/(1-Resumo!$C$6)</f>
        <v>244.1875</v>
      </c>
      <c r="T1674" s="11" t="n">
        <f aca="false">S1674-J1674</f>
        <v>85.5875</v>
      </c>
      <c r="U1674" s="12" t="n">
        <f aca="false">IFERROR(S1674/J1674-1,0)</f>
        <v>0.539643757881463</v>
      </c>
      <c r="V1674" s="2" t="str">
        <f aca="false">IF(S1674&lt;J1674,"SIM","NÃO")</f>
        <v>NÃO</v>
      </c>
      <c r="W1674" s="2" t="n">
        <v>11</v>
      </c>
      <c r="X1674" s="2" t="s">
        <v>161</v>
      </c>
    </row>
    <row r="1675" customFormat="false" ht="15" hidden="false" customHeight="false" outlineLevel="0" collapsed="false">
      <c r="A1675" s="2" t="n">
        <v>391723483</v>
      </c>
      <c r="B1675" s="29" t="n">
        <v>46274.7729398148</v>
      </c>
      <c r="C1675" s="2" t="s">
        <v>153</v>
      </c>
      <c r="D1675" s="2" t="s">
        <v>1741</v>
      </c>
      <c r="E1675" s="2" t="s">
        <v>188</v>
      </c>
      <c r="F1675" s="2" t="s">
        <v>107</v>
      </c>
      <c r="G1675" s="30" t="n">
        <v>37.5</v>
      </c>
      <c r="H1675" s="11" t="n">
        <v>387.99</v>
      </c>
      <c r="I1675" s="11" t="s">
        <v>350</v>
      </c>
      <c r="J1675" s="11" t="n">
        <v>123.06</v>
      </c>
      <c r="K1675" s="11" t="n">
        <v>124.38</v>
      </c>
      <c r="L1675" s="11" t="n">
        <v>0.388</v>
      </c>
      <c r="M1675" s="11" t="n">
        <v>0.776</v>
      </c>
      <c r="N1675" s="11" t="n">
        <v>1</v>
      </c>
      <c r="O1675" s="11" t="n">
        <v>4.5</v>
      </c>
      <c r="P1675" s="11" t="n">
        <v>2.28</v>
      </c>
      <c r="Q1675" s="11" t="n">
        <v>17.1</v>
      </c>
      <c r="R1675" s="11" t="n">
        <f aca="false">SUM(K1675:Q1675)</f>
        <v>150.424</v>
      </c>
      <c r="S1675" s="11" t="n">
        <f aca="false">R1675/(1-Resumo!$C$6)</f>
        <v>170.936363636364</v>
      </c>
      <c r="T1675" s="11" t="n">
        <f aca="false">S1675-J1675</f>
        <v>47.8763636363636</v>
      </c>
      <c r="U1675" s="12" t="n">
        <f aca="false">IFERROR(S1675/J1675-1,0)</f>
        <v>0.389048948775911</v>
      </c>
      <c r="V1675" s="2" t="str">
        <f aca="false">IF(S1675&lt;J1675,"SIM","NÃO")</f>
        <v>NÃO</v>
      </c>
      <c r="W1675" s="2" t="n">
        <v>10</v>
      </c>
      <c r="X1675" s="2" t="s">
        <v>161</v>
      </c>
    </row>
    <row r="1676" customFormat="false" ht="15" hidden="false" customHeight="false" outlineLevel="0" collapsed="false">
      <c r="A1676" s="2" t="n">
        <v>391734382</v>
      </c>
      <c r="B1676" s="29" t="n">
        <v>46274.785474537</v>
      </c>
      <c r="C1676" s="2" t="s">
        <v>153</v>
      </c>
      <c r="D1676" s="2" t="s">
        <v>1090</v>
      </c>
      <c r="E1676" s="2" t="s">
        <v>82</v>
      </c>
      <c r="F1676" s="2" t="s">
        <v>107</v>
      </c>
      <c r="G1676" s="30" t="n">
        <v>40</v>
      </c>
      <c r="H1676" s="11" t="n">
        <v>579.99</v>
      </c>
      <c r="I1676" s="11" t="s">
        <v>155</v>
      </c>
      <c r="J1676" s="11" t="n">
        <v>113.74</v>
      </c>
      <c r="K1676" s="11" t="n">
        <v>114.95</v>
      </c>
      <c r="L1676" s="11" t="n">
        <v>0.58</v>
      </c>
      <c r="M1676" s="11" t="n">
        <v>1.16</v>
      </c>
      <c r="N1676" s="11" t="n">
        <v>1</v>
      </c>
      <c r="O1676" s="11" t="n">
        <v>4.5</v>
      </c>
      <c r="P1676" s="11" t="n">
        <v>2.4</v>
      </c>
      <c r="Q1676" s="11" t="n">
        <v>18</v>
      </c>
      <c r="R1676" s="11" t="n">
        <f aca="false">SUM(K1676:Q1676)</f>
        <v>142.59</v>
      </c>
      <c r="S1676" s="11" t="n">
        <f aca="false">R1676/(1-Resumo!$C$6)</f>
        <v>162.034090909091</v>
      </c>
      <c r="T1676" s="11" t="n">
        <f aca="false">S1676-J1676</f>
        <v>48.2940909090909</v>
      </c>
      <c r="U1676" s="12" t="n">
        <f aca="false">IFERROR(S1676/J1676-1,0)</f>
        <v>0.424600764103138</v>
      </c>
      <c r="V1676" s="2" t="str">
        <f aca="false">IF(S1676&lt;J1676,"SIM","NÃO")</f>
        <v>NÃO</v>
      </c>
      <c r="W1676" s="2" t="n">
        <v>7</v>
      </c>
      <c r="X1676" s="2" t="s">
        <v>156</v>
      </c>
    </row>
    <row r="1677" customFormat="false" ht="15" hidden="false" customHeight="false" outlineLevel="0" collapsed="false">
      <c r="A1677" s="2" t="n">
        <v>391738080</v>
      </c>
      <c r="B1677" s="29" t="n">
        <v>46274.7899421296</v>
      </c>
      <c r="C1677" s="2" t="s">
        <v>153</v>
      </c>
      <c r="D1677" s="2" t="s">
        <v>1742</v>
      </c>
      <c r="E1677" s="2" t="s">
        <v>79</v>
      </c>
      <c r="F1677" s="2" t="s">
        <v>110</v>
      </c>
      <c r="G1677" s="30" t="n">
        <v>68.7</v>
      </c>
      <c r="H1677" s="11" t="n">
        <v>749.99</v>
      </c>
      <c r="I1677" s="11" t="s">
        <v>350</v>
      </c>
      <c r="J1677" s="11" t="n">
        <v>142.43</v>
      </c>
      <c r="K1677" s="11" t="n">
        <v>149.5</v>
      </c>
      <c r="L1677" s="11" t="n">
        <v>0.75</v>
      </c>
      <c r="M1677" s="11" t="n">
        <v>1.5</v>
      </c>
      <c r="N1677" s="11" t="n">
        <v>1</v>
      </c>
      <c r="O1677" s="11" t="n">
        <v>4.5</v>
      </c>
      <c r="P1677" s="11" t="n">
        <v>4.14</v>
      </c>
      <c r="Q1677" s="11" t="n">
        <v>31.05</v>
      </c>
      <c r="R1677" s="11" t="n">
        <f aca="false">SUM(K1677:Q1677)</f>
        <v>192.44</v>
      </c>
      <c r="S1677" s="11" t="n">
        <f aca="false">R1677/(1-Resumo!$C$6)</f>
        <v>218.681818181818</v>
      </c>
      <c r="T1677" s="11" t="n">
        <f aca="false">S1677-J1677</f>
        <v>76.2518181818182</v>
      </c>
      <c r="U1677" s="12" t="n">
        <f aca="false">IFERROR(S1677/J1677-1,0)</f>
        <v>0.535363464030177</v>
      </c>
      <c r="V1677" s="2" t="str">
        <f aca="false">IF(S1677&lt;J1677,"SIM","NÃO")</f>
        <v>NÃO</v>
      </c>
      <c r="W1677" s="2" t="n">
        <v>7</v>
      </c>
      <c r="X1677" s="2" t="s">
        <v>156</v>
      </c>
    </row>
    <row r="1678" customFormat="false" ht="15" hidden="false" customHeight="false" outlineLevel="0" collapsed="false">
      <c r="A1678" s="2" t="n">
        <v>391746647</v>
      </c>
      <c r="B1678" s="29" t="n">
        <v>46274.8138194445</v>
      </c>
      <c r="C1678" s="2" t="s">
        <v>178</v>
      </c>
      <c r="D1678" s="2" t="s">
        <v>1743</v>
      </c>
      <c r="E1678" s="2" t="s">
        <v>79</v>
      </c>
      <c r="F1678" s="2" t="s">
        <v>106</v>
      </c>
      <c r="G1678" s="30" t="n">
        <v>30.5</v>
      </c>
      <c r="H1678" s="11" t="n">
        <v>499.99</v>
      </c>
      <c r="I1678" s="11" t="s">
        <v>350</v>
      </c>
      <c r="J1678" s="11" t="n">
        <v>101.65</v>
      </c>
      <c r="K1678" s="11" t="n">
        <v>100.58</v>
      </c>
      <c r="L1678" s="11" t="n">
        <v>0.5</v>
      </c>
      <c r="M1678" s="11" t="n">
        <v>1</v>
      </c>
      <c r="N1678" s="11" t="n">
        <v>1</v>
      </c>
      <c r="O1678" s="11" t="n">
        <v>4.5</v>
      </c>
      <c r="P1678" s="11" t="n">
        <v>1.86</v>
      </c>
      <c r="Q1678" s="11" t="n">
        <v>13.95</v>
      </c>
      <c r="R1678" s="11" t="n">
        <f aca="false">SUM(K1678:Q1678)</f>
        <v>123.39</v>
      </c>
      <c r="S1678" s="11" t="n">
        <f aca="false">R1678/(1-Resumo!$C$6)</f>
        <v>140.215909090909</v>
      </c>
      <c r="T1678" s="11" t="n">
        <f aca="false">S1678-J1678</f>
        <v>38.5659090909091</v>
      </c>
      <c r="U1678" s="12" t="n">
        <f aca="false">IFERROR(S1678/J1678-1,0)</f>
        <v>0.379399007288825</v>
      </c>
      <c r="V1678" s="2" t="str">
        <f aca="false">IF(S1678&lt;J1678,"SIM","NÃO")</f>
        <v>NÃO</v>
      </c>
      <c r="W1678" s="2" t="n">
        <v>7</v>
      </c>
      <c r="X1678" s="2" t="s">
        <v>156</v>
      </c>
    </row>
    <row r="1679" customFormat="false" ht="15" hidden="false" customHeight="false" outlineLevel="0" collapsed="false">
      <c r="A1679" s="2" t="n">
        <v>391758388</v>
      </c>
      <c r="B1679" s="29" t="n">
        <v>46274.8152893519</v>
      </c>
      <c r="C1679" s="2" t="s">
        <v>153</v>
      </c>
      <c r="D1679" s="2" t="s">
        <v>1744</v>
      </c>
      <c r="E1679" s="2" t="s">
        <v>95</v>
      </c>
      <c r="F1679" s="2" t="s">
        <v>106</v>
      </c>
      <c r="G1679" s="30" t="n">
        <v>35</v>
      </c>
      <c r="H1679" s="11" t="n">
        <v>499.99</v>
      </c>
      <c r="I1679" s="11" t="s">
        <v>350</v>
      </c>
      <c r="J1679" s="11" t="n">
        <v>111.45</v>
      </c>
      <c r="K1679" s="11" t="n">
        <v>103.28</v>
      </c>
      <c r="L1679" s="11" t="n">
        <v>0.5</v>
      </c>
      <c r="M1679" s="11" t="n">
        <v>1</v>
      </c>
      <c r="N1679" s="11" t="n">
        <v>1</v>
      </c>
      <c r="O1679" s="11" t="n">
        <v>4.5</v>
      </c>
      <c r="P1679" s="11" t="n">
        <v>2.1</v>
      </c>
      <c r="Q1679" s="11" t="n">
        <v>15.75</v>
      </c>
      <c r="R1679" s="11" t="n">
        <f aca="false">SUM(K1679:Q1679)</f>
        <v>128.13</v>
      </c>
      <c r="S1679" s="11" t="n">
        <f aca="false">R1679/(1-Resumo!$C$6)</f>
        <v>145.602272727273</v>
      </c>
      <c r="T1679" s="11" t="n">
        <f aca="false">S1679-J1679</f>
        <v>34.1522727272727</v>
      </c>
      <c r="U1679" s="12" t="n">
        <f aca="false">IFERROR(S1679/J1679-1,0)</f>
        <v>0.306435825278355</v>
      </c>
      <c r="V1679" s="2" t="str">
        <f aca="false">IF(S1679&lt;J1679,"SIM","NÃO")</f>
        <v>NÃO</v>
      </c>
      <c r="W1679" s="2" t="n">
        <v>6</v>
      </c>
      <c r="X1679" s="2" t="s">
        <v>156</v>
      </c>
    </row>
    <row r="1680" customFormat="false" ht="15" hidden="false" customHeight="false" outlineLevel="0" collapsed="false">
      <c r="A1680" s="2" t="n">
        <v>391843893</v>
      </c>
      <c r="B1680" s="29" t="n">
        <v>46274.8171990741</v>
      </c>
      <c r="C1680" s="2" t="s">
        <v>153</v>
      </c>
      <c r="D1680" s="2" t="s">
        <v>1745</v>
      </c>
      <c r="E1680" s="2" t="s">
        <v>78</v>
      </c>
      <c r="F1680" s="2" t="s">
        <v>105</v>
      </c>
      <c r="G1680" s="30" t="n">
        <v>19.9</v>
      </c>
      <c r="H1680" s="11" t="n">
        <v>252.99</v>
      </c>
      <c r="I1680" s="11" t="s">
        <v>155</v>
      </c>
      <c r="J1680" s="11" t="n">
        <v>64.44</v>
      </c>
      <c r="K1680" s="11" t="n">
        <v>46.98</v>
      </c>
      <c r="L1680" s="11" t="n">
        <v>0.253</v>
      </c>
      <c r="M1680" s="11" t="n">
        <v>0.506</v>
      </c>
      <c r="N1680" s="11" t="n">
        <v>1</v>
      </c>
      <c r="O1680" s="11" t="n">
        <v>4.5</v>
      </c>
      <c r="P1680" s="11" t="n">
        <v>1.2</v>
      </c>
      <c r="Q1680" s="11" t="n">
        <v>9</v>
      </c>
      <c r="R1680" s="11" t="n">
        <f aca="false">SUM(K1680:Q1680)</f>
        <v>63.439</v>
      </c>
      <c r="S1680" s="11" t="n">
        <f aca="false">R1680/(1-Resumo!$C$6)</f>
        <v>72.0897727272727</v>
      </c>
      <c r="T1680" s="11" t="n">
        <f aca="false">S1680-J1680</f>
        <v>7.64977272727273</v>
      </c>
      <c r="U1680" s="12" t="n">
        <f aca="false">IFERROR(S1680/J1680-1,0)</f>
        <v>0.118711556909881</v>
      </c>
      <c r="V1680" s="2" t="str">
        <f aca="false">IF(S1680&lt;J1680,"SIM","NÃO")</f>
        <v>NÃO</v>
      </c>
      <c r="W1680" s="2" t="n">
        <v>5</v>
      </c>
      <c r="X1680" s="2" t="s">
        <v>156</v>
      </c>
    </row>
    <row r="1681" customFormat="false" ht="15" hidden="false" customHeight="false" outlineLevel="0" collapsed="false">
      <c r="A1681" s="2" t="n">
        <v>391776116</v>
      </c>
      <c r="B1681" s="29" t="n">
        <v>46274.8332638889</v>
      </c>
      <c r="C1681" s="2" t="s">
        <v>153</v>
      </c>
      <c r="D1681" s="2" t="s">
        <v>1746</v>
      </c>
      <c r="E1681" s="2" t="s">
        <v>342</v>
      </c>
      <c r="F1681" s="2" t="s">
        <v>110</v>
      </c>
      <c r="G1681" s="30" t="n">
        <v>61.5</v>
      </c>
      <c r="H1681" s="11" t="n">
        <v>708.99</v>
      </c>
      <c r="I1681" s="11" t="s">
        <v>350</v>
      </c>
      <c r="J1681" s="11" t="n">
        <v>154.18</v>
      </c>
      <c r="K1681" s="11" t="n">
        <v>166.05</v>
      </c>
      <c r="L1681" s="11" t="n">
        <v>0.709</v>
      </c>
      <c r="M1681" s="11" t="n">
        <v>1.418</v>
      </c>
      <c r="N1681" s="11" t="n">
        <v>1</v>
      </c>
      <c r="O1681" s="11" t="n">
        <v>4.5</v>
      </c>
      <c r="P1681" s="11" t="n">
        <v>3.72</v>
      </c>
      <c r="Q1681" s="11" t="n">
        <v>27.9</v>
      </c>
      <c r="R1681" s="11" t="n">
        <f aca="false">SUM(K1681:Q1681)</f>
        <v>205.297</v>
      </c>
      <c r="S1681" s="11" t="n">
        <f aca="false">R1681/(1-Resumo!$C$6)</f>
        <v>233.292045454545</v>
      </c>
      <c r="T1681" s="11" t="n">
        <f aca="false">S1681-J1681</f>
        <v>79.1120454545455</v>
      </c>
      <c r="U1681" s="12" t="n">
        <f aca="false">IFERROR(S1681/J1681-1,0)</f>
        <v>0.513114836259862</v>
      </c>
      <c r="V1681" s="2" t="str">
        <f aca="false">IF(S1681&lt;J1681,"SIM","NÃO")</f>
        <v>NÃO</v>
      </c>
      <c r="W1681" s="2" t="n">
        <v>10</v>
      </c>
      <c r="X1681" s="2" t="s">
        <v>161</v>
      </c>
    </row>
    <row r="1682" customFormat="false" ht="15" hidden="false" customHeight="false" outlineLevel="0" collapsed="false">
      <c r="A1682" s="2" t="n">
        <v>391500892</v>
      </c>
      <c r="B1682" s="29" t="n">
        <v>46274.8413078704</v>
      </c>
      <c r="C1682" s="2" t="s">
        <v>178</v>
      </c>
      <c r="D1682" s="2" t="s">
        <v>1747</v>
      </c>
      <c r="E1682" s="2" t="s">
        <v>78</v>
      </c>
      <c r="F1682" s="2" t="s">
        <v>106</v>
      </c>
      <c r="G1682" s="30" t="n">
        <v>22.4</v>
      </c>
      <c r="H1682" s="11" t="n">
        <v>629.99</v>
      </c>
      <c r="I1682" s="11" t="s">
        <v>155</v>
      </c>
      <c r="J1682" s="11" t="n">
        <v>83.34</v>
      </c>
      <c r="K1682" s="11" t="n">
        <v>82.21</v>
      </c>
      <c r="L1682" s="11" t="n">
        <v>0.63</v>
      </c>
      <c r="M1682" s="11" t="n">
        <v>1.26</v>
      </c>
      <c r="N1682" s="11" t="n">
        <v>1</v>
      </c>
      <c r="O1682" s="11" t="n">
        <v>4.5</v>
      </c>
      <c r="P1682" s="11" t="n">
        <v>1.38</v>
      </c>
      <c r="Q1682" s="11" t="n">
        <v>10.35</v>
      </c>
      <c r="R1682" s="11" t="n">
        <f aca="false">SUM(K1682:Q1682)</f>
        <v>101.33</v>
      </c>
      <c r="S1682" s="11" t="n">
        <f aca="false">R1682/(1-Resumo!$C$6)</f>
        <v>115.147727272727</v>
      </c>
      <c r="T1682" s="11" t="n">
        <f aca="false">S1682-J1682</f>
        <v>31.8077272727273</v>
      </c>
      <c r="U1682" s="12" t="n">
        <f aca="false">IFERROR(S1682/J1682-1,0)</f>
        <v>0.381662194297183</v>
      </c>
      <c r="V1682" s="2" t="str">
        <f aca="false">IF(S1682&lt;J1682,"SIM","NÃO")</f>
        <v>NÃO</v>
      </c>
      <c r="W1682" s="2" t="n">
        <v>5</v>
      </c>
      <c r="X1682" s="2" t="s">
        <v>156</v>
      </c>
    </row>
    <row r="1683" customFormat="false" ht="15" hidden="false" customHeight="false" outlineLevel="0" collapsed="false">
      <c r="A1683" s="2" t="n">
        <v>391787335</v>
      </c>
      <c r="B1683" s="29" t="n">
        <v>46274.8485532407</v>
      </c>
      <c r="C1683" s="2" t="s">
        <v>178</v>
      </c>
      <c r="D1683" s="2" t="s">
        <v>1748</v>
      </c>
      <c r="E1683" s="2" t="s">
        <v>78</v>
      </c>
      <c r="F1683" s="2" t="s">
        <v>106</v>
      </c>
      <c r="G1683" s="30" t="n">
        <v>22.4</v>
      </c>
      <c r="H1683" s="11" t="n">
        <v>599.99</v>
      </c>
      <c r="I1683" s="11" t="s">
        <v>155</v>
      </c>
      <c r="J1683" s="11" t="n">
        <v>83.2</v>
      </c>
      <c r="K1683" s="11" t="n">
        <v>82.21</v>
      </c>
      <c r="L1683" s="11" t="n">
        <v>0.6</v>
      </c>
      <c r="M1683" s="11" t="n">
        <v>1.2</v>
      </c>
      <c r="N1683" s="11" t="n">
        <v>1</v>
      </c>
      <c r="O1683" s="11" t="n">
        <v>4.5</v>
      </c>
      <c r="P1683" s="11" t="n">
        <v>1.38</v>
      </c>
      <c r="Q1683" s="11" t="n">
        <v>10.35</v>
      </c>
      <c r="R1683" s="11" t="n">
        <f aca="false">SUM(K1683:Q1683)</f>
        <v>101.24</v>
      </c>
      <c r="S1683" s="11" t="n">
        <f aca="false">R1683/(1-Resumo!$C$6)</f>
        <v>115.045454545455</v>
      </c>
      <c r="T1683" s="11" t="n">
        <f aca="false">S1683-J1683</f>
        <v>31.8454545454545</v>
      </c>
      <c r="U1683" s="12" t="n">
        <f aca="false">IFERROR(S1683/J1683-1,0)</f>
        <v>0.382757867132867</v>
      </c>
      <c r="V1683" s="2" t="str">
        <f aca="false">IF(S1683&lt;J1683,"SIM","NÃO")</f>
        <v>NÃO</v>
      </c>
      <c r="W1683" s="2" t="n">
        <v>5</v>
      </c>
      <c r="X1683" s="2" t="s">
        <v>156</v>
      </c>
    </row>
    <row r="1684" customFormat="false" ht="15" hidden="false" customHeight="false" outlineLevel="0" collapsed="false">
      <c r="A1684" s="2" t="n">
        <v>391815587</v>
      </c>
      <c r="B1684" s="29" t="n">
        <v>46274.8581481482</v>
      </c>
      <c r="C1684" s="2" t="s">
        <v>153</v>
      </c>
      <c r="D1684" s="2" t="s">
        <v>1749</v>
      </c>
      <c r="E1684" s="2" t="s">
        <v>78</v>
      </c>
      <c r="F1684" s="2" t="s">
        <v>106</v>
      </c>
      <c r="G1684" s="30" t="n">
        <v>25.8</v>
      </c>
      <c r="H1684" s="11" t="n">
        <v>309.58</v>
      </c>
      <c r="I1684" s="11" t="s">
        <v>155</v>
      </c>
      <c r="J1684" s="11" t="n">
        <v>81.81</v>
      </c>
      <c r="K1684" s="11" t="n">
        <v>82.21</v>
      </c>
      <c r="L1684" s="11" t="n">
        <v>0.3096</v>
      </c>
      <c r="M1684" s="11" t="n">
        <v>0.6192</v>
      </c>
      <c r="N1684" s="11" t="n">
        <v>1</v>
      </c>
      <c r="O1684" s="11" t="n">
        <v>4.5</v>
      </c>
      <c r="P1684" s="11" t="n">
        <v>1.56</v>
      </c>
      <c r="Q1684" s="11" t="n">
        <v>11.7</v>
      </c>
      <c r="R1684" s="11" t="n">
        <f aca="false">SUM(K1684:Q1684)</f>
        <v>101.8988</v>
      </c>
      <c r="S1684" s="11" t="n">
        <f aca="false">R1684/(1-Resumo!$C$6)</f>
        <v>115.794090909091</v>
      </c>
      <c r="T1684" s="11" t="n">
        <f aca="false">S1684-J1684</f>
        <v>33.9840909090909</v>
      </c>
      <c r="U1684" s="12" t="n">
        <f aca="false">IFERROR(S1684/J1684-1,0)</f>
        <v>0.415402651376249</v>
      </c>
      <c r="V1684" s="2" t="str">
        <f aca="false">IF(S1684&lt;J1684,"SIM","NÃO")</f>
        <v>NÃO</v>
      </c>
      <c r="W1684" s="2" t="n">
        <v>5</v>
      </c>
      <c r="X1684" s="2" t="s">
        <v>156</v>
      </c>
    </row>
    <row r="1685" customFormat="false" ht="15" hidden="false" customHeight="false" outlineLevel="0" collapsed="false">
      <c r="A1685" s="2" t="n">
        <v>391805369</v>
      </c>
      <c r="B1685" s="29" t="n">
        <v>46274.8591435185</v>
      </c>
      <c r="C1685" s="2" t="s">
        <v>158</v>
      </c>
      <c r="D1685" s="2" t="s">
        <v>361</v>
      </c>
      <c r="E1685" s="2" t="s">
        <v>78</v>
      </c>
      <c r="F1685" s="2" t="s">
        <v>106</v>
      </c>
      <c r="G1685" s="30" t="n">
        <v>31.9</v>
      </c>
      <c r="H1685" s="11" t="n">
        <v>483.99</v>
      </c>
      <c r="I1685" s="11" t="s">
        <v>155</v>
      </c>
      <c r="J1685" s="11" t="n">
        <v>82.65</v>
      </c>
      <c r="K1685" s="11" t="n">
        <v>82.21</v>
      </c>
      <c r="L1685" s="11" t="n">
        <v>0.484</v>
      </c>
      <c r="M1685" s="11" t="n">
        <v>0.968</v>
      </c>
      <c r="N1685" s="11" t="n">
        <v>1</v>
      </c>
      <c r="O1685" s="11" t="n">
        <v>4.5</v>
      </c>
      <c r="P1685" s="11" t="n">
        <v>1.92</v>
      </c>
      <c r="Q1685" s="11" t="n">
        <v>14.4</v>
      </c>
      <c r="R1685" s="11" t="n">
        <f aca="false">SUM(K1685:Q1685)</f>
        <v>105.482</v>
      </c>
      <c r="S1685" s="11" t="n">
        <f aca="false">R1685/(1-Resumo!$C$6)</f>
        <v>119.865909090909</v>
      </c>
      <c r="T1685" s="11" t="n">
        <f aca="false">S1685-J1685</f>
        <v>37.2159090909091</v>
      </c>
      <c r="U1685" s="12" t="n">
        <f aca="false">IFERROR(S1685/J1685-1,0)</f>
        <v>0.450283231589947</v>
      </c>
      <c r="V1685" s="2" t="str">
        <f aca="false">IF(S1685&lt;J1685,"SIM","NÃO")</f>
        <v>NÃO</v>
      </c>
      <c r="W1685" s="2" t="n">
        <v>5</v>
      </c>
      <c r="X1685" s="2" t="s">
        <v>156</v>
      </c>
    </row>
    <row r="1686" customFormat="false" ht="15" hidden="false" customHeight="false" outlineLevel="0" collapsed="false">
      <c r="A1686" s="2" t="n">
        <v>391810925</v>
      </c>
      <c r="B1686" s="29" t="n">
        <v>46274.8636111111</v>
      </c>
      <c r="C1686" s="2" t="s">
        <v>158</v>
      </c>
      <c r="D1686" s="2" t="s">
        <v>754</v>
      </c>
      <c r="E1686" s="2" t="s">
        <v>755</v>
      </c>
      <c r="F1686" s="2" t="s">
        <v>108</v>
      </c>
      <c r="G1686" s="30" t="n">
        <v>48.6</v>
      </c>
      <c r="H1686" s="11" t="n">
        <v>604.3</v>
      </c>
      <c r="I1686" s="11" t="s">
        <v>350</v>
      </c>
      <c r="J1686" s="11" t="n">
        <v>132.83</v>
      </c>
      <c r="K1686" s="11" t="n">
        <v>129.29</v>
      </c>
      <c r="L1686" s="11" t="n">
        <v>0.6043</v>
      </c>
      <c r="M1686" s="11" t="n">
        <v>1.2086</v>
      </c>
      <c r="N1686" s="11" t="n">
        <v>1</v>
      </c>
      <c r="O1686" s="11" t="n">
        <v>4.5</v>
      </c>
      <c r="P1686" s="11" t="n">
        <v>2.94</v>
      </c>
      <c r="Q1686" s="11" t="n">
        <v>22.05</v>
      </c>
      <c r="R1686" s="11" t="n">
        <f aca="false">SUM(K1686:Q1686)</f>
        <v>161.5929</v>
      </c>
      <c r="S1686" s="11" t="n">
        <f aca="false">R1686/(1-Resumo!$C$6)</f>
        <v>183.628295454545</v>
      </c>
      <c r="T1686" s="11" t="n">
        <f aca="false">S1686-J1686</f>
        <v>50.7982954545455</v>
      </c>
      <c r="U1686" s="12" t="n">
        <f aca="false">IFERROR(S1686/J1686-1,0)</f>
        <v>0.382430892528386</v>
      </c>
      <c r="V1686" s="2" t="str">
        <f aca="false">IF(S1686&lt;J1686,"SIM","NÃO")</f>
        <v>NÃO</v>
      </c>
      <c r="W1686" s="2" t="n">
        <v>10</v>
      </c>
      <c r="X1686" s="2" t="s">
        <v>161</v>
      </c>
    </row>
    <row r="1687" customFormat="false" ht="15" hidden="false" customHeight="false" outlineLevel="0" collapsed="false">
      <c r="A1687" s="2" t="n">
        <v>391826984</v>
      </c>
      <c r="B1687" s="29" t="n">
        <v>46274.8779976852</v>
      </c>
      <c r="C1687" s="2" t="s">
        <v>158</v>
      </c>
      <c r="D1687" s="2" t="s">
        <v>1750</v>
      </c>
      <c r="E1687" s="2" t="s">
        <v>79</v>
      </c>
      <c r="F1687" s="2" t="s">
        <v>112</v>
      </c>
      <c r="G1687" s="30" t="n">
        <v>81.7</v>
      </c>
      <c r="H1687" s="11" t="n">
        <v>645.99</v>
      </c>
      <c r="I1687" s="11" t="s">
        <v>350</v>
      </c>
      <c r="J1687" s="11" t="n">
        <v>166.52</v>
      </c>
      <c r="K1687" s="11" t="n">
        <v>178.42</v>
      </c>
      <c r="L1687" s="11" t="n">
        <v>0.646</v>
      </c>
      <c r="M1687" s="11" t="n">
        <v>1.292</v>
      </c>
      <c r="N1687" s="11" t="n">
        <v>1</v>
      </c>
      <c r="O1687" s="11" t="n">
        <v>4.5</v>
      </c>
      <c r="P1687" s="11" t="n">
        <v>4.92</v>
      </c>
      <c r="Q1687" s="11" t="n">
        <v>36.9</v>
      </c>
      <c r="R1687" s="11" t="n">
        <f aca="false">SUM(K1687:Q1687)</f>
        <v>227.678</v>
      </c>
      <c r="S1687" s="11" t="n">
        <f aca="false">R1687/(1-Resumo!$C$6)</f>
        <v>258.725</v>
      </c>
      <c r="T1687" s="11" t="n">
        <f aca="false">S1687-J1687</f>
        <v>92.205</v>
      </c>
      <c r="U1687" s="12" t="n">
        <f aca="false">IFERROR(S1687/J1687-1,0)</f>
        <v>0.553717271198655</v>
      </c>
      <c r="V1687" s="2" t="str">
        <f aca="false">IF(S1687&lt;J1687,"SIM","NÃO")</f>
        <v>NÃO</v>
      </c>
      <c r="W1687" s="2" t="n">
        <v>7</v>
      </c>
      <c r="X1687" s="2" t="s">
        <v>156</v>
      </c>
    </row>
    <row r="1688" customFormat="false" ht="15" hidden="false" customHeight="false" outlineLevel="0" collapsed="false">
      <c r="A1688" s="2" t="n">
        <v>391826824</v>
      </c>
      <c r="B1688" s="29" t="n">
        <v>46274.8781481482</v>
      </c>
      <c r="C1688" s="2" t="s">
        <v>198</v>
      </c>
      <c r="D1688" s="2" t="s">
        <v>1751</v>
      </c>
      <c r="E1688" s="2" t="s">
        <v>78</v>
      </c>
      <c r="F1688" s="2" t="s">
        <v>106</v>
      </c>
      <c r="G1688" s="30" t="n">
        <v>27</v>
      </c>
      <c r="H1688" s="11" t="n">
        <v>369.99</v>
      </c>
      <c r="I1688" s="11" t="s">
        <v>155</v>
      </c>
      <c r="J1688" s="11" t="n">
        <v>82.1</v>
      </c>
      <c r="K1688" s="11" t="n">
        <v>82.21</v>
      </c>
      <c r="L1688" s="11" t="n">
        <v>0.37</v>
      </c>
      <c r="M1688" s="11" t="n">
        <v>0.74</v>
      </c>
      <c r="N1688" s="11" t="n">
        <v>1</v>
      </c>
      <c r="O1688" s="11" t="n">
        <v>4.5</v>
      </c>
      <c r="P1688" s="11" t="n">
        <v>1.62</v>
      </c>
      <c r="Q1688" s="11" t="n">
        <v>12.15</v>
      </c>
      <c r="R1688" s="11" t="n">
        <f aca="false">SUM(K1688:Q1688)</f>
        <v>102.59</v>
      </c>
      <c r="S1688" s="11" t="n">
        <f aca="false">R1688/(1-Resumo!$C$6)</f>
        <v>116.579545454545</v>
      </c>
      <c r="T1688" s="11" t="n">
        <f aca="false">S1688-J1688</f>
        <v>34.4795454545455</v>
      </c>
      <c r="U1688" s="12" t="n">
        <f aca="false">IFERROR(S1688/J1688-1,0)</f>
        <v>0.419970102978629</v>
      </c>
      <c r="V1688" s="2" t="str">
        <f aca="false">IF(S1688&lt;J1688,"SIM","NÃO")</f>
        <v>NÃO</v>
      </c>
      <c r="W1688" s="2" t="n">
        <v>5</v>
      </c>
      <c r="X1688" s="2" t="s">
        <v>156</v>
      </c>
    </row>
    <row r="1689" customFormat="false" ht="15" hidden="false" customHeight="false" outlineLevel="0" collapsed="false">
      <c r="A1689" s="2" t="n">
        <v>391845443</v>
      </c>
      <c r="B1689" s="29" t="n">
        <v>46274.893125</v>
      </c>
      <c r="C1689" s="2" t="s">
        <v>153</v>
      </c>
      <c r="D1689" s="2" t="s">
        <v>1752</v>
      </c>
      <c r="E1689" s="2" t="s">
        <v>90</v>
      </c>
      <c r="F1689" s="2" t="s">
        <v>108</v>
      </c>
      <c r="G1689" s="30" t="n">
        <v>45.3</v>
      </c>
      <c r="H1689" s="11" t="n">
        <v>625.99</v>
      </c>
      <c r="I1689" s="11" t="s">
        <v>350</v>
      </c>
      <c r="J1689" s="11" t="n">
        <v>131.39</v>
      </c>
      <c r="K1689" s="11" t="n">
        <v>114.95</v>
      </c>
      <c r="L1689" s="11" t="n">
        <v>0.626</v>
      </c>
      <c r="M1689" s="11" t="n">
        <v>1.252</v>
      </c>
      <c r="N1689" s="11" t="n">
        <v>1</v>
      </c>
      <c r="O1689" s="11" t="n">
        <v>4.5</v>
      </c>
      <c r="P1689" s="11" t="n">
        <v>2.76</v>
      </c>
      <c r="Q1689" s="11" t="n">
        <v>20.7</v>
      </c>
      <c r="R1689" s="11" t="n">
        <f aca="false">SUM(K1689:Q1689)</f>
        <v>145.788</v>
      </c>
      <c r="S1689" s="11" t="n">
        <f aca="false">R1689/(1-Resumo!$C$6)</f>
        <v>165.668181818182</v>
      </c>
      <c r="T1689" s="11" t="n">
        <f aca="false">S1689-J1689</f>
        <v>34.2781818181819</v>
      </c>
      <c r="U1689" s="12" t="n">
        <f aca="false">IFERROR(S1689/J1689-1,0)</f>
        <v>0.260888818161061</v>
      </c>
      <c r="V1689" s="2" t="str">
        <f aca="false">IF(S1689&lt;J1689,"SIM","NÃO")</f>
        <v>NÃO</v>
      </c>
      <c r="W1689" s="2" t="n">
        <v>7</v>
      </c>
      <c r="X1689" s="2" t="s">
        <v>156</v>
      </c>
    </row>
    <row r="1690" customFormat="false" ht="15" hidden="false" customHeight="false" outlineLevel="0" collapsed="false">
      <c r="A1690" s="2" t="n">
        <v>391845321</v>
      </c>
      <c r="B1690" s="29" t="n">
        <v>46274.8934143519</v>
      </c>
      <c r="C1690" s="2" t="s">
        <v>153</v>
      </c>
      <c r="D1690" s="2" t="s">
        <v>1753</v>
      </c>
      <c r="E1690" s="2" t="s">
        <v>78</v>
      </c>
      <c r="F1690" s="2" t="s">
        <v>107</v>
      </c>
      <c r="G1690" s="30" t="n">
        <v>35.3</v>
      </c>
      <c r="H1690" s="11" t="n">
        <v>432.99</v>
      </c>
      <c r="I1690" s="11" t="s">
        <v>350</v>
      </c>
      <c r="J1690" s="11" t="n">
        <v>92.01</v>
      </c>
      <c r="K1690" s="11" t="n">
        <v>93.97</v>
      </c>
      <c r="L1690" s="11" t="n">
        <v>0.433</v>
      </c>
      <c r="M1690" s="11" t="n">
        <v>0.866</v>
      </c>
      <c r="N1690" s="11" t="n">
        <v>1</v>
      </c>
      <c r="O1690" s="11" t="n">
        <v>4.5</v>
      </c>
      <c r="P1690" s="11" t="n">
        <v>2.16</v>
      </c>
      <c r="Q1690" s="11" t="n">
        <v>16.2</v>
      </c>
      <c r="R1690" s="11" t="n">
        <f aca="false">SUM(K1690:Q1690)</f>
        <v>119.129</v>
      </c>
      <c r="S1690" s="11" t="n">
        <f aca="false">R1690/(1-Resumo!$C$6)</f>
        <v>135.373863636364</v>
      </c>
      <c r="T1690" s="11" t="n">
        <f aca="false">S1690-J1690</f>
        <v>43.3638636363636</v>
      </c>
      <c r="U1690" s="12" t="n">
        <f aca="false">IFERROR(S1690/J1690-1,0)</f>
        <v>0.471295116143502</v>
      </c>
      <c r="V1690" s="2" t="str">
        <f aca="false">IF(S1690&lt;J1690,"SIM","NÃO")</f>
        <v>NÃO</v>
      </c>
      <c r="W1690" s="2" t="n">
        <v>5</v>
      </c>
      <c r="X1690" s="2" t="s">
        <v>156</v>
      </c>
    </row>
    <row r="1691" customFormat="false" ht="15" hidden="false" customHeight="false" outlineLevel="0" collapsed="false">
      <c r="A1691" s="2" t="n">
        <v>391869730</v>
      </c>
      <c r="B1691" s="29" t="n">
        <v>46274.9019328704</v>
      </c>
      <c r="C1691" s="2" t="s">
        <v>153</v>
      </c>
      <c r="D1691" s="2" t="s">
        <v>963</v>
      </c>
      <c r="E1691" s="2" t="s">
        <v>79</v>
      </c>
      <c r="F1691" s="2" t="s">
        <v>110</v>
      </c>
      <c r="G1691" s="30" t="n">
        <v>66.8</v>
      </c>
      <c r="H1691" s="11" t="n">
        <v>643.99</v>
      </c>
      <c r="I1691" s="11" t="s">
        <v>350</v>
      </c>
      <c r="J1691" s="11" t="n">
        <v>140.91</v>
      </c>
      <c r="K1691" s="11" t="n">
        <v>149.5</v>
      </c>
      <c r="L1691" s="11" t="n">
        <v>0.644</v>
      </c>
      <c r="M1691" s="11" t="n">
        <v>1.288</v>
      </c>
      <c r="N1691" s="11" t="n">
        <v>1</v>
      </c>
      <c r="O1691" s="11" t="n">
        <v>4.5</v>
      </c>
      <c r="P1691" s="11" t="n">
        <v>4.02</v>
      </c>
      <c r="Q1691" s="11" t="n">
        <v>30.15</v>
      </c>
      <c r="R1691" s="11" t="n">
        <f aca="false">SUM(K1691:Q1691)</f>
        <v>191.102</v>
      </c>
      <c r="S1691" s="11" t="n">
        <f aca="false">R1691/(1-Resumo!$C$6)</f>
        <v>217.161363636364</v>
      </c>
      <c r="T1691" s="11" t="n">
        <f aca="false">S1691-J1691</f>
        <v>76.2513636363636</v>
      </c>
      <c r="U1691" s="12" t="n">
        <f aca="false">IFERROR(S1691/J1691-1,0)</f>
        <v>0.541135218482461</v>
      </c>
      <c r="V1691" s="2" t="str">
        <f aca="false">IF(S1691&lt;J1691,"SIM","NÃO")</f>
        <v>NÃO</v>
      </c>
      <c r="W1691" s="2" t="n">
        <v>7</v>
      </c>
      <c r="X1691" s="2" t="s">
        <v>156</v>
      </c>
    </row>
    <row r="1692" customFormat="false" ht="15" hidden="false" customHeight="false" outlineLevel="0" collapsed="false">
      <c r="A1692" s="2" t="n">
        <v>391913493</v>
      </c>
      <c r="B1692" s="29" t="n">
        <v>46274.9568865741</v>
      </c>
      <c r="C1692" s="2" t="s">
        <v>178</v>
      </c>
      <c r="D1692" s="2" t="s">
        <v>1754</v>
      </c>
      <c r="E1692" s="2" t="s">
        <v>90</v>
      </c>
      <c r="F1692" s="2" t="s">
        <v>106</v>
      </c>
      <c r="G1692" s="30" t="n">
        <v>24.4</v>
      </c>
      <c r="H1692" s="11" t="n">
        <v>359.99</v>
      </c>
      <c r="I1692" s="11" t="s">
        <v>350</v>
      </c>
      <c r="J1692" s="11" t="n">
        <v>105.68</v>
      </c>
      <c r="K1692" s="11" t="n">
        <v>100.58</v>
      </c>
      <c r="L1692" s="11" t="n">
        <v>0.36</v>
      </c>
      <c r="M1692" s="11" t="n">
        <v>0.72</v>
      </c>
      <c r="N1692" s="11" t="n">
        <v>1</v>
      </c>
      <c r="O1692" s="11" t="n">
        <v>4.5</v>
      </c>
      <c r="P1692" s="11" t="n">
        <v>1.5</v>
      </c>
      <c r="Q1692" s="11" t="n">
        <v>11.25</v>
      </c>
      <c r="R1692" s="11" t="n">
        <f aca="false">SUM(K1692:Q1692)</f>
        <v>119.91</v>
      </c>
      <c r="S1692" s="11" t="n">
        <f aca="false">R1692/(1-Resumo!$C$6)</f>
        <v>136.261363636364</v>
      </c>
      <c r="T1692" s="11" t="n">
        <f aca="false">S1692-J1692</f>
        <v>30.5813636363636</v>
      </c>
      <c r="U1692" s="12" t="n">
        <f aca="false">IFERROR(S1692/J1692-1,0)</f>
        <v>0.289377021540155</v>
      </c>
      <c r="V1692" s="2" t="str">
        <f aca="false">IF(S1692&lt;J1692,"SIM","NÃO")</f>
        <v>NÃO</v>
      </c>
      <c r="W1692" s="2" t="n">
        <v>7</v>
      </c>
      <c r="X1692" s="2" t="s">
        <v>156</v>
      </c>
    </row>
    <row r="1693" customFormat="false" ht="15" hidden="false" customHeight="false" outlineLevel="0" collapsed="false">
      <c r="A1693" s="2" t="n">
        <v>391921799</v>
      </c>
      <c r="B1693" s="29" t="n">
        <v>46274.960625</v>
      </c>
      <c r="C1693" s="2" t="s">
        <v>153</v>
      </c>
      <c r="D1693" s="2" t="s">
        <v>1755</v>
      </c>
      <c r="E1693" s="2" t="s">
        <v>85</v>
      </c>
      <c r="F1693" s="2" t="s">
        <v>109</v>
      </c>
      <c r="G1693" s="30" t="n">
        <v>51.06</v>
      </c>
      <c r="H1693" s="11" t="n">
        <v>749.99</v>
      </c>
      <c r="I1693" s="11" t="s">
        <v>350</v>
      </c>
      <c r="J1693" s="11" t="n">
        <v>141.73</v>
      </c>
      <c r="K1693" s="11" t="n">
        <v>162.04</v>
      </c>
      <c r="L1693" s="11" t="n">
        <v>0.75</v>
      </c>
      <c r="M1693" s="11" t="n">
        <v>1.5</v>
      </c>
      <c r="N1693" s="11" t="n">
        <v>1</v>
      </c>
      <c r="O1693" s="11" t="n">
        <v>4.5</v>
      </c>
      <c r="P1693" s="11" t="n">
        <v>3.12</v>
      </c>
      <c r="Q1693" s="11" t="n">
        <v>23.4</v>
      </c>
      <c r="R1693" s="11" t="n">
        <f aca="false">SUM(K1693:Q1693)</f>
        <v>196.31</v>
      </c>
      <c r="S1693" s="11" t="n">
        <f aca="false">R1693/(1-Resumo!$C$6)</f>
        <v>223.079545454545</v>
      </c>
      <c r="T1693" s="11" t="n">
        <f aca="false">S1693-J1693</f>
        <v>81.3495454545455</v>
      </c>
      <c r="U1693" s="12" t="n">
        <f aca="false">IFERROR(S1693/J1693-1,0)</f>
        <v>0.573975484756548</v>
      </c>
      <c r="V1693" s="2" t="str">
        <f aca="false">IF(S1693&lt;J1693,"SIM","NÃO")</f>
        <v>NÃO</v>
      </c>
      <c r="W1693" s="2" t="n">
        <v>11</v>
      </c>
      <c r="X1693" s="2" t="s">
        <v>156</v>
      </c>
    </row>
    <row r="1694" customFormat="false" ht="15" hidden="false" customHeight="false" outlineLevel="0" collapsed="false">
      <c r="A1694" s="2" t="n">
        <v>391922210</v>
      </c>
      <c r="B1694" s="29" t="n">
        <v>46274.9612037037</v>
      </c>
      <c r="C1694" s="2" t="s">
        <v>158</v>
      </c>
      <c r="D1694" s="2" t="s">
        <v>1756</v>
      </c>
      <c r="E1694" s="2" t="s">
        <v>92</v>
      </c>
      <c r="F1694" s="2" t="s">
        <v>108</v>
      </c>
      <c r="G1694" s="30" t="n">
        <v>41.4</v>
      </c>
      <c r="H1694" s="11" t="n">
        <v>387</v>
      </c>
      <c r="I1694" s="11" t="s">
        <v>350</v>
      </c>
      <c r="J1694" s="11" t="n">
        <v>128.2</v>
      </c>
      <c r="K1694" s="11" t="n">
        <v>129.29</v>
      </c>
      <c r="L1694" s="11" t="n">
        <v>0.387</v>
      </c>
      <c r="M1694" s="11" t="n">
        <v>0.774</v>
      </c>
      <c r="N1694" s="11" t="n">
        <v>1</v>
      </c>
      <c r="O1694" s="11" t="n">
        <v>4.5</v>
      </c>
      <c r="P1694" s="11" t="n">
        <v>2.52</v>
      </c>
      <c r="Q1694" s="11" t="n">
        <v>18.9</v>
      </c>
      <c r="R1694" s="11" t="n">
        <f aca="false">SUM(K1694:Q1694)</f>
        <v>157.371</v>
      </c>
      <c r="S1694" s="11" t="n">
        <f aca="false">R1694/(1-Resumo!$C$6)</f>
        <v>178.830681818182</v>
      </c>
      <c r="T1694" s="11" t="n">
        <f aca="false">S1694-J1694</f>
        <v>50.6306818181818</v>
      </c>
      <c r="U1694" s="12" t="n">
        <f aca="false">IFERROR(S1694/J1694-1,0)</f>
        <v>0.394935115586442</v>
      </c>
      <c r="V1694" s="2" t="str">
        <f aca="false">IF(S1694&lt;J1694,"SIM","NÃO")</f>
        <v>NÃO</v>
      </c>
      <c r="W1694" s="2" t="n">
        <v>10</v>
      </c>
      <c r="X1694" s="2" t="s">
        <v>156</v>
      </c>
    </row>
    <row r="1695" customFormat="false" ht="15" hidden="false" customHeight="false" outlineLevel="0" collapsed="false">
      <c r="A1695" s="2" t="n">
        <v>391930457</v>
      </c>
      <c r="B1695" s="29" t="n">
        <v>46274.9727430556</v>
      </c>
      <c r="C1695" s="2" t="s">
        <v>158</v>
      </c>
      <c r="D1695" s="2" t="s">
        <v>435</v>
      </c>
      <c r="E1695" s="2" t="s">
        <v>436</v>
      </c>
      <c r="F1695" s="2" t="s">
        <v>106</v>
      </c>
      <c r="G1695" s="30" t="n">
        <v>33.11</v>
      </c>
      <c r="H1695" s="11" t="n">
        <v>392.24</v>
      </c>
      <c r="I1695" s="11" t="s">
        <v>350</v>
      </c>
      <c r="J1695" s="11" t="n">
        <v>110.42</v>
      </c>
      <c r="K1695" s="11" t="n">
        <v>108.83</v>
      </c>
      <c r="L1695" s="11" t="n">
        <v>0.3922</v>
      </c>
      <c r="M1695" s="11" t="n">
        <v>0.7845</v>
      </c>
      <c r="N1695" s="11" t="n">
        <v>1</v>
      </c>
      <c r="O1695" s="11" t="n">
        <v>4.5</v>
      </c>
      <c r="P1695" s="11" t="n">
        <v>2.04</v>
      </c>
      <c r="Q1695" s="11" t="n">
        <v>15.3</v>
      </c>
      <c r="R1695" s="11" t="n">
        <f aca="false">SUM(K1695:Q1695)</f>
        <v>132.8467</v>
      </c>
      <c r="S1695" s="11" t="n">
        <f aca="false">R1695/(1-Resumo!$C$6)</f>
        <v>150.962159090909</v>
      </c>
      <c r="T1695" s="11" t="n">
        <f aca="false">S1695-J1695</f>
        <v>40.5421590909091</v>
      </c>
      <c r="U1695" s="12" t="n">
        <f aca="false">IFERROR(S1695/J1695-1,0)</f>
        <v>0.367163186840329</v>
      </c>
      <c r="V1695" s="2" t="str">
        <f aca="false">IF(S1695&lt;J1695,"SIM","NÃO")</f>
        <v>NÃO</v>
      </c>
      <c r="W1695" s="2" t="n">
        <v>10</v>
      </c>
      <c r="X1695" s="2" t="s">
        <v>161</v>
      </c>
    </row>
    <row r="1696" customFormat="false" ht="15" hidden="false" customHeight="false" outlineLevel="0" collapsed="false">
      <c r="A1696" s="2" t="n">
        <v>391959678</v>
      </c>
      <c r="B1696" s="29" t="n">
        <v>46275.0038888889</v>
      </c>
      <c r="C1696" s="2" t="s">
        <v>153</v>
      </c>
      <c r="D1696" s="2" t="s">
        <v>1757</v>
      </c>
      <c r="E1696" s="2" t="s">
        <v>85</v>
      </c>
      <c r="F1696" s="2" t="s">
        <v>108</v>
      </c>
      <c r="G1696" s="30" t="n">
        <v>41.2</v>
      </c>
      <c r="H1696" s="11" t="n">
        <v>620.78</v>
      </c>
      <c r="I1696" s="11" t="s">
        <v>350</v>
      </c>
      <c r="J1696" s="11" t="n">
        <v>129.32</v>
      </c>
      <c r="K1696" s="11" t="n">
        <v>152.54</v>
      </c>
      <c r="L1696" s="11" t="n">
        <v>0.6208</v>
      </c>
      <c r="M1696" s="11" t="n">
        <v>1.2416</v>
      </c>
      <c r="N1696" s="11" t="n">
        <v>1</v>
      </c>
      <c r="O1696" s="11" t="n">
        <v>4.5</v>
      </c>
      <c r="P1696" s="11" t="n">
        <v>2.52</v>
      </c>
      <c r="Q1696" s="11" t="n">
        <v>18.9</v>
      </c>
      <c r="R1696" s="11" t="n">
        <f aca="false">SUM(K1696:Q1696)</f>
        <v>181.3224</v>
      </c>
      <c r="S1696" s="11" t="n">
        <f aca="false">R1696/(1-Resumo!$C$6)</f>
        <v>206.048181818182</v>
      </c>
      <c r="T1696" s="11" t="n">
        <f aca="false">S1696-J1696</f>
        <v>76.7281818181818</v>
      </c>
      <c r="U1696" s="12" t="n">
        <f aca="false">IFERROR(S1696/J1696-1,0)</f>
        <v>0.59332030481118</v>
      </c>
      <c r="V1696" s="2" t="str">
        <f aca="false">IF(S1696&lt;J1696,"SIM","NÃO")</f>
        <v>NÃO</v>
      </c>
      <c r="W1696" s="2" t="n">
        <v>11</v>
      </c>
      <c r="X1696" s="2" t="s">
        <v>156</v>
      </c>
    </row>
    <row r="1697" customFormat="false" ht="15" hidden="false" customHeight="false" outlineLevel="0" collapsed="false">
      <c r="A1697" s="2" t="n">
        <v>391975230</v>
      </c>
      <c r="B1697" s="29" t="n">
        <v>46275.0227083333</v>
      </c>
      <c r="C1697" s="2" t="s">
        <v>153</v>
      </c>
      <c r="D1697" s="2" t="s">
        <v>1758</v>
      </c>
      <c r="E1697" s="2" t="s">
        <v>87</v>
      </c>
      <c r="F1697" s="2" t="s">
        <v>106</v>
      </c>
      <c r="G1697" s="30" t="n">
        <v>30.5</v>
      </c>
      <c r="H1697" s="11" t="n">
        <v>449.99</v>
      </c>
      <c r="I1697" s="11" t="s">
        <v>350</v>
      </c>
      <c r="J1697" s="11" t="n">
        <v>109.16</v>
      </c>
      <c r="K1697" s="11" t="n">
        <v>108.83</v>
      </c>
      <c r="L1697" s="11" t="n">
        <v>0.45</v>
      </c>
      <c r="M1697" s="11" t="n">
        <v>0.9</v>
      </c>
      <c r="N1697" s="11" t="n">
        <v>1</v>
      </c>
      <c r="O1697" s="11" t="n">
        <v>4.5</v>
      </c>
      <c r="P1697" s="11" t="n">
        <v>1.86</v>
      </c>
      <c r="Q1697" s="11" t="n">
        <v>13.95</v>
      </c>
      <c r="R1697" s="11" t="n">
        <f aca="false">SUM(K1697:Q1697)</f>
        <v>131.49</v>
      </c>
      <c r="S1697" s="11" t="n">
        <f aca="false">R1697/(1-Resumo!$C$6)</f>
        <v>149.420454545455</v>
      </c>
      <c r="T1697" s="11" t="n">
        <f aca="false">S1697-J1697</f>
        <v>40.2604545454545</v>
      </c>
      <c r="U1697" s="12" t="n">
        <f aca="false">IFERROR(S1697/J1697-1,0)</f>
        <v>0.368820580299144</v>
      </c>
      <c r="V1697" s="2" t="str">
        <f aca="false">IF(S1697&lt;J1697,"SIM","NÃO")</f>
        <v>NÃO</v>
      </c>
      <c r="W1697" s="2" t="n">
        <v>10</v>
      </c>
      <c r="X1697" s="2" t="s">
        <v>156</v>
      </c>
    </row>
    <row r="1698" customFormat="false" ht="15" hidden="false" customHeight="false" outlineLevel="0" collapsed="false">
      <c r="A1698" s="2" t="n">
        <v>391997365</v>
      </c>
      <c r="B1698" s="29" t="n">
        <v>46275.0656828704</v>
      </c>
      <c r="C1698" s="2" t="s">
        <v>153</v>
      </c>
      <c r="D1698" s="2" t="s">
        <v>373</v>
      </c>
      <c r="E1698" s="2" t="s">
        <v>78</v>
      </c>
      <c r="F1698" s="2" t="s">
        <v>106</v>
      </c>
      <c r="G1698" s="30" t="n">
        <v>24.8</v>
      </c>
      <c r="H1698" s="11" t="n">
        <v>299.99</v>
      </c>
      <c r="I1698" s="11" t="s">
        <v>155</v>
      </c>
      <c r="J1698" s="11" t="n">
        <v>81.76</v>
      </c>
      <c r="K1698" s="11" t="n">
        <v>82.21</v>
      </c>
      <c r="L1698" s="11" t="n">
        <v>0.3</v>
      </c>
      <c r="M1698" s="11" t="n">
        <v>0.6</v>
      </c>
      <c r="N1698" s="11" t="n">
        <v>1</v>
      </c>
      <c r="O1698" s="11" t="n">
        <v>4.5</v>
      </c>
      <c r="P1698" s="11" t="n">
        <v>1.5</v>
      </c>
      <c r="Q1698" s="11" t="n">
        <v>11.25</v>
      </c>
      <c r="R1698" s="11" t="n">
        <f aca="false">SUM(K1698:Q1698)</f>
        <v>101.36</v>
      </c>
      <c r="S1698" s="11" t="n">
        <f aca="false">R1698/(1-Resumo!$C$6)</f>
        <v>115.181818181818</v>
      </c>
      <c r="T1698" s="11" t="n">
        <f aca="false">S1698-J1698</f>
        <v>33.4218181818182</v>
      </c>
      <c r="U1698" s="12" t="n">
        <f aca="false">IFERROR(S1698/J1698-1,0)</f>
        <v>0.408779576587796</v>
      </c>
      <c r="V1698" s="2" t="str">
        <f aca="false">IF(S1698&lt;J1698,"SIM","NÃO")</f>
        <v>NÃO</v>
      </c>
      <c r="W1698" s="2" t="n">
        <v>5</v>
      </c>
      <c r="X1698" s="2" t="s">
        <v>156</v>
      </c>
    </row>
    <row r="1699" customFormat="false" ht="15" hidden="false" customHeight="false" outlineLevel="0" collapsed="false">
      <c r="A1699" s="2" t="n">
        <v>392174837</v>
      </c>
      <c r="B1699" s="29" t="n">
        <v>46275.3884259259</v>
      </c>
      <c r="C1699" s="2" t="s">
        <v>158</v>
      </c>
      <c r="D1699" s="2" t="s">
        <v>1759</v>
      </c>
      <c r="E1699" s="2" t="s">
        <v>83</v>
      </c>
      <c r="F1699" s="2" t="s">
        <v>108</v>
      </c>
      <c r="G1699" s="30" t="n">
        <v>43.5</v>
      </c>
      <c r="H1699" s="11" t="n">
        <v>601.04</v>
      </c>
      <c r="I1699" s="11" t="s">
        <v>350</v>
      </c>
      <c r="J1699" s="11" t="n">
        <v>130.25</v>
      </c>
      <c r="K1699" s="11" t="n">
        <v>152.54</v>
      </c>
      <c r="L1699" s="11" t="n">
        <v>0.601</v>
      </c>
      <c r="M1699" s="11" t="n">
        <v>1.2021</v>
      </c>
      <c r="N1699" s="11" t="n">
        <v>1</v>
      </c>
      <c r="O1699" s="11" t="n">
        <v>4.5</v>
      </c>
      <c r="P1699" s="11" t="n">
        <v>2.64</v>
      </c>
      <c r="Q1699" s="11" t="n">
        <v>19.8</v>
      </c>
      <c r="R1699" s="11" t="n">
        <f aca="false">SUM(K1699:Q1699)</f>
        <v>182.2831</v>
      </c>
      <c r="S1699" s="11" t="n">
        <f aca="false">R1699/(1-Resumo!$C$6)</f>
        <v>207.139886363636</v>
      </c>
      <c r="T1699" s="11" t="n">
        <f aca="false">S1699-J1699</f>
        <v>76.8898863636364</v>
      </c>
      <c r="U1699" s="12" t="n">
        <f aca="false">IFERROR(S1699/J1699-1,0)</f>
        <v>0.590325423137323</v>
      </c>
      <c r="V1699" s="2" t="str">
        <f aca="false">IF(S1699&lt;J1699,"SIM","NÃO")</f>
        <v>NÃO</v>
      </c>
      <c r="W1699" s="2" t="n">
        <v>11</v>
      </c>
      <c r="X1699" s="2" t="s">
        <v>156</v>
      </c>
    </row>
    <row r="1700" customFormat="false" ht="15" hidden="false" customHeight="false" outlineLevel="0" collapsed="false">
      <c r="A1700" s="2" t="n">
        <v>392177859</v>
      </c>
      <c r="B1700" s="29" t="n">
        <v>46275.392025463</v>
      </c>
      <c r="C1700" s="2" t="s">
        <v>158</v>
      </c>
      <c r="D1700" s="2" t="s">
        <v>1530</v>
      </c>
      <c r="E1700" s="2" t="s">
        <v>283</v>
      </c>
      <c r="F1700" s="2" t="s">
        <v>106</v>
      </c>
      <c r="G1700" s="30" t="n">
        <v>22.6</v>
      </c>
      <c r="H1700" s="11" t="n">
        <v>460</v>
      </c>
      <c r="I1700" s="11" t="s">
        <v>350</v>
      </c>
      <c r="J1700" s="11" t="n">
        <v>105.14</v>
      </c>
      <c r="K1700" s="11" t="n">
        <v>138.29</v>
      </c>
      <c r="L1700" s="11" t="n">
        <v>0.46</v>
      </c>
      <c r="M1700" s="11" t="n">
        <v>0.92</v>
      </c>
      <c r="N1700" s="11" t="n">
        <v>1</v>
      </c>
      <c r="O1700" s="11" t="n">
        <v>4.5</v>
      </c>
      <c r="P1700" s="11" t="n">
        <v>1.38</v>
      </c>
      <c r="Q1700" s="11" t="n">
        <v>10.35</v>
      </c>
      <c r="R1700" s="11" t="n">
        <f aca="false">SUM(K1700:Q1700)</f>
        <v>156.9</v>
      </c>
      <c r="S1700" s="11" t="n">
        <f aca="false">R1700/(1-Resumo!$C$6)</f>
        <v>178.295454545455</v>
      </c>
      <c r="T1700" s="11" t="n">
        <f aca="false">S1700-J1700</f>
        <v>73.1554545454545</v>
      </c>
      <c r="U1700" s="12" t="n">
        <f aca="false">IFERROR(S1700/J1700-1,0)</f>
        <v>0.695790893527245</v>
      </c>
      <c r="V1700" s="2" t="str">
        <f aca="false">IF(S1700&lt;J1700,"SIM","NÃO")</f>
        <v>NÃO</v>
      </c>
      <c r="W1700" s="2" t="n">
        <v>11</v>
      </c>
      <c r="X1700" s="2" t="s">
        <v>161</v>
      </c>
    </row>
    <row r="1701" customFormat="false" ht="15" hidden="false" customHeight="false" outlineLevel="0" collapsed="false">
      <c r="A1701" s="2" t="n">
        <v>392218303</v>
      </c>
      <c r="B1701" s="29" t="n">
        <v>46275.4398032407</v>
      </c>
      <c r="C1701" s="2" t="s">
        <v>158</v>
      </c>
      <c r="D1701" s="2" t="s">
        <v>1760</v>
      </c>
      <c r="E1701" s="2" t="s">
        <v>172</v>
      </c>
      <c r="F1701" s="2" t="s">
        <v>109</v>
      </c>
      <c r="G1701" s="30" t="n">
        <v>52.3</v>
      </c>
      <c r="H1701" s="11" t="n">
        <v>620</v>
      </c>
      <c r="I1701" s="11" t="s">
        <v>350</v>
      </c>
      <c r="J1701" s="11" t="n">
        <v>141.63</v>
      </c>
      <c r="K1701" s="11" t="n">
        <v>142.32</v>
      </c>
      <c r="L1701" s="11" t="n">
        <v>0.62</v>
      </c>
      <c r="M1701" s="11" t="n">
        <v>1.24</v>
      </c>
      <c r="N1701" s="11" t="n">
        <v>1</v>
      </c>
      <c r="O1701" s="11" t="n">
        <v>4.5</v>
      </c>
      <c r="P1701" s="11" t="n">
        <v>3.18</v>
      </c>
      <c r="Q1701" s="11" t="n">
        <v>23.85</v>
      </c>
      <c r="R1701" s="11" t="n">
        <f aca="false">SUM(K1701:Q1701)</f>
        <v>176.71</v>
      </c>
      <c r="S1701" s="11" t="n">
        <f aca="false">R1701/(1-Resumo!$C$6)</f>
        <v>200.806818181818</v>
      </c>
      <c r="T1701" s="11" t="n">
        <f aca="false">S1701-J1701</f>
        <v>59.1768181818182</v>
      </c>
      <c r="U1701" s="12" t="n">
        <f aca="false">IFERROR(S1701/J1701-1,0)</f>
        <v>0.417826860000128</v>
      </c>
      <c r="V1701" s="2" t="str">
        <f aca="false">IF(S1701&lt;J1701,"SIM","NÃO")</f>
        <v>NÃO</v>
      </c>
      <c r="W1701" s="2" t="n">
        <v>8</v>
      </c>
      <c r="X1701" s="2" t="s">
        <v>161</v>
      </c>
    </row>
    <row r="1702" customFormat="false" ht="15" hidden="false" customHeight="false" outlineLevel="0" collapsed="false">
      <c r="A1702" s="2" t="n">
        <v>392228125</v>
      </c>
      <c r="B1702" s="29" t="n">
        <v>46275.4511805556</v>
      </c>
      <c r="C1702" s="2" t="s">
        <v>153</v>
      </c>
      <c r="D1702" s="2" t="s">
        <v>1761</v>
      </c>
      <c r="E1702" s="2" t="s">
        <v>89</v>
      </c>
      <c r="F1702" s="2" t="s">
        <v>109</v>
      </c>
      <c r="G1702" s="30" t="n">
        <v>60</v>
      </c>
      <c r="H1702" s="11" t="n">
        <v>879.99</v>
      </c>
      <c r="I1702" s="11" t="s">
        <v>350</v>
      </c>
      <c r="J1702" s="11" t="n">
        <v>146.45</v>
      </c>
      <c r="K1702" s="11" t="n">
        <v>142.32</v>
      </c>
      <c r="L1702" s="11" t="n">
        <v>0.88</v>
      </c>
      <c r="M1702" s="11" t="n">
        <v>1.76</v>
      </c>
      <c r="N1702" s="11" t="n">
        <v>1</v>
      </c>
      <c r="O1702" s="11" t="n">
        <v>4.5</v>
      </c>
      <c r="P1702" s="11" t="n">
        <v>3.6</v>
      </c>
      <c r="Q1702" s="11" t="n">
        <v>27</v>
      </c>
      <c r="R1702" s="11" t="n">
        <f aca="false">SUM(K1702:Q1702)</f>
        <v>181.06</v>
      </c>
      <c r="S1702" s="11" t="n">
        <f aca="false">R1702/(1-Resumo!$C$6)</f>
        <v>205.75</v>
      </c>
      <c r="T1702" s="11" t="n">
        <f aca="false">S1702-J1702</f>
        <v>59.3</v>
      </c>
      <c r="U1702" s="12" t="n">
        <f aca="false">IFERROR(S1702/J1702-1,0)</f>
        <v>0.404916353704336</v>
      </c>
      <c r="V1702" s="2" t="str">
        <f aca="false">IF(S1702&lt;J1702,"SIM","NÃO")</f>
        <v>NÃO</v>
      </c>
      <c r="W1702" s="2" t="n">
        <v>8</v>
      </c>
      <c r="X1702" s="2" t="s">
        <v>156</v>
      </c>
    </row>
    <row r="1703" customFormat="false" ht="15" hidden="false" customHeight="false" outlineLevel="0" collapsed="false">
      <c r="A1703" s="2" t="n">
        <v>391900448</v>
      </c>
      <c r="B1703" s="29" t="n">
        <v>46275.4870486111</v>
      </c>
      <c r="C1703" s="2" t="s">
        <v>178</v>
      </c>
      <c r="D1703" s="2" t="s">
        <v>1762</v>
      </c>
      <c r="E1703" s="2" t="s">
        <v>78</v>
      </c>
      <c r="F1703" s="2" t="s">
        <v>106</v>
      </c>
      <c r="G1703" s="30" t="n">
        <v>26.4</v>
      </c>
      <c r="H1703" s="11" t="n">
        <v>399.99</v>
      </c>
      <c r="I1703" s="11" t="s">
        <v>155</v>
      </c>
      <c r="J1703" s="11" t="n">
        <v>82.24</v>
      </c>
      <c r="K1703" s="11" t="n">
        <v>82.21</v>
      </c>
      <c r="L1703" s="11" t="n">
        <v>0.4</v>
      </c>
      <c r="M1703" s="11" t="n">
        <v>0.8</v>
      </c>
      <c r="N1703" s="11" t="n">
        <v>1</v>
      </c>
      <c r="O1703" s="11" t="n">
        <v>4.5</v>
      </c>
      <c r="P1703" s="11" t="n">
        <v>1.62</v>
      </c>
      <c r="Q1703" s="11" t="n">
        <v>12.15</v>
      </c>
      <c r="R1703" s="11" t="n">
        <f aca="false">SUM(K1703:Q1703)</f>
        <v>102.68</v>
      </c>
      <c r="S1703" s="11" t="n">
        <f aca="false">R1703/(1-Resumo!$C$6)</f>
        <v>116.681818181818</v>
      </c>
      <c r="T1703" s="11" t="n">
        <f aca="false">S1703-J1703</f>
        <v>34.4418181818182</v>
      </c>
      <c r="U1703" s="12" t="n">
        <f aca="false">IFERROR(S1703/J1703-1,0)</f>
        <v>0.4187964273081</v>
      </c>
      <c r="V1703" s="2" t="str">
        <f aca="false">IF(S1703&lt;J1703,"SIM","NÃO")</f>
        <v>NÃO</v>
      </c>
      <c r="W1703" s="2" t="n">
        <v>5</v>
      </c>
      <c r="X1703" s="2" t="s">
        <v>156</v>
      </c>
    </row>
    <row r="1704" customFormat="false" ht="15" hidden="false" customHeight="false" outlineLevel="0" collapsed="false">
      <c r="A1704" s="2" t="n">
        <v>392272195</v>
      </c>
      <c r="B1704" s="29" t="n">
        <v>46275.5027430556</v>
      </c>
      <c r="C1704" s="2" t="s">
        <v>153</v>
      </c>
      <c r="D1704" s="2" t="s">
        <v>1763</v>
      </c>
      <c r="E1704" s="2" t="s">
        <v>87</v>
      </c>
      <c r="F1704" s="2" t="s">
        <v>106</v>
      </c>
      <c r="G1704" s="30" t="n">
        <v>27.6</v>
      </c>
      <c r="H1704" s="11" t="n">
        <v>537.45</v>
      </c>
      <c r="I1704" s="11" t="s">
        <v>350</v>
      </c>
      <c r="J1704" s="11" t="n">
        <v>108.06</v>
      </c>
      <c r="K1704" s="11" t="n">
        <v>108.83</v>
      </c>
      <c r="L1704" s="11" t="n">
        <v>0.5375</v>
      </c>
      <c r="M1704" s="11" t="n">
        <v>1.0749</v>
      </c>
      <c r="N1704" s="11" t="n">
        <v>1</v>
      </c>
      <c r="O1704" s="11" t="n">
        <v>4.5</v>
      </c>
      <c r="P1704" s="11" t="n">
        <v>1.68</v>
      </c>
      <c r="Q1704" s="11" t="n">
        <v>12.6</v>
      </c>
      <c r="R1704" s="11" t="n">
        <f aca="false">SUM(K1704:Q1704)</f>
        <v>130.2224</v>
      </c>
      <c r="S1704" s="11" t="n">
        <f aca="false">R1704/(1-Resumo!$C$6)</f>
        <v>147.98</v>
      </c>
      <c r="T1704" s="11" t="n">
        <f aca="false">S1704-J1704</f>
        <v>39.92</v>
      </c>
      <c r="U1704" s="12" t="n">
        <f aca="false">IFERROR(S1704/J1704-1,0)</f>
        <v>0.369424393855266</v>
      </c>
      <c r="V1704" s="2" t="str">
        <f aca="false">IF(S1704&lt;J1704,"SIM","NÃO")</f>
        <v>NÃO</v>
      </c>
      <c r="W1704" s="2" t="n">
        <v>10</v>
      </c>
      <c r="X1704" s="2" t="s">
        <v>156</v>
      </c>
    </row>
    <row r="1705" customFormat="false" ht="15" hidden="false" customHeight="false" outlineLevel="0" collapsed="false">
      <c r="A1705" s="2" t="n">
        <v>392273152</v>
      </c>
      <c r="B1705" s="29" t="n">
        <v>46275.5038078704</v>
      </c>
      <c r="C1705" s="2" t="s">
        <v>153</v>
      </c>
      <c r="D1705" s="2" t="s">
        <v>1764</v>
      </c>
      <c r="E1705" s="2" t="s">
        <v>82</v>
      </c>
      <c r="F1705" s="2" t="s">
        <v>107</v>
      </c>
      <c r="G1705" s="30" t="n">
        <v>40</v>
      </c>
      <c r="H1705" s="11" t="n">
        <v>569.99</v>
      </c>
      <c r="I1705" s="11" t="s">
        <v>155</v>
      </c>
      <c r="J1705" s="11" t="n">
        <v>113.69</v>
      </c>
      <c r="K1705" s="11" t="n">
        <v>114.95</v>
      </c>
      <c r="L1705" s="11" t="n">
        <v>0.57</v>
      </c>
      <c r="M1705" s="11" t="n">
        <v>1.14</v>
      </c>
      <c r="N1705" s="11" t="n">
        <v>1</v>
      </c>
      <c r="O1705" s="11" t="n">
        <v>4.5</v>
      </c>
      <c r="P1705" s="11" t="n">
        <v>2.4</v>
      </c>
      <c r="Q1705" s="11" t="n">
        <v>18</v>
      </c>
      <c r="R1705" s="11" t="n">
        <f aca="false">SUM(K1705:Q1705)</f>
        <v>142.56</v>
      </c>
      <c r="S1705" s="11" t="n">
        <f aca="false">R1705/(1-Resumo!$C$6)</f>
        <v>162</v>
      </c>
      <c r="T1705" s="11" t="n">
        <f aca="false">S1705-J1705</f>
        <v>48.31</v>
      </c>
      <c r="U1705" s="12" t="n">
        <f aca="false">IFERROR(S1705/J1705-1,0)</f>
        <v>0.424927434251034</v>
      </c>
      <c r="V1705" s="2" t="str">
        <f aca="false">IF(S1705&lt;J1705,"SIM","NÃO")</f>
        <v>NÃO</v>
      </c>
      <c r="W1705" s="2" t="n">
        <v>7</v>
      </c>
      <c r="X1705" s="2" t="s">
        <v>156</v>
      </c>
    </row>
    <row r="1706" customFormat="false" ht="15" hidden="false" customHeight="false" outlineLevel="0" collapsed="false">
      <c r="A1706" s="2" t="n">
        <v>392279689</v>
      </c>
      <c r="B1706" s="29" t="n">
        <v>46275.5138657407</v>
      </c>
      <c r="C1706" s="2" t="s">
        <v>191</v>
      </c>
      <c r="D1706" s="2" t="s">
        <v>1101</v>
      </c>
      <c r="E1706" s="2" t="s">
        <v>78</v>
      </c>
      <c r="F1706" s="2" t="s">
        <v>107</v>
      </c>
      <c r="G1706" s="30" t="n">
        <v>37.2</v>
      </c>
      <c r="H1706" s="11" t="n">
        <v>444.43</v>
      </c>
      <c r="I1706" s="11" t="s">
        <v>155</v>
      </c>
      <c r="J1706" s="11" t="n">
        <v>91.99</v>
      </c>
      <c r="K1706" s="11" t="n">
        <v>93.97</v>
      </c>
      <c r="L1706" s="11" t="n">
        <v>0.4444</v>
      </c>
      <c r="M1706" s="11" t="n">
        <v>0.8889</v>
      </c>
      <c r="N1706" s="11" t="n">
        <v>1</v>
      </c>
      <c r="O1706" s="11" t="n">
        <v>4.5</v>
      </c>
      <c r="P1706" s="11" t="n">
        <v>2.28</v>
      </c>
      <c r="Q1706" s="11" t="n">
        <v>17.1</v>
      </c>
      <c r="R1706" s="11" t="n">
        <f aca="false">SUM(K1706:Q1706)</f>
        <v>120.1833</v>
      </c>
      <c r="S1706" s="11" t="n">
        <f aca="false">R1706/(1-Resumo!$C$6)</f>
        <v>136.571931818182</v>
      </c>
      <c r="T1706" s="11" t="n">
        <f aca="false">S1706-J1706</f>
        <v>44.5819318181818</v>
      </c>
      <c r="U1706" s="12" t="n">
        <f aca="false">IFERROR(S1706/J1706-1,0)</f>
        <v>0.484638893555624</v>
      </c>
      <c r="V1706" s="2" t="str">
        <f aca="false">IF(S1706&lt;J1706,"SIM","NÃO")</f>
        <v>NÃO</v>
      </c>
      <c r="W1706" s="2" t="n">
        <v>5</v>
      </c>
      <c r="X1706" s="2" t="s">
        <v>156</v>
      </c>
    </row>
    <row r="1707" customFormat="false" ht="15" hidden="false" customHeight="false" outlineLevel="0" collapsed="false">
      <c r="A1707" s="2" t="n">
        <v>392308079</v>
      </c>
      <c r="B1707" s="29" t="n">
        <v>46275.5432175926</v>
      </c>
      <c r="C1707" s="2" t="s">
        <v>153</v>
      </c>
      <c r="D1707" s="2" t="s">
        <v>1765</v>
      </c>
      <c r="E1707" s="2" t="s">
        <v>80</v>
      </c>
      <c r="F1707" s="2" t="s">
        <v>105</v>
      </c>
      <c r="G1707" s="30" t="n">
        <v>19.5</v>
      </c>
      <c r="H1707" s="11" t="n">
        <v>379.99</v>
      </c>
      <c r="I1707" s="11" t="s">
        <v>155</v>
      </c>
      <c r="J1707" s="11" t="n">
        <v>75.66</v>
      </c>
      <c r="K1707" s="11" t="n">
        <v>46.98</v>
      </c>
      <c r="L1707" s="11" t="n">
        <v>0.38</v>
      </c>
      <c r="M1707" s="11" t="n">
        <v>0.76</v>
      </c>
      <c r="N1707" s="11" t="n">
        <v>1</v>
      </c>
      <c r="O1707" s="11" t="n">
        <v>4.5</v>
      </c>
      <c r="P1707" s="11" t="n">
        <v>1.2</v>
      </c>
      <c r="Q1707" s="11" t="n">
        <v>9</v>
      </c>
      <c r="R1707" s="11" t="n">
        <f aca="false">SUM(K1707:Q1707)</f>
        <v>63.82</v>
      </c>
      <c r="S1707" s="11" t="n">
        <f aca="false">R1707/(1-Resumo!$C$6)</f>
        <v>72.5227272727273</v>
      </c>
      <c r="T1707" s="11" t="n">
        <f aca="false">S1707-J1707</f>
        <v>-3.13727272727273</v>
      </c>
      <c r="U1707" s="12" t="n">
        <f aca="false">IFERROR(S1707/J1707-1,0)</f>
        <v>-0.0414654074447889</v>
      </c>
      <c r="V1707" s="2" t="str">
        <f aca="false">IF(S1707&lt;J1707,"SIM","NÃO")</f>
        <v>SIM</v>
      </c>
      <c r="W1707" s="2" t="n">
        <v>5</v>
      </c>
      <c r="X1707" s="2" t="s">
        <v>156</v>
      </c>
    </row>
    <row r="1708" customFormat="false" ht="15" hidden="false" customHeight="false" outlineLevel="0" collapsed="false">
      <c r="A1708" s="2" t="n">
        <v>392317012</v>
      </c>
      <c r="B1708" s="29" t="n">
        <v>46275.5566435185</v>
      </c>
      <c r="C1708" s="2" t="s">
        <v>178</v>
      </c>
      <c r="D1708" s="2" t="s">
        <v>1766</v>
      </c>
      <c r="E1708" s="2" t="s">
        <v>90</v>
      </c>
      <c r="F1708" s="2" t="s">
        <v>107</v>
      </c>
      <c r="G1708" s="30" t="n">
        <v>36.9</v>
      </c>
      <c r="H1708" s="11" t="n">
        <v>439.99</v>
      </c>
      <c r="I1708" s="11" t="s">
        <v>350</v>
      </c>
      <c r="J1708" s="11" t="n">
        <v>122.8</v>
      </c>
      <c r="K1708" s="11" t="n">
        <v>114.95</v>
      </c>
      <c r="L1708" s="11" t="n">
        <v>0.44</v>
      </c>
      <c r="M1708" s="11" t="n">
        <v>0.88</v>
      </c>
      <c r="N1708" s="11" t="n">
        <v>1</v>
      </c>
      <c r="O1708" s="11" t="n">
        <v>4.5</v>
      </c>
      <c r="P1708" s="11" t="n">
        <v>2.22</v>
      </c>
      <c r="Q1708" s="11" t="n">
        <v>16.65</v>
      </c>
      <c r="R1708" s="11" t="n">
        <f aca="false">SUM(K1708:Q1708)</f>
        <v>140.64</v>
      </c>
      <c r="S1708" s="11" t="n">
        <f aca="false">R1708/(1-Resumo!$C$6)</f>
        <v>159.818181818182</v>
      </c>
      <c r="T1708" s="11" t="n">
        <f aca="false">S1708-J1708</f>
        <v>37.0181818181818</v>
      </c>
      <c r="U1708" s="12" t="n">
        <f aca="false">IFERROR(S1708/J1708-1,0)</f>
        <v>0.301450992004738</v>
      </c>
      <c r="V1708" s="2" t="str">
        <f aca="false">IF(S1708&lt;J1708,"SIM","NÃO")</f>
        <v>NÃO</v>
      </c>
      <c r="W1708" s="2" t="n">
        <v>7</v>
      </c>
      <c r="X1708" s="2" t="s">
        <v>156</v>
      </c>
    </row>
    <row r="1709" customFormat="false" ht="15" hidden="false" customHeight="false" outlineLevel="0" collapsed="false">
      <c r="A1709" s="2" t="n">
        <v>392326542</v>
      </c>
      <c r="B1709" s="29" t="n">
        <v>46275.5677893519</v>
      </c>
      <c r="C1709" s="2" t="s">
        <v>153</v>
      </c>
      <c r="D1709" s="2" t="s">
        <v>1767</v>
      </c>
      <c r="E1709" s="2" t="s">
        <v>93</v>
      </c>
      <c r="F1709" s="2" t="s">
        <v>107</v>
      </c>
      <c r="G1709" s="30" t="n">
        <v>37.2</v>
      </c>
      <c r="H1709" s="11" t="n">
        <v>366.5</v>
      </c>
      <c r="I1709" s="11" t="s">
        <v>350</v>
      </c>
      <c r="J1709" s="11" t="n">
        <v>122.97</v>
      </c>
      <c r="K1709" s="11" t="n">
        <v>114.95</v>
      </c>
      <c r="L1709" s="11" t="n">
        <v>0.3665</v>
      </c>
      <c r="M1709" s="11" t="n">
        <v>0.733</v>
      </c>
      <c r="N1709" s="11" t="n">
        <v>1</v>
      </c>
      <c r="O1709" s="11" t="n">
        <v>4.5</v>
      </c>
      <c r="P1709" s="11" t="n">
        <v>2.28</v>
      </c>
      <c r="Q1709" s="11" t="n">
        <v>17.1</v>
      </c>
      <c r="R1709" s="11" t="n">
        <f aca="false">SUM(K1709:Q1709)</f>
        <v>140.9295</v>
      </c>
      <c r="S1709" s="11" t="n">
        <f aca="false">R1709/(1-Resumo!$C$6)</f>
        <v>160.147159090909</v>
      </c>
      <c r="T1709" s="11" t="n">
        <f aca="false">S1709-J1709</f>
        <v>37.1771590909091</v>
      </c>
      <c r="U1709" s="12" t="n">
        <f aca="false">IFERROR(S1709/J1709-1,0)</f>
        <v>0.302327064250704</v>
      </c>
      <c r="V1709" s="2" t="str">
        <f aca="false">IF(S1709&lt;J1709,"SIM","NÃO")</f>
        <v>NÃO</v>
      </c>
      <c r="W1709" s="2" t="n">
        <v>7</v>
      </c>
      <c r="X1709" s="2" t="s">
        <v>156</v>
      </c>
    </row>
    <row r="1710" customFormat="false" ht="15" hidden="false" customHeight="false" outlineLevel="0" collapsed="false">
      <c r="A1710" s="2" t="n">
        <v>392368557</v>
      </c>
      <c r="B1710" s="29" t="n">
        <v>46275.6080092593</v>
      </c>
      <c r="C1710" s="2" t="s">
        <v>369</v>
      </c>
      <c r="D1710" s="2" t="s">
        <v>1768</v>
      </c>
      <c r="E1710" s="2" t="s">
        <v>81</v>
      </c>
      <c r="F1710" s="2" t="s">
        <v>110</v>
      </c>
      <c r="G1710" s="30" t="n">
        <v>68.85</v>
      </c>
      <c r="H1710" s="11" t="n">
        <v>779.99</v>
      </c>
      <c r="I1710" s="11" t="s">
        <v>155</v>
      </c>
      <c r="J1710" s="11" t="n">
        <v>140.17</v>
      </c>
      <c r="K1710" s="11" t="n">
        <v>131.02</v>
      </c>
      <c r="L1710" s="11" t="n">
        <v>0.78</v>
      </c>
      <c r="M1710" s="11" t="n">
        <v>1.56</v>
      </c>
      <c r="N1710" s="11" t="n">
        <v>1</v>
      </c>
      <c r="O1710" s="11" t="n">
        <v>4.5</v>
      </c>
      <c r="P1710" s="11" t="n">
        <v>4.14</v>
      </c>
      <c r="Q1710" s="11" t="n">
        <v>31.05</v>
      </c>
      <c r="R1710" s="11" t="n">
        <f aca="false">SUM(K1710:Q1710)</f>
        <v>174.05</v>
      </c>
      <c r="S1710" s="11" t="n">
        <f aca="false">R1710/(1-Resumo!$C$6)</f>
        <v>197.784090909091</v>
      </c>
      <c r="T1710" s="11" t="n">
        <f aca="false">S1710-J1710</f>
        <v>57.614090909091</v>
      </c>
      <c r="U1710" s="12" t="n">
        <f aca="false">IFERROR(S1710/J1710-1,0)</f>
        <v>0.411030112785125</v>
      </c>
      <c r="V1710" s="2" t="str">
        <f aca="false">IF(S1710&lt;J1710,"SIM","NÃO")</f>
        <v>NÃO</v>
      </c>
      <c r="W1710" s="2" t="n">
        <v>5</v>
      </c>
      <c r="X1710" s="2" t="s">
        <v>156</v>
      </c>
    </row>
    <row r="1711" customFormat="false" ht="15" hidden="false" customHeight="false" outlineLevel="0" collapsed="false">
      <c r="A1711" s="2" t="n">
        <v>392383294</v>
      </c>
      <c r="B1711" s="29" t="n">
        <v>46275.6410416667</v>
      </c>
      <c r="C1711" s="2" t="s">
        <v>153</v>
      </c>
      <c r="D1711" s="2" t="s">
        <v>1769</v>
      </c>
      <c r="E1711" s="2" t="s">
        <v>78</v>
      </c>
      <c r="F1711" s="2" t="s">
        <v>107</v>
      </c>
      <c r="G1711" s="30" t="n">
        <v>37.2</v>
      </c>
      <c r="H1711" s="11" t="n">
        <v>399.99</v>
      </c>
      <c r="I1711" s="11" t="s">
        <v>155</v>
      </c>
      <c r="J1711" s="11" t="n">
        <v>91.77</v>
      </c>
      <c r="K1711" s="11" t="n">
        <v>93.97</v>
      </c>
      <c r="L1711" s="11" t="n">
        <v>0.4</v>
      </c>
      <c r="M1711" s="11" t="n">
        <v>0.8</v>
      </c>
      <c r="N1711" s="11" t="n">
        <v>1</v>
      </c>
      <c r="O1711" s="11" t="n">
        <v>4.5</v>
      </c>
      <c r="P1711" s="11" t="n">
        <v>2.28</v>
      </c>
      <c r="Q1711" s="11" t="n">
        <v>17.1</v>
      </c>
      <c r="R1711" s="11" t="n">
        <f aca="false">SUM(K1711:Q1711)</f>
        <v>120.05</v>
      </c>
      <c r="S1711" s="11" t="n">
        <f aca="false">R1711/(1-Resumo!$C$6)</f>
        <v>136.420454545455</v>
      </c>
      <c r="T1711" s="11" t="n">
        <f aca="false">S1711-J1711</f>
        <v>44.6504545454546</v>
      </c>
      <c r="U1711" s="12" t="n">
        <f aca="false">IFERROR(S1711/J1711-1,0)</f>
        <v>0.48654739615838</v>
      </c>
      <c r="V1711" s="2" t="str">
        <f aca="false">IF(S1711&lt;J1711,"SIM","NÃO")</f>
        <v>NÃO</v>
      </c>
      <c r="W1711" s="2" t="n">
        <v>5</v>
      </c>
      <c r="X1711" s="2" t="s">
        <v>156</v>
      </c>
    </row>
    <row r="1712" customFormat="false" ht="15" hidden="false" customHeight="false" outlineLevel="0" collapsed="false">
      <c r="A1712" s="2" t="n">
        <v>392432048</v>
      </c>
      <c r="B1712" s="29" t="n">
        <v>46275.7028472222</v>
      </c>
      <c r="C1712" s="2" t="s">
        <v>153</v>
      </c>
      <c r="D1712" s="2" t="s">
        <v>1770</v>
      </c>
      <c r="E1712" s="2" t="s">
        <v>78</v>
      </c>
      <c r="F1712" s="2" t="s">
        <v>106</v>
      </c>
      <c r="G1712" s="30" t="n">
        <v>23</v>
      </c>
      <c r="H1712" s="11" t="n">
        <v>349.99</v>
      </c>
      <c r="I1712" s="11" t="s">
        <v>155</v>
      </c>
      <c r="J1712" s="11" t="n">
        <v>82</v>
      </c>
      <c r="K1712" s="11" t="n">
        <v>82.21</v>
      </c>
      <c r="L1712" s="11" t="n">
        <v>0.35</v>
      </c>
      <c r="M1712" s="11" t="n">
        <v>0.7</v>
      </c>
      <c r="N1712" s="11" t="n">
        <v>1</v>
      </c>
      <c r="O1712" s="11" t="n">
        <v>4.5</v>
      </c>
      <c r="P1712" s="11" t="n">
        <v>1.38</v>
      </c>
      <c r="Q1712" s="11" t="n">
        <v>10.35</v>
      </c>
      <c r="R1712" s="11" t="n">
        <f aca="false">SUM(K1712:Q1712)</f>
        <v>100.49</v>
      </c>
      <c r="S1712" s="11" t="n">
        <f aca="false">R1712/(1-Resumo!$C$6)</f>
        <v>114.193181818182</v>
      </c>
      <c r="T1712" s="11" t="n">
        <f aca="false">S1712-J1712</f>
        <v>32.1931818181818</v>
      </c>
      <c r="U1712" s="12" t="n">
        <f aca="false">IFERROR(S1712/J1712-1,0)</f>
        <v>0.39259977827051</v>
      </c>
      <c r="V1712" s="2" t="str">
        <f aca="false">IF(S1712&lt;J1712,"SIM","NÃO")</f>
        <v>NÃO</v>
      </c>
      <c r="W1712" s="2" t="n">
        <v>5</v>
      </c>
      <c r="X1712" s="2" t="s">
        <v>156</v>
      </c>
    </row>
    <row r="1713" customFormat="false" ht="15" hidden="false" customHeight="false" outlineLevel="0" collapsed="false">
      <c r="A1713" s="2" t="n">
        <v>392468142</v>
      </c>
      <c r="B1713" s="29" t="n">
        <v>46275.7619675926</v>
      </c>
      <c r="C1713" s="2" t="s">
        <v>153</v>
      </c>
      <c r="D1713" s="2" t="s">
        <v>1771</v>
      </c>
      <c r="E1713" s="2" t="s">
        <v>78</v>
      </c>
      <c r="F1713" s="2" t="s">
        <v>110</v>
      </c>
      <c r="G1713" s="30" t="n">
        <v>66.8</v>
      </c>
      <c r="H1713" s="11" t="n">
        <v>666.29</v>
      </c>
      <c r="I1713" s="11" t="s">
        <v>155</v>
      </c>
      <c r="J1713" s="11" t="n">
        <v>124.4</v>
      </c>
      <c r="K1713" s="11" t="n">
        <v>131.02</v>
      </c>
      <c r="L1713" s="11" t="n">
        <v>0.6663</v>
      </c>
      <c r="M1713" s="11" t="n">
        <v>1.3326</v>
      </c>
      <c r="N1713" s="11" t="n">
        <v>1</v>
      </c>
      <c r="O1713" s="11" t="n">
        <v>4.5</v>
      </c>
      <c r="P1713" s="11" t="n">
        <v>4.02</v>
      </c>
      <c r="Q1713" s="11" t="n">
        <v>30.15</v>
      </c>
      <c r="R1713" s="11" t="n">
        <f aca="false">SUM(K1713:Q1713)</f>
        <v>172.6889</v>
      </c>
      <c r="S1713" s="11" t="n">
        <f aca="false">R1713/(1-Resumo!$C$6)</f>
        <v>196.237386363636</v>
      </c>
      <c r="T1713" s="11" t="n">
        <f aca="false">S1713-J1713</f>
        <v>71.8373863636364</v>
      </c>
      <c r="U1713" s="12" t="n">
        <f aca="false">IFERROR(S1713/J1713-1,0)</f>
        <v>0.577470951476177</v>
      </c>
      <c r="V1713" s="2" t="str">
        <f aca="false">IF(S1713&lt;J1713,"SIM","NÃO")</f>
        <v>NÃO</v>
      </c>
      <c r="W1713" s="2" t="n">
        <v>5</v>
      </c>
      <c r="X1713" s="2" t="s">
        <v>156</v>
      </c>
    </row>
    <row r="1714" customFormat="false" ht="15" hidden="false" customHeight="false" outlineLevel="0" collapsed="false">
      <c r="A1714" s="2" t="n">
        <v>392473327</v>
      </c>
      <c r="B1714" s="29" t="n">
        <v>46275.7769675926</v>
      </c>
      <c r="C1714" s="2" t="s">
        <v>178</v>
      </c>
      <c r="D1714" s="2" t="s">
        <v>1772</v>
      </c>
      <c r="E1714" s="2" t="s">
        <v>664</v>
      </c>
      <c r="F1714" s="2" t="s">
        <v>106</v>
      </c>
      <c r="G1714" s="30" t="n">
        <v>34.4</v>
      </c>
      <c r="H1714" s="11" t="n">
        <v>499.99</v>
      </c>
      <c r="I1714" s="11" t="s">
        <v>155</v>
      </c>
      <c r="J1714" s="11" t="n">
        <v>109.58</v>
      </c>
      <c r="K1714" s="11" t="n">
        <v>114.95</v>
      </c>
      <c r="L1714" s="11" t="n">
        <v>0.5</v>
      </c>
      <c r="M1714" s="11" t="n">
        <v>1</v>
      </c>
      <c r="N1714" s="11" t="n">
        <v>1</v>
      </c>
      <c r="O1714" s="11" t="n">
        <v>4.5</v>
      </c>
      <c r="P1714" s="11" t="n">
        <v>2.1</v>
      </c>
      <c r="Q1714" s="11" t="n">
        <v>15.75</v>
      </c>
      <c r="R1714" s="11" t="n">
        <f aca="false">SUM(K1714:Q1714)</f>
        <v>139.8</v>
      </c>
      <c r="S1714" s="11" t="n">
        <f aca="false">R1714/(1-Resumo!$C$6)</f>
        <v>158.863636363636</v>
      </c>
      <c r="T1714" s="11" t="n">
        <f aca="false">S1714-J1714</f>
        <v>49.2836363636364</v>
      </c>
      <c r="U1714" s="12" t="n">
        <f aca="false">IFERROR(S1714/J1714-1,0)</f>
        <v>0.449750286216795</v>
      </c>
      <c r="V1714" s="2" t="str">
        <f aca="false">IF(S1714&lt;J1714,"SIM","NÃO")</f>
        <v>NÃO</v>
      </c>
      <c r="W1714" s="2" t="n">
        <v>10</v>
      </c>
      <c r="X1714" s="2" t="s">
        <v>161</v>
      </c>
    </row>
    <row r="1715" customFormat="false" ht="15" hidden="false" customHeight="false" outlineLevel="0" collapsed="false">
      <c r="A1715" s="2" t="n">
        <v>392497171</v>
      </c>
      <c r="B1715" s="29" t="n">
        <v>46275.8004398148</v>
      </c>
      <c r="C1715" s="2" t="s">
        <v>153</v>
      </c>
      <c r="D1715" s="2" t="s">
        <v>1773</v>
      </c>
      <c r="E1715" s="2" t="s">
        <v>78</v>
      </c>
      <c r="F1715" s="2" t="s">
        <v>109</v>
      </c>
      <c r="G1715" s="30" t="n">
        <v>52.3</v>
      </c>
      <c r="H1715" s="11" t="n">
        <v>699.99</v>
      </c>
      <c r="I1715" s="11" t="s">
        <v>155</v>
      </c>
      <c r="J1715" s="11" t="n">
        <v>114.5</v>
      </c>
      <c r="K1715" s="11" t="n">
        <v>112.3</v>
      </c>
      <c r="L1715" s="11" t="n">
        <v>0.7</v>
      </c>
      <c r="M1715" s="11" t="n">
        <v>1.4</v>
      </c>
      <c r="N1715" s="11" t="n">
        <v>1</v>
      </c>
      <c r="O1715" s="11" t="n">
        <v>4.5</v>
      </c>
      <c r="P1715" s="11" t="n">
        <v>3.18</v>
      </c>
      <c r="Q1715" s="11" t="n">
        <v>23.85</v>
      </c>
      <c r="R1715" s="11" t="n">
        <f aca="false">SUM(K1715:Q1715)</f>
        <v>146.93</v>
      </c>
      <c r="S1715" s="11" t="n">
        <f aca="false">R1715/(1-Resumo!$C$6)</f>
        <v>166.965909090909</v>
      </c>
      <c r="T1715" s="11" t="n">
        <f aca="false">S1715-J1715</f>
        <v>52.4659090909091</v>
      </c>
      <c r="U1715" s="12" t="n">
        <f aca="false">IFERROR(S1715/J1715-1,0)</f>
        <v>0.458217546645494</v>
      </c>
      <c r="V1715" s="2" t="str">
        <f aca="false">IF(S1715&lt;J1715,"SIM","NÃO")</f>
        <v>NÃO</v>
      </c>
      <c r="W1715" s="2" t="n">
        <v>5</v>
      </c>
      <c r="X1715" s="2" t="s">
        <v>156</v>
      </c>
    </row>
    <row r="1716" customFormat="false" ht="15" hidden="false" customHeight="false" outlineLevel="0" collapsed="false">
      <c r="A1716" s="2" t="n">
        <v>392499642</v>
      </c>
      <c r="B1716" s="29" t="n">
        <v>46275.804525463</v>
      </c>
      <c r="C1716" s="2" t="s">
        <v>153</v>
      </c>
      <c r="D1716" s="2" t="s">
        <v>1774</v>
      </c>
      <c r="E1716" s="2" t="s">
        <v>813</v>
      </c>
      <c r="F1716" s="2" t="s">
        <v>105</v>
      </c>
      <c r="G1716" s="30" t="n">
        <v>19.5</v>
      </c>
      <c r="H1716" s="11" t="n">
        <v>528.08</v>
      </c>
      <c r="I1716" s="11" t="s">
        <v>155</v>
      </c>
      <c r="J1716" s="11" t="n">
        <v>81.2</v>
      </c>
      <c r="K1716" s="11" t="n">
        <v>100.7</v>
      </c>
      <c r="L1716" s="11" t="n">
        <v>0.5281</v>
      </c>
      <c r="M1716" s="11" t="n">
        <v>1.0562</v>
      </c>
      <c r="N1716" s="11" t="n">
        <v>1</v>
      </c>
      <c r="O1716" s="11" t="n">
        <v>4.5</v>
      </c>
      <c r="P1716" s="11" t="n">
        <v>1.2</v>
      </c>
      <c r="Q1716" s="11" t="n">
        <v>9</v>
      </c>
      <c r="R1716" s="11" t="n">
        <f aca="false">SUM(K1716:Q1716)</f>
        <v>117.9843</v>
      </c>
      <c r="S1716" s="11" t="n">
        <f aca="false">R1716/(1-Resumo!$C$6)</f>
        <v>134.073068181818</v>
      </c>
      <c r="T1716" s="11" t="n">
        <f aca="false">S1716-J1716</f>
        <v>52.8730681818182</v>
      </c>
      <c r="U1716" s="12" t="n">
        <f aca="false">IFERROR(S1716/J1716-1,0)</f>
        <v>0.651146159874608</v>
      </c>
      <c r="V1716" s="2" t="str">
        <f aca="false">IF(S1716&lt;J1716,"SIM","NÃO")</f>
        <v>NÃO</v>
      </c>
      <c r="W1716" s="2" t="n">
        <v>10</v>
      </c>
      <c r="X1716" s="2" t="s">
        <v>161</v>
      </c>
    </row>
    <row r="1717" customFormat="false" ht="15" hidden="false" customHeight="false" outlineLevel="0" collapsed="false">
      <c r="A1717" s="2" t="n">
        <v>392511038</v>
      </c>
      <c r="B1717" s="29" t="n">
        <v>46275.8287384259</v>
      </c>
      <c r="C1717" s="2" t="s">
        <v>153</v>
      </c>
      <c r="D1717" s="2" t="s">
        <v>1775</v>
      </c>
      <c r="E1717" s="2" t="s">
        <v>87</v>
      </c>
      <c r="F1717" s="2" t="s">
        <v>106</v>
      </c>
      <c r="G1717" s="30" t="n">
        <v>27.6</v>
      </c>
      <c r="H1717" s="11" t="n">
        <v>537.45</v>
      </c>
      <c r="I1717" s="11" t="s">
        <v>155</v>
      </c>
      <c r="J1717" s="11" t="n">
        <v>109.74</v>
      </c>
      <c r="K1717" s="11" t="n">
        <v>108.83</v>
      </c>
      <c r="L1717" s="11" t="n">
        <v>0.5375</v>
      </c>
      <c r="M1717" s="11" t="n">
        <v>1.0749</v>
      </c>
      <c r="N1717" s="11" t="n">
        <v>1</v>
      </c>
      <c r="O1717" s="11" t="n">
        <v>4.5</v>
      </c>
      <c r="P1717" s="11" t="n">
        <v>1.68</v>
      </c>
      <c r="Q1717" s="11" t="n">
        <v>12.6</v>
      </c>
      <c r="R1717" s="11" t="n">
        <f aca="false">SUM(K1717:Q1717)</f>
        <v>130.2224</v>
      </c>
      <c r="S1717" s="11" t="n">
        <f aca="false">R1717/(1-Resumo!$C$6)</f>
        <v>147.98</v>
      </c>
      <c r="T1717" s="11" t="n">
        <f aca="false">S1717-J1717</f>
        <v>38.24</v>
      </c>
      <c r="U1717" s="12" t="n">
        <f aca="false">IFERROR(S1717/J1717-1,0)</f>
        <v>0.348459996355021</v>
      </c>
      <c r="V1717" s="2" t="str">
        <f aca="false">IF(S1717&lt;J1717,"SIM","NÃO")</f>
        <v>NÃO</v>
      </c>
      <c r="W1717" s="2" t="n">
        <v>10</v>
      </c>
      <c r="X1717" s="2" t="s">
        <v>156</v>
      </c>
    </row>
    <row r="1718" customFormat="false" ht="15" hidden="false" customHeight="false" outlineLevel="0" collapsed="false">
      <c r="A1718" s="2" t="n">
        <v>392513541</v>
      </c>
      <c r="B1718" s="29" t="n">
        <v>46275.8341087963</v>
      </c>
      <c r="C1718" s="2" t="s">
        <v>153</v>
      </c>
      <c r="D1718" s="2" t="s">
        <v>1776</v>
      </c>
      <c r="E1718" s="2" t="s">
        <v>87</v>
      </c>
      <c r="F1718" s="2" t="s">
        <v>106</v>
      </c>
      <c r="G1718" s="30" t="n">
        <v>33.21</v>
      </c>
      <c r="H1718" s="11" t="n">
        <v>439.99</v>
      </c>
      <c r="I1718" s="11" t="s">
        <v>155</v>
      </c>
      <c r="J1718" s="11" t="n">
        <v>109.28</v>
      </c>
      <c r="K1718" s="11" t="n">
        <v>108.83</v>
      </c>
      <c r="L1718" s="11" t="n">
        <v>0.44</v>
      </c>
      <c r="M1718" s="11" t="n">
        <v>0.88</v>
      </c>
      <c r="N1718" s="11" t="n">
        <v>1</v>
      </c>
      <c r="O1718" s="11" t="n">
        <v>4.5</v>
      </c>
      <c r="P1718" s="11" t="n">
        <v>2.04</v>
      </c>
      <c r="Q1718" s="11" t="n">
        <v>15.3</v>
      </c>
      <c r="R1718" s="11" t="n">
        <f aca="false">SUM(K1718:Q1718)</f>
        <v>132.99</v>
      </c>
      <c r="S1718" s="11" t="n">
        <f aca="false">R1718/(1-Resumo!$C$6)</f>
        <v>151.125</v>
      </c>
      <c r="T1718" s="11" t="n">
        <f aca="false">S1718-J1718</f>
        <v>41.845</v>
      </c>
      <c r="U1718" s="12" t="n">
        <f aca="false">IFERROR(S1718/J1718-1,0)</f>
        <v>0.382915446559297</v>
      </c>
      <c r="V1718" s="2" t="str">
        <f aca="false">IF(S1718&lt;J1718,"SIM","NÃO")</f>
        <v>NÃO</v>
      </c>
      <c r="W1718" s="2" t="n">
        <v>10</v>
      </c>
      <c r="X1718" s="2" t="s">
        <v>156</v>
      </c>
    </row>
    <row r="1719" customFormat="false" ht="15" hidden="false" customHeight="false" outlineLevel="0" collapsed="false">
      <c r="A1719" s="2" t="n">
        <v>392534946</v>
      </c>
      <c r="B1719" s="29" t="n">
        <v>46275.8749421296</v>
      </c>
      <c r="C1719" s="2" t="s">
        <v>153</v>
      </c>
      <c r="D1719" s="2" t="s">
        <v>404</v>
      </c>
      <c r="E1719" s="2" t="s">
        <v>78</v>
      </c>
      <c r="F1719" s="2" t="s">
        <v>106</v>
      </c>
      <c r="G1719" s="30" t="n">
        <v>27.4</v>
      </c>
      <c r="H1719" s="11" t="n">
        <v>369.99</v>
      </c>
      <c r="I1719" s="11" t="s">
        <v>155</v>
      </c>
      <c r="J1719" s="11" t="n">
        <v>82.1</v>
      </c>
      <c r="K1719" s="11" t="n">
        <v>82.21</v>
      </c>
      <c r="L1719" s="11" t="n">
        <v>0.37</v>
      </c>
      <c r="M1719" s="11" t="n">
        <v>0.74</v>
      </c>
      <c r="N1719" s="11" t="n">
        <v>1</v>
      </c>
      <c r="O1719" s="11" t="n">
        <v>4.5</v>
      </c>
      <c r="P1719" s="11" t="n">
        <v>1.68</v>
      </c>
      <c r="Q1719" s="11" t="n">
        <v>12.6</v>
      </c>
      <c r="R1719" s="11" t="n">
        <f aca="false">SUM(K1719:Q1719)</f>
        <v>103.1</v>
      </c>
      <c r="S1719" s="11" t="n">
        <f aca="false">R1719/(1-Resumo!$C$6)</f>
        <v>117.159090909091</v>
      </c>
      <c r="T1719" s="11" t="n">
        <f aca="false">S1719-J1719</f>
        <v>35.0590909090909</v>
      </c>
      <c r="U1719" s="12" t="n">
        <f aca="false">IFERROR(S1719/J1719-1,0)</f>
        <v>0.427029121913409</v>
      </c>
      <c r="V1719" s="2" t="str">
        <f aca="false">IF(S1719&lt;J1719,"SIM","NÃO")</f>
        <v>NÃO</v>
      </c>
      <c r="W1719" s="2" t="n">
        <v>5</v>
      </c>
      <c r="X1719" s="2" t="s">
        <v>156</v>
      </c>
    </row>
    <row r="1720" customFormat="false" ht="15" hidden="false" customHeight="false" outlineLevel="0" collapsed="false">
      <c r="A1720" s="2" t="n">
        <v>392585778</v>
      </c>
      <c r="B1720" s="29" t="n">
        <v>46275.9489467593</v>
      </c>
      <c r="C1720" s="2" t="s">
        <v>153</v>
      </c>
      <c r="D1720" s="2" t="s">
        <v>1777</v>
      </c>
      <c r="E1720" s="2" t="s">
        <v>78</v>
      </c>
      <c r="F1720" s="2" t="s">
        <v>108</v>
      </c>
      <c r="G1720" s="30" t="n">
        <v>46.8</v>
      </c>
      <c r="H1720" s="11" t="n">
        <v>599.99</v>
      </c>
      <c r="I1720" s="11" t="s">
        <v>155</v>
      </c>
      <c r="J1720" s="11" t="n">
        <v>103.47</v>
      </c>
      <c r="K1720" s="11" t="n">
        <v>93.97</v>
      </c>
      <c r="L1720" s="11" t="n">
        <v>0.6</v>
      </c>
      <c r="M1720" s="11" t="n">
        <v>1.2</v>
      </c>
      <c r="N1720" s="11" t="n">
        <v>1</v>
      </c>
      <c r="O1720" s="11" t="n">
        <v>4.5</v>
      </c>
      <c r="P1720" s="11" t="n">
        <v>2.82</v>
      </c>
      <c r="Q1720" s="11" t="n">
        <v>21.15</v>
      </c>
      <c r="R1720" s="11" t="n">
        <f aca="false">SUM(K1720:Q1720)</f>
        <v>125.24</v>
      </c>
      <c r="S1720" s="11" t="n">
        <f aca="false">R1720/(1-Resumo!$C$6)</f>
        <v>142.318181818182</v>
      </c>
      <c r="T1720" s="11" t="n">
        <f aca="false">S1720-J1720</f>
        <v>38.8481818181818</v>
      </c>
      <c r="U1720" s="12" t="n">
        <f aca="false">IFERROR(S1720/J1720-1,0)</f>
        <v>0.375453578990836</v>
      </c>
      <c r="V1720" s="2" t="str">
        <f aca="false">IF(S1720&lt;J1720,"SIM","NÃO")</f>
        <v>NÃO</v>
      </c>
      <c r="W1720" s="2" t="n">
        <v>5</v>
      </c>
      <c r="X1720" s="2" t="s">
        <v>156</v>
      </c>
    </row>
    <row r="1721" customFormat="false" ht="15" hidden="false" customHeight="false" outlineLevel="0" collapsed="false">
      <c r="A1721" s="2" t="n">
        <v>392733873</v>
      </c>
      <c r="B1721" s="29" t="n">
        <v>46276.2527546296</v>
      </c>
      <c r="C1721" s="2" t="s">
        <v>158</v>
      </c>
      <c r="D1721" s="2" t="s">
        <v>1778</v>
      </c>
      <c r="E1721" s="2" t="s">
        <v>78</v>
      </c>
      <c r="F1721" s="2" t="s">
        <v>106</v>
      </c>
      <c r="G1721" s="30" t="n">
        <v>34.4</v>
      </c>
      <c r="H1721" s="11" t="n">
        <v>439.95</v>
      </c>
      <c r="I1721" s="11" t="s">
        <v>155</v>
      </c>
      <c r="J1721" s="11" t="n">
        <v>82.43</v>
      </c>
      <c r="K1721" s="11" t="n">
        <v>82.21</v>
      </c>
      <c r="L1721" s="11" t="n">
        <v>0.44</v>
      </c>
      <c r="M1721" s="11" t="n">
        <v>0.8799</v>
      </c>
      <c r="N1721" s="11" t="n">
        <v>1</v>
      </c>
      <c r="O1721" s="11" t="n">
        <v>4.5</v>
      </c>
      <c r="P1721" s="11" t="n">
        <v>2.1</v>
      </c>
      <c r="Q1721" s="11" t="n">
        <v>15.75</v>
      </c>
      <c r="R1721" s="11" t="n">
        <f aca="false">SUM(K1721:Q1721)</f>
        <v>106.8799</v>
      </c>
      <c r="S1721" s="11" t="n">
        <f aca="false">R1721/(1-Resumo!$C$6)</f>
        <v>121.454431818182</v>
      </c>
      <c r="T1721" s="11" t="n">
        <f aca="false">S1721-J1721</f>
        <v>39.0244318181818</v>
      </c>
      <c r="U1721" s="12" t="n">
        <f aca="false">IFERROR(S1721/J1721-1,0)</f>
        <v>0.473425110010697</v>
      </c>
      <c r="V1721" s="2" t="str">
        <f aca="false">IF(S1721&lt;J1721,"SIM","NÃO")</f>
        <v>NÃO</v>
      </c>
      <c r="W1721" s="2" t="n">
        <v>5</v>
      </c>
      <c r="X1721" s="2" t="s">
        <v>156</v>
      </c>
    </row>
    <row r="1722" customFormat="false" ht="15" hidden="false" customHeight="false" outlineLevel="0" collapsed="false">
      <c r="A1722" s="2" t="n">
        <v>392846560</v>
      </c>
      <c r="B1722" s="29" t="n">
        <v>46276.4425231482</v>
      </c>
      <c r="C1722" s="2" t="s">
        <v>153</v>
      </c>
      <c r="D1722" s="2" t="s">
        <v>1779</v>
      </c>
      <c r="E1722" s="2" t="s">
        <v>78</v>
      </c>
      <c r="F1722" s="2" t="s">
        <v>105</v>
      </c>
      <c r="G1722" s="30" t="n">
        <v>19.5</v>
      </c>
      <c r="H1722" s="11" t="n">
        <v>379.99</v>
      </c>
      <c r="I1722" s="11" t="s">
        <v>155</v>
      </c>
      <c r="J1722" s="11" t="n">
        <v>65.03</v>
      </c>
      <c r="K1722" s="11" t="n">
        <v>46.98</v>
      </c>
      <c r="L1722" s="11" t="n">
        <v>0.38</v>
      </c>
      <c r="M1722" s="11" t="n">
        <v>0.76</v>
      </c>
      <c r="N1722" s="11" t="n">
        <v>1</v>
      </c>
      <c r="O1722" s="11" t="n">
        <v>4.5</v>
      </c>
      <c r="P1722" s="11" t="n">
        <v>1.2</v>
      </c>
      <c r="Q1722" s="11" t="n">
        <v>9</v>
      </c>
      <c r="R1722" s="11" t="n">
        <f aca="false">SUM(K1722:Q1722)</f>
        <v>63.82</v>
      </c>
      <c r="S1722" s="11" t="n">
        <f aca="false">R1722/(1-Resumo!$C$6)</f>
        <v>72.5227272727273</v>
      </c>
      <c r="T1722" s="11" t="n">
        <f aca="false">S1722-J1722</f>
        <v>7.49272727272727</v>
      </c>
      <c r="U1722" s="12" t="n">
        <f aca="false">IFERROR(S1722/J1722-1,0)</f>
        <v>0.115219549019334</v>
      </c>
      <c r="V1722" s="2" t="str">
        <f aca="false">IF(S1722&lt;J1722,"SIM","NÃO")</f>
        <v>NÃO</v>
      </c>
      <c r="W1722" s="2" t="n">
        <v>5</v>
      </c>
      <c r="X1722" s="2" t="s">
        <v>156</v>
      </c>
    </row>
    <row r="1723" customFormat="false" ht="15" hidden="false" customHeight="false" outlineLevel="0" collapsed="false">
      <c r="A1723" s="2" t="n">
        <v>392860817</v>
      </c>
      <c r="B1723" s="29" t="n">
        <v>46276.4608101852</v>
      </c>
      <c r="C1723" s="2" t="s">
        <v>158</v>
      </c>
      <c r="D1723" s="2" t="s">
        <v>1780</v>
      </c>
      <c r="E1723" s="2" t="s">
        <v>78</v>
      </c>
      <c r="F1723" s="2" t="s">
        <v>109</v>
      </c>
      <c r="G1723" s="30" t="n">
        <v>52.3</v>
      </c>
      <c r="H1723" s="11" t="n">
        <v>572.88</v>
      </c>
      <c r="I1723" s="11" t="s">
        <v>155</v>
      </c>
      <c r="J1723" s="11" t="n">
        <v>113.91</v>
      </c>
      <c r="K1723" s="11" t="n">
        <v>112.3</v>
      </c>
      <c r="L1723" s="11" t="n">
        <v>0.5729</v>
      </c>
      <c r="M1723" s="11" t="n">
        <v>1.1458</v>
      </c>
      <c r="N1723" s="11" t="n">
        <v>1</v>
      </c>
      <c r="O1723" s="11" t="n">
        <v>4.5</v>
      </c>
      <c r="P1723" s="11" t="n">
        <v>3.18</v>
      </c>
      <c r="Q1723" s="11" t="n">
        <v>23.85</v>
      </c>
      <c r="R1723" s="11" t="n">
        <f aca="false">SUM(K1723:Q1723)</f>
        <v>146.5487</v>
      </c>
      <c r="S1723" s="11" t="n">
        <f aca="false">R1723/(1-Resumo!$C$6)</f>
        <v>166.532613636364</v>
      </c>
      <c r="T1723" s="11" t="n">
        <f aca="false">S1723-J1723</f>
        <v>52.6226136363636</v>
      </c>
      <c r="U1723" s="12" t="n">
        <f aca="false">IFERROR(S1723/J1723-1,0)</f>
        <v>0.461966584464609</v>
      </c>
      <c r="V1723" s="2" t="str">
        <f aca="false">IF(S1723&lt;J1723,"SIM","NÃO")</f>
        <v>NÃO</v>
      </c>
      <c r="W1723" s="2" t="n">
        <v>5</v>
      </c>
      <c r="X1723" s="2" t="s">
        <v>156</v>
      </c>
    </row>
    <row r="1724" customFormat="false" ht="15" hidden="false" customHeight="false" outlineLevel="0" collapsed="false">
      <c r="A1724" s="2" t="n">
        <v>392869062</v>
      </c>
      <c r="B1724" s="29" t="n">
        <v>46276.4725</v>
      </c>
      <c r="C1724" s="2" t="s">
        <v>153</v>
      </c>
      <c r="D1724" s="2" t="s">
        <v>963</v>
      </c>
      <c r="E1724" s="2" t="s">
        <v>79</v>
      </c>
      <c r="F1724" s="2" t="s">
        <v>113</v>
      </c>
      <c r="G1724" s="30" t="n">
        <v>106.5</v>
      </c>
      <c r="H1724" s="11" t="n">
        <v>1112.08</v>
      </c>
      <c r="I1724" s="11" t="s">
        <v>155</v>
      </c>
      <c r="J1724" s="11" t="n">
        <v>195.15</v>
      </c>
      <c r="K1724" s="11" t="n">
        <v>214.11</v>
      </c>
      <c r="L1724" s="11" t="n">
        <v>1.1121</v>
      </c>
      <c r="M1724" s="11" t="n">
        <v>2.2242</v>
      </c>
      <c r="N1724" s="11" t="n">
        <v>1</v>
      </c>
      <c r="O1724" s="11" t="n">
        <v>9</v>
      </c>
      <c r="P1724" s="11" t="n">
        <v>6.42</v>
      </c>
      <c r="Q1724" s="11" t="n">
        <v>48.15</v>
      </c>
      <c r="R1724" s="11" t="n">
        <f aca="false">SUM(K1724:Q1724)</f>
        <v>282.0163</v>
      </c>
      <c r="S1724" s="11" t="n">
        <f aca="false">R1724/(1-Resumo!$C$6)</f>
        <v>320.473068181818</v>
      </c>
      <c r="T1724" s="11" t="n">
        <f aca="false">S1724-J1724</f>
        <v>125.323068181818</v>
      </c>
      <c r="U1724" s="12" t="n">
        <f aca="false">IFERROR(S1724/J1724-1,0)</f>
        <v>0.642188409847903</v>
      </c>
      <c r="V1724" s="2" t="str">
        <f aca="false">IF(S1724&lt;J1724,"SIM","NÃO")</f>
        <v>NÃO</v>
      </c>
      <c r="W1724" s="2" t="n">
        <v>7</v>
      </c>
      <c r="X1724" s="2" t="s">
        <v>156</v>
      </c>
    </row>
    <row r="1725" customFormat="false" ht="15" hidden="false" customHeight="false" outlineLevel="0" collapsed="false">
      <c r="A1725" s="2" t="n">
        <v>392884535</v>
      </c>
      <c r="B1725" s="29" t="n">
        <v>46276.4936342593</v>
      </c>
      <c r="C1725" s="2" t="s">
        <v>158</v>
      </c>
      <c r="D1725" s="2" t="s">
        <v>221</v>
      </c>
      <c r="E1725" s="2" t="s">
        <v>78</v>
      </c>
      <c r="F1725" s="2" t="s">
        <v>106</v>
      </c>
      <c r="G1725" s="30" t="n">
        <v>27.4</v>
      </c>
      <c r="H1725" s="11" t="n">
        <v>315</v>
      </c>
      <c r="I1725" s="11" t="s">
        <v>155</v>
      </c>
      <c r="J1725" s="11" t="n">
        <v>81.83</v>
      </c>
      <c r="K1725" s="11" t="n">
        <v>82.21</v>
      </c>
      <c r="L1725" s="11" t="n">
        <v>0.315</v>
      </c>
      <c r="M1725" s="11" t="n">
        <v>0.63</v>
      </c>
      <c r="N1725" s="11" t="n">
        <v>1</v>
      </c>
      <c r="O1725" s="11" t="n">
        <v>4.5</v>
      </c>
      <c r="P1725" s="11" t="n">
        <v>1.68</v>
      </c>
      <c r="Q1725" s="11" t="n">
        <v>12.6</v>
      </c>
      <c r="R1725" s="11" t="n">
        <f aca="false">SUM(K1725:Q1725)</f>
        <v>102.935</v>
      </c>
      <c r="S1725" s="11" t="n">
        <f aca="false">R1725/(1-Resumo!$C$6)</f>
        <v>116.971590909091</v>
      </c>
      <c r="T1725" s="11" t="n">
        <f aca="false">S1725-J1725</f>
        <v>35.1415909090909</v>
      </c>
      <c r="U1725" s="12" t="n">
        <f aca="false">IFERROR(S1725/J1725-1,0)</f>
        <v>0.429446302200793</v>
      </c>
      <c r="V1725" s="2" t="str">
        <f aca="false">IF(S1725&lt;J1725,"SIM","NÃO")</f>
        <v>NÃO</v>
      </c>
      <c r="W1725" s="2" t="n">
        <v>5</v>
      </c>
      <c r="X1725" s="2" t="s">
        <v>156</v>
      </c>
    </row>
    <row r="1726" customFormat="false" ht="15" hidden="false" customHeight="false" outlineLevel="0" collapsed="false">
      <c r="A1726" s="2" t="n">
        <v>392893029</v>
      </c>
      <c r="B1726" s="29" t="n">
        <v>46276.5057060185</v>
      </c>
      <c r="C1726" s="2" t="s">
        <v>153</v>
      </c>
      <c r="D1726" s="2" t="s">
        <v>1781</v>
      </c>
      <c r="E1726" s="2" t="s">
        <v>82</v>
      </c>
      <c r="F1726" s="2" t="s">
        <v>109</v>
      </c>
      <c r="G1726" s="30" t="n">
        <v>52.3</v>
      </c>
      <c r="H1726" s="11" t="n">
        <v>614.63</v>
      </c>
      <c r="I1726" s="11" t="s">
        <v>155</v>
      </c>
      <c r="J1726" s="11" t="n">
        <v>128.23</v>
      </c>
      <c r="K1726" s="11" t="n">
        <v>128.14</v>
      </c>
      <c r="L1726" s="11" t="n">
        <v>0.6146</v>
      </c>
      <c r="M1726" s="11" t="n">
        <v>1.2293</v>
      </c>
      <c r="N1726" s="11" t="n">
        <v>1</v>
      </c>
      <c r="O1726" s="11" t="n">
        <v>4.5</v>
      </c>
      <c r="P1726" s="11" t="n">
        <v>3.18</v>
      </c>
      <c r="Q1726" s="11" t="n">
        <v>23.85</v>
      </c>
      <c r="R1726" s="11" t="n">
        <f aca="false">SUM(K1726:Q1726)</f>
        <v>162.5139</v>
      </c>
      <c r="S1726" s="11" t="n">
        <f aca="false">R1726/(1-Resumo!$C$6)</f>
        <v>184.674886363636</v>
      </c>
      <c r="T1726" s="11" t="n">
        <f aca="false">S1726-J1726</f>
        <v>56.4448863636364</v>
      </c>
      <c r="U1726" s="12" t="n">
        <f aca="false">IFERROR(S1726/J1726-1,0)</f>
        <v>0.44018471780111</v>
      </c>
      <c r="V1726" s="2" t="str">
        <f aca="false">IF(S1726&lt;J1726,"SIM","NÃO")</f>
        <v>NÃO</v>
      </c>
      <c r="W1726" s="2" t="n">
        <v>7</v>
      </c>
      <c r="X1726" s="2" t="s">
        <v>156</v>
      </c>
    </row>
    <row r="1727" customFormat="false" ht="15" hidden="false" customHeight="false" outlineLevel="0" collapsed="false">
      <c r="A1727" s="2" t="n">
        <v>392896039</v>
      </c>
      <c r="B1727" s="29" t="n">
        <v>46276.5098148148</v>
      </c>
      <c r="C1727" s="2" t="s">
        <v>153</v>
      </c>
      <c r="D1727" s="2" t="s">
        <v>1782</v>
      </c>
      <c r="E1727" s="2" t="s">
        <v>242</v>
      </c>
      <c r="F1727" s="2" t="s">
        <v>107</v>
      </c>
      <c r="G1727" s="30" t="n">
        <v>36.8</v>
      </c>
      <c r="H1727" s="11" t="n">
        <v>499.99</v>
      </c>
      <c r="I1727" s="11" t="s">
        <v>155</v>
      </c>
      <c r="J1727" s="11" t="n">
        <v>122.65</v>
      </c>
      <c r="K1727" s="11" t="n">
        <v>124.38</v>
      </c>
      <c r="L1727" s="11" t="n">
        <v>0.5</v>
      </c>
      <c r="M1727" s="11" t="n">
        <v>1</v>
      </c>
      <c r="N1727" s="11" t="n">
        <v>1</v>
      </c>
      <c r="O1727" s="11" t="n">
        <v>4.5</v>
      </c>
      <c r="P1727" s="11" t="n">
        <v>2.22</v>
      </c>
      <c r="Q1727" s="11" t="n">
        <v>16.65</v>
      </c>
      <c r="R1727" s="11" t="n">
        <f aca="false">SUM(K1727:Q1727)</f>
        <v>150.25</v>
      </c>
      <c r="S1727" s="11" t="n">
        <f aca="false">R1727/(1-Resumo!$C$6)</f>
        <v>170.738636363636</v>
      </c>
      <c r="T1727" s="11" t="n">
        <f aca="false">S1727-J1727</f>
        <v>48.0886363636364</v>
      </c>
      <c r="U1727" s="12" t="n">
        <f aca="false">IFERROR(S1727/J1727-1,0)</f>
        <v>0.39208019864359</v>
      </c>
      <c r="V1727" s="2" t="str">
        <f aca="false">IF(S1727&lt;J1727,"SIM","NÃO")</f>
        <v>NÃO</v>
      </c>
      <c r="W1727" s="2" t="n">
        <v>8</v>
      </c>
      <c r="X1727" s="2" t="s">
        <v>161</v>
      </c>
    </row>
    <row r="1728" customFormat="false" ht="15" hidden="false" customHeight="false" outlineLevel="0" collapsed="false">
      <c r="A1728" s="2" t="n">
        <v>392911430</v>
      </c>
      <c r="B1728" s="29" t="n">
        <v>46276.5326273148</v>
      </c>
      <c r="C1728" s="2" t="s">
        <v>153</v>
      </c>
      <c r="D1728" s="2" t="s">
        <v>1331</v>
      </c>
      <c r="E1728" s="2" t="s">
        <v>85</v>
      </c>
      <c r="F1728" s="2" t="s">
        <v>110</v>
      </c>
      <c r="G1728" s="30" t="n">
        <v>63.9</v>
      </c>
      <c r="H1728" s="11" t="n">
        <v>716.35</v>
      </c>
      <c r="I1728" s="11" t="s">
        <v>155</v>
      </c>
      <c r="J1728" s="11" t="n">
        <v>155.44</v>
      </c>
      <c r="K1728" s="11" t="n">
        <v>171.54</v>
      </c>
      <c r="L1728" s="11" t="n">
        <v>0.7164</v>
      </c>
      <c r="M1728" s="11" t="n">
        <v>1.4327</v>
      </c>
      <c r="N1728" s="11" t="n">
        <v>1</v>
      </c>
      <c r="O1728" s="11" t="n">
        <v>4.5</v>
      </c>
      <c r="P1728" s="11" t="n">
        <v>3.84</v>
      </c>
      <c r="Q1728" s="11" t="n">
        <v>28.8</v>
      </c>
      <c r="R1728" s="11" t="n">
        <f aca="false">SUM(K1728:Q1728)</f>
        <v>211.8291</v>
      </c>
      <c r="S1728" s="11" t="n">
        <f aca="false">R1728/(1-Resumo!$C$6)</f>
        <v>240.714886363636</v>
      </c>
      <c r="T1728" s="11" t="n">
        <f aca="false">S1728-J1728</f>
        <v>85.2748863636364</v>
      </c>
      <c r="U1728" s="12" t="n">
        <f aca="false">IFERROR(S1728/J1728-1,0)</f>
        <v>0.548603231881346</v>
      </c>
      <c r="V1728" s="2" t="str">
        <f aca="false">IF(S1728&lt;J1728,"SIM","NÃO")</f>
        <v>NÃO</v>
      </c>
      <c r="W1728" s="2" t="n">
        <v>11</v>
      </c>
      <c r="X1728" s="2" t="s">
        <v>156</v>
      </c>
    </row>
    <row r="1729" customFormat="false" ht="15" hidden="false" customHeight="false" outlineLevel="0" collapsed="false">
      <c r="A1729" s="2" t="n">
        <v>392935556</v>
      </c>
      <c r="B1729" s="29" t="n">
        <v>46276.5671875</v>
      </c>
      <c r="C1729" s="2" t="s">
        <v>158</v>
      </c>
      <c r="D1729" s="2" t="s">
        <v>1783</v>
      </c>
      <c r="E1729" s="2" t="s">
        <v>800</v>
      </c>
      <c r="F1729" s="2" t="s">
        <v>110</v>
      </c>
      <c r="G1729" s="30" t="n">
        <v>68.1</v>
      </c>
      <c r="H1729" s="11" t="n">
        <v>898</v>
      </c>
      <c r="I1729" s="11" t="s">
        <v>155</v>
      </c>
      <c r="J1729" s="11" t="n">
        <v>156.33</v>
      </c>
      <c r="K1729" s="11" t="n">
        <v>166.05</v>
      </c>
      <c r="L1729" s="11" t="n">
        <v>0.898</v>
      </c>
      <c r="M1729" s="11" t="n">
        <v>1.796</v>
      </c>
      <c r="N1729" s="11" t="n">
        <v>1</v>
      </c>
      <c r="O1729" s="11" t="n">
        <v>4.5</v>
      </c>
      <c r="P1729" s="11" t="n">
        <v>4.14</v>
      </c>
      <c r="Q1729" s="11" t="n">
        <v>31.05</v>
      </c>
      <c r="R1729" s="11" t="n">
        <f aca="false">SUM(K1729:Q1729)</f>
        <v>209.434</v>
      </c>
      <c r="S1729" s="11" t="n">
        <f aca="false">R1729/(1-Resumo!$C$6)</f>
        <v>237.993181818182</v>
      </c>
      <c r="T1729" s="11" t="n">
        <f aca="false">S1729-J1729</f>
        <v>81.6631818181818</v>
      </c>
      <c r="U1729" s="12" t="n">
        <f aca="false">IFERROR(S1729/J1729-1,0)</f>
        <v>0.522376906660154</v>
      </c>
      <c r="V1729" s="2" t="str">
        <f aca="false">IF(S1729&lt;J1729,"SIM","NÃO")</f>
        <v>NÃO</v>
      </c>
      <c r="W1729" s="2" t="n">
        <v>10</v>
      </c>
      <c r="X1729" s="2" t="s">
        <v>161</v>
      </c>
    </row>
    <row r="1730" customFormat="false" ht="15" hidden="false" customHeight="false" outlineLevel="0" collapsed="false">
      <c r="A1730" s="2" t="n">
        <v>392935894</v>
      </c>
      <c r="B1730" s="29" t="n">
        <v>46276.5677546296</v>
      </c>
      <c r="C1730" s="2" t="s">
        <v>158</v>
      </c>
      <c r="D1730" s="2" t="s">
        <v>1784</v>
      </c>
      <c r="E1730" s="2" t="s">
        <v>83</v>
      </c>
      <c r="F1730" s="2" t="s">
        <v>107</v>
      </c>
      <c r="G1730" s="30" t="n">
        <v>38.2</v>
      </c>
      <c r="H1730" s="11" t="n">
        <v>676</v>
      </c>
      <c r="I1730" s="11" t="s">
        <v>155</v>
      </c>
      <c r="J1730" s="11" t="n">
        <v>123.49</v>
      </c>
      <c r="K1730" s="11" t="n">
        <v>143.04</v>
      </c>
      <c r="L1730" s="11" t="n">
        <v>0.676</v>
      </c>
      <c r="M1730" s="11" t="n">
        <v>1.352</v>
      </c>
      <c r="N1730" s="11" t="n">
        <v>1</v>
      </c>
      <c r="O1730" s="11" t="n">
        <v>4.5</v>
      </c>
      <c r="P1730" s="11" t="n">
        <v>2.34</v>
      </c>
      <c r="Q1730" s="11" t="n">
        <v>17.55</v>
      </c>
      <c r="R1730" s="11" t="n">
        <f aca="false">SUM(K1730:Q1730)</f>
        <v>170.458</v>
      </c>
      <c r="S1730" s="11" t="n">
        <f aca="false">R1730/(1-Resumo!$C$6)</f>
        <v>193.702272727273</v>
      </c>
      <c r="T1730" s="11" t="n">
        <f aca="false">S1730-J1730</f>
        <v>70.2122727272727</v>
      </c>
      <c r="U1730" s="12" t="n">
        <f aca="false">IFERROR(S1730/J1730-1,0)</f>
        <v>0.568566464711902</v>
      </c>
      <c r="V1730" s="2" t="str">
        <f aca="false">IF(S1730&lt;J1730,"SIM","NÃO")</f>
        <v>NÃO</v>
      </c>
      <c r="W1730" s="2" t="n">
        <v>11</v>
      </c>
      <c r="X1730" s="2" t="s">
        <v>156</v>
      </c>
    </row>
    <row r="1731" customFormat="false" ht="15" hidden="false" customHeight="false" outlineLevel="0" collapsed="false">
      <c r="A1731" s="2" t="n">
        <v>392939505</v>
      </c>
      <c r="B1731" s="29" t="n">
        <v>46276.5726967593</v>
      </c>
      <c r="C1731" s="2" t="s">
        <v>153</v>
      </c>
      <c r="D1731" s="2" t="s">
        <v>1143</v>
      </c>
      <c r="E1731" s="2" t="s">
        <v>78</v>
      </c>
      <c r="F1731" s="2" t="s">
        <v>109</v>
      </c>
      <c r="G1731" s="30" t="n">
        <v>51.06</v>
      </c>
      <c r="H1731" s="11" t="n">
        <v>749.99</v>
      </c>
      <c r="I1731" s="11" t="s">
        <v>155</v>
      </c>
      <c r="J1731" s="11" t="n">
        <v>114.74</v>
      </c>
      <c r="K1731" s="11" t="n">
        <v>112.3</v>
      </c>
      <c r="L1731" s="11" t="n">
        <v>0.75</v>
      </c>
      <c r="M1731" s="11" t="n">
        <v>1.5</v>
      </c>
      <c r="N1731" s="11" t="n">
        <v>1</v>
      </c>
      <c r="O1731" s="11" t="n">
        <v>4.5</v>
      </c>
      <c r="P1731" s="11" t="n">
        <v>3.12</v>
      </c>
      <c r="Q1731" s="11" t="n">
        <v>23.4</v>
      </c>
      <c r="R1731" s="11" t="n">
        <f aca="false">SUM(K1731:Q1731)</f>
        <v>146.57</v>
      </c>
      <c r="S1731" s="11" t="n">
        <f aca="false">R1731/(1-Resumo!$C$6)</f>
        <v>166.556818181818</v>
      </c>
      <c r="T1731" s="11" t="n">
        <f aca="false">S1731-J1731</f>
        <v>51.8168181818182</v>
      </c>
      <c r="U1731" s="12" t="n">
        <f aca="false">IFERROR(S1731/J1731-1,0)</f>
        <v>0.451602040978022</v>
      </c>
      <c r="V1731" s="2" t="str">
        <f aca="false">IF(S1731&lt;J1731,"SIM","NÃO")</f>
        <v>NÃO</v>
      </c>
      <c r="W1731" s="2" t="n">
        <v>5</v>
      </c>
      <c r="X1731" s="2" t="s">
        <v>156</v>
      </c>
    </row>
    <row r="1732" customFormat="false" ht="15" hidden="false" customHeight="false" outlineLevel="0" collapsed="false">
      <c r="A1732" s="2" t="n">
        <v>392939764</v>
      </c>
      <c r="B1732" s="29" t="n">
        <v>46276.5732407407</v>
      </c>
      <c r="C1732" s="2" t="s">
        <v>158</v>
      </c>
      <c r="D1732" s="2" t="s">
        <v>1785</v>
      </c>
      <c r="E1732" s="2" t="s">
        <v>82</v>
      </c>
      <c r="F1732" s="2" t="s">
        <v>106</v>
      </c>
      <c r="G1732" s="30" t="n">
        <v>27.4</v>
      </c>
      <c r="H1732" s="11" t="n">
        <v>320</v>
      </c>
      <c r="I1732" s="11" t="s">
        <v>155</v>
      </c>
      <c r="J1732" s="11" t="n">
        <v>100.92</v>
      </c>
      <c r="K1732" s="11" t="n">
        <v>100.58</v>
      </c>
      <c r="L1732" s="11" t="n">
        <v>0.32</v>
      </c>
      <c r="M1732" s="11" t="n">
        <v>0.64</v>
      </c>
      <c r="N1732" s="11" t="n">
        <v>1</v>
      </c>
      <c r="O1732" s="11" t="n">
        <v>4.5</v>
      </c>
      <c r="P1732" s="11" t="n">
        <v>1.68</v>
      </c>
      <c r="Q1732" s="11" t="n">
        <v>12.6</v>
      </c>
      <c r="R1732" s="11" t="n">
        <f aca="false">SUM(K1732:Q1732)</f>
        <v>121.32</v>
      </c>
      <c r="S1732" s="11" t="n">
        <f aca="false">R1732/(1-Resumo!$C$6)</f>
        <v>137.863636363636</v>
      </c>
      <c r="T1732" s="11" t="n">
        <f aca="false">S1732-J1732</f>
        <v>36.9436363636363</v>
      </c>
      <c r="U1732" s="12" t="n">
        <f aca="false">IFERROR(S1732/J1732-1,0)</f>
        <v>0.366068533131553</v>
      </c>
      <c r="V1732" s="2" t="str">
        <f aca="false">IF(S1732&lt;J1732,"SIM","NÃO")</f>
        <v>NÃO</v>
      </c>
      <c r="W1732" s="2" t="n">
        <v>7</v>
      </c>
      <c r="X1732" s="2" t="s">
        <v>156</v>
      </c>
    </row>
    <row r="1733" customFormat="false" ht="15" hidden="false" customHeight="false" outlineLevel="0" collapsed="false">
      <c r="A1733" s="2" t="n">
        <v>392943968</v>
      </c>
      <c r="B1733" s="29" t="n">
        <v>46276.5846296296</v>
      </c>
      <c r="C1733" s="2" t="s">
        <v>178</v>
      </c>
      <c r="D1733" s="2" t="s">
        <v>1786</v>
      </c>
      <c r="E1733" s="2" t="s">
        <v>97</v>
      </c>
      <c r="F1733" s="2" t="s">
        <v>106</v>
      </c>
      <c r="G1733" s="30" t="n">
        <v>33</v>
      </c>
      <c r="H1733" s="11" t="n">
        <v>439.99</v>
      </c>
      <c r="I1733" s="11" t="s">
        <v>155</v>
      </c>
      <c r="J1733" s="11" t="n">
        <v>109.28</v>
      </c>
      <c r="K1733" s="11" t="n">
        <v>114.95</v>
      </c>
      <c r="L1733" s="11" t="n">
        <v>0.44</v>
      </c>
      <c r="M1733" s="11" t="n">
        <v>0.88</v>
      </c>
      <c r="N1733" s="11" t="n">
        <v>1</v>
      </c>
      <c r="O1733" s="11" t="n">
        <v>4.5</v>
      </c>
      <c r="P1733" s="11" t="n">
        <v>1.98</v>
      </c>
      <c r="Q1733" s="11" t="n">
        <v>14.85</v>
      </c>
      <c r="R1733" s="11" t="n">
        <f aca="false">SUM(K1733:Q1733)</f>
        <v>138.6</v>
      </c>
      <c r="S1733" s="11" t="n">
        <f aca="false">R1733/(1-Resumo!$C$6)</f>
        <v>157.5</v>
      </c>
      <c r="T1733" s="11" t="n">
        <f aca="false">S1733-J1733</f>
        <v>48.22</v>
      </c>
      <c r="U1733" s="12" t="n">
        <f aca="false">IFERROR(S1733/J1733-1,0)</f>
        <v>0.441251830161054</v>
      </c>
      <c r="V1733" s="2" t="str">
        <f aca="false">IF(S1733&lt;J1733,"SIM","NÃO")</f>
        <v>NÃO</v>
      </c>
      <c r="W1733" s="2" t="n">
        <v>10</v>
      </c>
      <c r="X1733" s="2" t="s">
        <v>156</v>
      </c>
    </row>
    <row r="1734" customFormat="false" ht="15" hidden="false" customHeight="false" outlineLevel="0" collapsed="false">
      <c r="A1734" s="2" t="n">
        <v>392949142</v>
      </c>
      <c r="B1734" s="29" t="n">
        <v>46276.5866550926</v>
      </c>
      <c r="C1734" s="2" t="s">
        <v>153</v>
      </c>
      <c r="D1734" s="2" t="s">
        <v>1787</v>
      </c>
      <c r="E1734" s="2" t="s">
        <v>78</v>
      </c>
      <c r="F1734" s="2" t="s">
        <v>106</v>
      </c>
      <c r="G1734" s="30" t="n">
        <v>34.8</v>
      </c>
      <c r="H1734" s="11" t="n">
        <v>469.99</v>
      </c>
      <c r="I1734" s="11" t="s">
        <v>155</v>
      </c>
      <c r="J1734" s="11" t="n">
        <v>82.58</v>
      </c>
      <c r="K1734" s="11" t="n">
        <v>82.21</v>
      </c>
      <c r="L1734" s="11" t="n">
        <v>0.47</v>
      </c>
      <c r="M1734" s="11" t="n">
        <v>0.94</v>
      </c>
      <c r="N1734" s="11" t="n">
        <v>1</v>
      </c>
      <c r="O1734" s="11" t="n">
        <v>4.5</v>
      </c>
      <c r="P1734" s="11" t="n">
        <v>2.1</v>
      </c>
      <c r="Q1734" s="11" t="n">
        <v>15.75</v>
      </c>
      <c r="R1734" s="11" t="n">
        <f aca="false">SUM(K1734:Q1734)</f>
        <v>106.97</v>
      </c>
      <c r="S1734" s="11" t="n">
        <f aca="false">R1734/(1-Resumo!$C$6)</f>
        <v>121.556818181818</v>
      </c>
      <c r="T1734" s="11" t="n">
        <f aca="false">S1734-J1734</f>
        <v>38.9768181818182</v>
      </c>
      <c r="U1734" s="12" t="n">
        <f aca="false">IFERROR(S1734/J1734-1,0)</f>
        <v>0.471988595081354</v>
      </c>
      <c r="V1734" s="2" t="str">
        <f aca="false">IF(S1734&lt;J1734,"SIM","NÃO")</f>
        <v>NÃO</v>
      </c>
      <c r="W1734" s="2" t="n">
        <v>5</v>
      </c>
      <c r="X1734" s="2" t="s">
        <v>156</v>
      </c>
    </row>
    <row r="1735" customFormat="false" ht="15" hidden="false" customHeight="false" outlineLevel="0" collapsed="false">
      <c r="A1735" s="2" t="n">
        <v>392978867</v>
      </c>
      <c r="B1735" s="29" t="n">
        <v>46276.6275115741</v>
      </c>
      <c r="C1735" s="2" t="s">
        <v>158</v>
      </c>
      <c r="D1735" s="2" t="s">
        <v>1788</v>
      </c>
      <c r="E1735" s="2" t="s">
        <v>82</v>
      </c>
      <c r="F1735" s="2" t="s">
        <v>109</v>
      </c>
      <c r="G1735" s="30" t="n">
        <v>52.3</v>
      </c>
      <c r="H1735" s="11" t="n">
        <v>620</v>
      </c>
      <c r="I1735" s="11" t="s">
        <v>155</v>
      </c>
      <c r="J1735" s="11" t="n">
        <v>128.25</v>
      </c>
      <c r="K1735" s="11" t="n">
        <v>128.14</v>
      </c>
      <c r="L1735" s="11" t="n">
        <v>0.62</v>
      </c>
      <c r="M1735" s="11" t="n">
        <v>1.24</v>
      </c>
      <c r="N1735" s="11" t="n">
        <v>1</v>
      </c>
      <c r="O1735" s="11" t="n">
        <v>4.5</v>
      </c>
      <c r="P1735" s="11" t="n">
        <v>3.18</v>
      </c>
      <c r="Q1735" s="11" t="n">
        <v>23.85</v>
      </c>
      <c r="R1735" s="11" t="n">
        <f aca="false">SUM(K1735:Q1735)</f>
        <v>162.53</v>
      </c>
      <c r="S1735" s="11" t="n">
        <f aca="false">R1735/(1-Resumo!$C$6)</f>
        <v>184.693181818182</v>
      </c>
      <c r="T1735" s="11" t="n">
        <f aca="false">S1735-J1735</f>
        <v>56.4431818181818</v>
      </c>
      <c r="U1735" s="12" t="n">
        <f aca="false">IFERROR(S1735/J1735-1,0)</f>
        <v>0.440102782208045</v>
      </c>
      <c r="V1735" s="2" t="str">
        <f aca="false">IF(S1735&lt;J1735,"SIM","NÃO")</f>
        <v>NÃO</v>
      </c>
      <c r="W1735" s="2" t="n">
        <v>7</v>
      </c>
      <c r="X1735" s="2" t="s">
        <v>156</v>
      </c>
    </row>
    <row r="1736" customFormat="false" ht="15" hidden="false" customHeight="false" outlineLevel="0" collapsed="false">
      <c r="A1736" s="2" t="n">
        <v>393047552</v>
      </c>
      <c r="B1736" s="29" t="n">
        <v>46276.7347337963</v>
      </c>
      <c r="C1736" s="2" t="s">
        <v>153</v>
      </c>
      <c r="D1736" s="2" t="s">
        <v>1789</v>
      </c>
      <c r="E1736" s="2" t="s">
        <v>78</v>
      </c>
      <c r="F1736" s="2" t="s">
        <v>109</v>
      </c>
      <c r="G1736" s="30" t="n">
        <v>59.9</v>
      </c>
      <c r="H1736" s="11" t="n">
        <v>883.45</v>
      </c>
      <c r="I1736" s="11" t="s">
        <v>155</v>
      </c>
      <c r="J1736" s="11" t="n">
        <v>115.39</v>
      </c>
      <c r="K1736" s="11" t="n">
        <v>112.3</v>
      </c>
      <c r="L1736" s="11" t="n">
        <v>0.8834</v>
      </c>
      <c r="M1736" s="11" t="n">
        <v>1.7669</v>
      </c>
      <c r="N1736" s="11" t="n">
        <v>1</v>
      </c>
      <c r="O1736" s="11" t="n">
        <v>4.5</v>
      </c>
      <c r="P1736" s="11" t="n">
        <v>3.6</v>
      </c>
      <c r="Q1736" s="11" t="n">
        <v>27</v>
      </c>
      <c r="R1736" s="11" t="n">
        <f aca="false">SUM(K1736:Q1736)</f>
        <v>151.0503</v>
      </c>
      <c r="S1736" s="11" t="n">
        <f aca="false">R1736/(1-Resumo!$C$6)</f>
        <v>171.648068181818</v>
      </c>
      <c r="T1736" s="11" t="n">
        <f aca="false">S1736-J1736</f>
        <v>56.2580681818182</v>
      </c>
      <c r="U1736" s="12" t="n">
        <f aca="false">IFERROR(S1736/J1736-1,0)</f>
        <v>0.487547172041062</v>
      </c>
      <c r="V1736" s="2" t="str">
        <f aca="false">IF(S1736&lt;J1736,"SIM","NÃO")</f>
        <v>NÃO</v>
      </c>
      <c r="W1736" s="2" t="n">
        <v>5</v>
      </c>
      <c r="X1736" s="2" t="s">
        <v>156</v>
      </c>
    </row>
    <row r="1737" customFormat="false" ht="15" hidden="false" customHeight="false" outlineLevel="0" collapsed="false">
      <c r="A1737" s="2" t="n">
        <v>393070343</v>
      </c>
      <c r="B1737" s="29" t="n">
        <v>46276.7762962963</v>
      </c>
      <c r="C1737" s="2" t="s">
        <v>178</v>
      </c>
      <c r="D1737" s="2" t="s">
        <v>1790</v>
      </c>
      <c r="E1737" s="2" t="s">
        <v>78</v>
      </c>
      <c r="F1737" s="2" t="s">
        <v>107</v>
      </c>
      <c r="G1737" s="30" t="n">
        <v>36.8</v>
      </c>
      <c r="H1737" s="11" t="n">
        <v>549.99</v>
      </c>
      <c r="I1737" s="11" t="s">
        <v>155</v>
      </c>
      <c r="J1737" s="11" t="n">
        <v>92.49</v>
      </c>
      <c r="K1737" s="11" t="n">
        <v>93.97</v>
      </c>
      <c r="L1737" s="11" t="n">
        <v>0.55</v>
      </c>
      <c r="M1737" s="11" t="n">
        <v>1.1</v>
      </c>
      <c r="N1737" s="11" t="n">
        <v>1</v>
      </c>
      <c r="O1737" s="11" t="n">
        <v>4.5</v>
      </c>
      <c r="P1737" s="11" t="n">
        <v>2.22</v>
      </c>
      <c r="Q1737" s="11" t="n">
        <v>16.65</v>
      </c>
      <c r="R1737" s="11" t="n">
        <f aca="false">SUM(K1737:Q1737)</f>
        <v>119.99</v>
      </c>
      <c r="S1737" s="11" t="n">
        <f aca="false">R1737/(1-Resumo!$C$6)</f>
        <v>136.352272727273</v>
      </c>
      <c r="T1737" s="11" t="n">
        <f aca="false">S1737-J1737</f>
        <v>43.8622727272728</v>
      </c>
      <c r="U1737" s="12" t="n">
        <f aca="false">IFERROR(S1737/J1737-1,0)</f>
        <v>0.474238001159831</v>
      </c>
      <c r="V1737" s="2" t="str">
        <f aca="false">IF(S1737&lt;J1737,"SIM","NÃO")</f>
        <v>NÃO</v>
      </c>
      <c r="W1737" s="2" t="n">
        <v>5</v>
      </c>
      <c r="X1737" s="2" t="s">
        <v>156</v>
      </c>
    </row>
    <row r="1738" customFormat="false" ht="15" hidden="false" customHeight="false" outlineLevel="0" collapsed="false">
      <c r="A1738" s="2" t="n">
        <v>393082746</v>
      </c>
      <c r="B1738" s="29" t="n">
        <v>46276.7889583333</v>
      </c>
      <c r="C1738" s="2" t="s">
        <v>153</v>
      </c>
      <c r="D1738" s="2" t="s">
        <v>1791</v>
      </c>
      <c r="E1738" s="2" t="s">
        <v>78</v>
      </c>
      <c r="F1738" s="2" t="s">
        <v>110</v>
      </c>
      <c r="G1738" s="30" t="n">
        <v>63.9</v>
      </c>
      <c r="H1738" s="11" t="n">
        <v>716.35</v>
      </c>
      <c r="I1738" s="11" t="s">
        <v>155</v>
      </c>
      <c r="J1738" s="11" t="n">
        <v>124.64</v>
      </c>
      <c r="K1738" s="11" t="n">
        <v>131.02</v>
      </c>
      <c r="L1738" s="11" t="n">
        <v>0.7164</v>
      </c>
      <c r="M1738" s="11" t="n">
        <v>1.4327</v>
      </c>
      <c r="N1738" s="11" t="n">
        <v>1</v>
      </c>
      <c r="O1738" s="11" t="n">
        <v>4.5</v>
      </c>
      <c r="P1738" s="11" t="n">
        <v>3.84</v>
      </c>
      <c r="Q1738" s="11" t="n">
        <v>28.8</v>
      </c>
      <c r="R1738" s="11" t="n">
        <f aca="false">SUM(K1738:Q1738)</f>
        <v>171.3091</v>
      </c>
      <c r="S1738" s="11" t="n">
        <f aca="false">R1738/(1-Resumo!$C$6)</f>
        <v>194.669431818182</v>
      </c>
      <c r="T1738" s="11" t="n">
        <f aca="false">S1738-J1738</f>
        <v>70.0294318181819</v>
      </c>
      <c r="U1738" s="12" t="n">
        <f aca="false">IFERROR(S1738/J1738-1,0)</f>
        <v>0.561853592892987</v>
      </c>
      <c r="V1738" s="2" t="str">
        <f aca="false">IF(S1738&lt;J1738,"SIM","NÃO")</f>
        <v>NÃO</v>
      </c>
      <c r="W1738" s="2" t="n">
        <v>5</v>
      </c>
      <c r="X1738" s="2" t="s">
        <v>156</v>
      </c>
    </row>
    <row r="1739" customFormat="false" ht="15" hidden="false" customHeight="false" outlineLevel="0" collapsed="false">
      <c r="A1739" s="2" t="n">
        <v>393091015</v>
      </c>
      <c r="B1739" s="29" t="n">
        <v>46276.8066203704</v>
      </c>
      <c r="C1739" s="2" t="s">
        <v>178</v>
      </c>
      <c r="D1739" s="2" t="s">
        <v>988</v>
      </c>
      <c r="E1739" s="2" t="s">
        <v>78</v>
      </c>
      <c r="F1739" s="2" t="s">
        <v>106</v>
      </c>
      <c r="G1739" s="30" t="n">
        <v>31.2</v>
      </c>
      <c r="H1739" s="11" t="n">
        <v>399.99</v>
      </c>
      <c r="I1739" s="11" t="s">
        <v>155</v>
      </c>
      <c r="J1739" s="11" t="n">
        <v>82.24</v>
      </c>
      <c r="K1739" s="11" t="n">
        <v>82.21</v>
      </c>
      <c r="L1739" s="11" t="n">
        <v>0.4</v>
      </c>
      <c r="M1739" s="11" t="n">
        <v>0.8</v>
      </c>
      <c r="N1739" s="11" t="n">
        <v>1</v>
      </c>
      <c r="O1739" s="11" t="n">
        <v>4.5</v>
      </c>
      <c r="P1739" s="11" t="n">
        <v>1.92</v>
      </c>
      <c r="Q1739" s="11" t="n">
        <v>14.4</v>
      </c>
      <c r="R1739" s="11" t="n">
        <f aca="false">SUM(K1739:Q1739)</f>
        <v>105.23</v>
      </c>
      <c r="S1739" s="11" t="n">
        <f aca="false">R1739/(1-Resumo!$C$6)</f>
        <v>119.579545454545</v>
      </c>
      <c r="T1739" s="11" t="n">
        <f aca="false">S1739-J1739</f>
        <v>37.3395454545455</v>
      </c>
      <c r="U1739" s="12" t="n">
        <f aca="false">IFERROR(S1739/J1739-1,0)</f>
        <v>0.454031437920057</v>
      </c>
      <c r="V1739" s="2" t="str">
        <f aca="false">IF(S1739&lt;J1739,"SIM","NÃO")</f>
        <v>NÃO</v>
      </c>
      <c r="W1739" s="2" t="n">
        <v>5</v>
      </c>
      <c r="X1739" s="2" t="s">
        <v>156</v>
      </c>
    </row>
    <row r="1740" customFormat="false" ht="15" hidden="false" customHeight="false" outlineLevel="0" collapsed="false">
      <c r="A1740" s="2" t="n">
        <v>393100294</v>
      </c>
      <c r="B1740" s="29" t="n">
        <v>46276.8157291667</v>
      </c>
      <c r="C1740" s="2" t="s">
        <v>158</v>
      </c>
      <c r="D1740" s="2" t="s">
        <v>1792</v>
      </c>
      <c r="E1740" s="2" t="s">
        <v>78</v>
      </c>
      <c r="F1740" s="2" t="s">
        <v>106</v>
      </c>
      <c r="G1740" s="30" t="n">
        <v>31.9</v>
      </c>
      <c r="H1740" s="11" t="n">
        <v>483.99</v>
      </c>
      <c r="I1740" s="11" t="s">
        <v>155</v>
      </c>
      <c r="J1740" s="11" t="n">
        <v>82.65</v>
      </c>
      <c r="K1740" s="11" t="n">
        <v>82.21</v>
      </c>
      <c r="L1740" s="11" t="n">
        <v>0.484</v>
      </c>
      <c r="M1740" s="11" t="n">
        <v>0.968</v>
      </c>
      <c r="N1740" s="11" t="n">
        <v>1</v>
      </c>
      <c r="O1740" s="11" t="n">
        <v>4.5</v>
      </c>
      <c r="P1740" s="11" t="n">
        <v>1.92</v>
      </c>
      <c r="Q1740" s="11" t="n">
        <v>14.4</v>
      </c>
      <c r="R1740" s="11" t="n">
        <f aca="false">SUM(K1740:Q1740)</f>
        <v>105.482</v>
      </c>
      <c r="S1740" s="11" t="n">
        <f aca="false">R1740/(1-Resumo!$C$6)</f>
        <v>119.865909090909</v>
      </c>
      <c r="T1740" s="11" t="n">
        <f aca="false">S1740-J1740</f>
        <v>37.2159090909091</v>
      </c>
      <c r="U1740" s="12" t="n">
        <f aca="false">IFERROR(S1740/J1740-1,0)</f>
        <v>0.450283231589947</v>
      </c>
      <c r="V1740" s="2" t="str">
        <f aca="false">IF(S1740&lt;J1740,"SIM","NÃO")</f>
        <v>NÃO</v>
      </c>
      <c r="W1740" s="2" t="n">
        <v>5</v>
      </c>
      <c r="X1740" s="2" t="s">
        <v>156</v>
      </c>
    </row>
    <row r="1741" customFormat="false" ht="15" hidden="false" customHeight="false" outlineLevel="0" collapsed="false">
      <c r="A1741" s="2" t="n">
        <v>393121524</v>
      </c>
      <c r="B1741" s="29" t="n">
        <v>46276.8487384259</v>
      </c>
      <c r="C1741" s="2" t="s">
        <v>158</v>
      </c>
      <c r="D1741" s="2" t="s">
        <v>252</v>
      </c>
      <c r="E1741" s="2" t="s">
        <v>78</v>
      </c>
      <c r="F1741" s="2" t="s">
        <v>106</v>
      </c>
      <c r="G1741" s="30" t="n">
        <v>31.2</v>
      </c>
      <c r="H1741" s="11" t="n">
        <v>323</v>
      </c>
      <c r="I1741" s="11" t="s">
        <v>155</v>
      </c>
      <c r="J1741" s="11" t="n">
        <v>81.89</v>
      </c>
      <c r="K1741" s="11" t="n">
        <v>82.21</v>
      </c>
      <c r="L1741" s="11" t="n">
        <v>0.323</v>
      </c>
      <c r="M1741" s="11" t="n">
        <v>0.646</v>
      </c>
      <c r="N1741" s="11" t="n">
        <v>1</v>
      </c>
      <c r="O1741" s="11" t="n">
        <v>4.5</v>
      </c>
      <c r="P1741" s="11" t="n">
        <v>1.92</v>
      </c>
      <c r="Q1741" s="11" t="n">
        <v>14.4</v>
      </c>
      <c r="R1741" s="11" t="n">
        <f aca="false">SUM(K1741:Q1741)</f>
        <v>104.999</v>
      </c>
      <c r="S1741" s="11" t="n">
        <f aca="false">R1741/(1-Resumo!$C$6)</f>
        <v>119.317045454545</v>
      </c>
      <c r="T1741" s="11" t="n">
        <f aca="false">S1741-J1741</f>
        <v>37.4270454545455</v>
      </c>
      <c r="U1741" s="12" t="n">
        <f aca="false">IFERROR(S1741/J1741-1,0)</f>
        <v>0.457040486683911</v>
      </c>
      <c r="V1741" s="2" t="str">
        <f aca="false">IF(S1741&lt;J1741,"SIM","NÃO")</f>
        <v>NÃO</v>
      </c>
      <c r="W1741" s="2" t="n">
        <v>5</v>
      </c>
      <c r="X1741" s="2" t="s">
        <v>156</v>
      </c>
    </row>
    <row r="1742" customFormat="false" ht="15" hidden="false" customHeight="false" outlineLevel="0" collapsed="false">
      <c r="A1742" s="2" t="n">
        <v>393130247</v>
      </c>
      <c r="B1742" s="29" t="n">
        <v>46276.8626041667</v>
      </c>
      <c r="C1742" s="2" t="s">
        <v>153</v>
      </c>
      <c r="D1742" s="2" t="s">
        <v>1793</v>
      </c>
      <c r="E1742" s="2" t="s">
        <v>87</v>
      </c>
      <c r="F1742" s="2" t="s">
        <v>107</v>
      </c>
      <c r="G1742" s="30" t="n">
        <v>35.3</v>
      </c>
      <c r="H1742" s="11" t="n">
        <v>434.97</v>
      </c>
      <c r="I1742" s="11" t="s">
        <v>155</v>
      </c>
      <c r="J1742" s="11" t="n">
        <v>122.33</v>
      </c>
      <c r="K1742" s="11" t="n">
        <v>124.38</v>
      </c>
      <c r="L1742" s="11" t="n">
        <v>0.435</v>
      </c>
      <c r="M1742" s="11" t="n">
        <v>0.8699</v>
      </c>
      <c r="N1742" s="11" t="n">
        <v>1</v>
      </c>
      <c r="O1742" s="11" t="n">
        <v>4.5</v>
      </c>
      <c r="P1742" s="11" t="n">
        <v>2.16</v>
      </c>
      <c r="Q1742" s="11" t="n">
        <v>16.2</v>
      </c>
      <c r="R1742" s="11" t="n">
        <f aca="false">SUM(K1742:Q1742)</f>
        <v>149.5449</v>
      </c>
      <c r="S1742" s="11" t="n">
        <f aca="false">R1742/(1-Resumo!$C$6)</f>
        <v>169.937386363636</v>
      </c>
      <c r="T1742" s="11" t="n">
        <f aca="false">S1742-J1742</f>
        <v>47.6073863636363</v>
      </c>
      <c r="U1742" s="12" t="n">
        <f aca="false">IFERROR(S1742/J1742-1,0)</f>
        <v>0.38917180056925</v>
      </c>
      <c r="V1742" s="2" t="str">
        <f aca="false">IF(S1742&lt;J1742,"SIM","NÃO")</f>
        <v>NÃO</v>
      </c>
      <c r="W1742" s="2" t="n">
        <v>10</v>
      </c>
      <c r="X1742" s="2" t="s">
        <v>156</v>
      </c>
    </row>
    <row r="1743" customFormat="false" ht="15" hidden="false" customHeight="false" outlineLevel="0" collapsed="false">
      <c r="A1743" s="2" t="n">
        <v>393165867</v>
      </c>
      <c r="B1743" s="29" t="n">
        <v>46276.9223263889</v>
      </c>
      <c r="C1743" s="2" t="s">
        <v>153</v>
      </c>
      <c r="D1743" s="2" t="s">
        <v>1794</v>
      </c>
      <c r="E1743" s="2" t="s">
        <v>160</v>
      </c>
      <c r="F1743" s="2" t="s">
        <v>106</v>
      </c>
      <c r="G1743" s="30" t="n">
        <v>27</v>
      </c>
      <c r="H1743" s="11" t="n">
        <v>349.99</v>
      </c>
      <c r="I1743" s="11" t="s">
        <v>155</v>
      </c>
      <c r="J1743" s="11" t="n">
        <v>101.07</v>
      </c>
      <c r="K1743" s="11" t="n">
        <v>82.21</v>
      </c>
      <c r="L1743" s="11" t="n">
        <v>0.35</v>
      </c>
      <c r="M1743" s="11" t="n">
        <v>0.7</v>
      </c>
      <c r="N1743" s="11" t="n">
        <v>1</v>
      </c>
      <c r="O1743" s="11" t="n">
        <v>4.5</v>
      </c>
      <c r="P1743" s="11" t="n">
        <v>1.62</v>
      </c>
      <c r="Q1743" s="11" t="n">
        <v>12.15</v>
      </c>
      <c r="R1743" s="11" t="n">
        <f aca="false">SUM(K1743:Q1743)</f>
        <v>102.53</v>
      </c>
      <c r="S1743" s="11" t="n">
        <f aca="false">R1743/(1-Resumo!$C$6)</f>
        <v>116.511363636364</v>
      </c>
      <c r="T1743" s="11" t="n">
        <f aca="false">S1743-J1743</f>
        <v>15.4413636363636</v>
      </c>
      <c r="U1743" s="12" t="n">
        <f aca="false">IFERROR(S1743/J1743-1,0)</f>
        <v>0.152778902111048</v>
      </c>
      <c r="V1743" s="2" t="str">
        <f aca="false">IF(S1743&lt;J1743,"SIM","NÃO")</f>
        <v>NÃO</v>
      </c>
      <c r="W1743" s="2" t="n">
        <v>5</v>
      </c>
      <c r="X1743" s="2" t="s">
        <v>161</v>
      </c>
    </row>
    <row r="1744" customFormat="false" ht="15" hidden="false" customHeight="false" outlineLevel="0" collapsed="false">
      <c r="A1744" s="2" t="n">
        <v>393207170</v>
      </c>
      <c r="B1744" s="29" t="n">
        <v>46277.011099537</v>
      </c>
      <c r="C1744" s="2" t="s">
        <v>158</v>
      </c>
      <c r="D1744" s="2" t="s">
        <v>1795</v>
      </c>
      <c r="E1744" s="2" t="s">
        <v>79</v>
      </c>
      <c r="F1744" s="2" t="s">
        <v>109</v>
      </c>
      <c r="G1744" s="30" t="n">
        <v>58.6</v>
      </c>
      <c r="H1744" s="11" t="n">
        <v>658.98</v>
      </c>
      <c r="I1744" s="11" t="s">
        <v>155</v>
      </c>
      <c r="J1744" s="11" t="n">
        <v>128.44</v>
      </c>
      <c r="K1744" s="11" t="n">
        <v>128.14</v>
      </c>
      <c r="L1744" s="11" t="n">
        <v>0.659</v>
      </c>
      <c r="M1744" s="11" t="n">
        <v>1.318</v>
      </c>
      <c r="N1744" s="11" t="n">
        <v>1</v>
      </c>
      <c r="O1744" s="11" t="n">
        <v>4.5</v>
      </c>
      <c r="P1744" s="11" t="n">
        <v>3.54</v>
      </c>
      <c r="Q1744" s="11" t="n">
        <v>26.55</v>
      </c>
      <c r="R1744" s="11" t="n">
        <f aca="false">SUM(K1744:Q1744)</f>
        <v>165.707</v>
      </c>
      <c r="S1744" s="11" t="n">
        <f aca="false">R1744/(1-Resumo!$C$6)</f>
        <v>188.303409090909</v>
      </c>
      <c r="T1744" s="11" t="n">
        <f aca="false">S1744-J1744</f>
        <v>59.8634090909091</v>
      </c>
      <c r="U1744" s="12" t="n">
        <f aca="false">IFERROR(S1744/J1744-1,0)</f>
        <v>0.466080731009881</v>
      </c>
      <c r="V1744" s="2" t="str">
        <f aca="false">IF(S1744&lt;J1744,"SIM","NÃO")</f>
        <v>NÃO</v>
      </c>
      <c r="W1744" s="2" t="n">
        <v>7</v>
      </c>
      <c r="X1744" s="2" t="s">
        <v>156</v>
      </c>
    </row>
    <row r="1745" customFormat="false" ht="15" hidden="false" customHeight="false" outlineLevel="0" collapsed="false">
      <c r="A1745" s="2" t="n">
        <v>393214620</v>
      </c>
      <c r="B1745" s="29" t="n">
        <v>46277.0288078704</v>
      </c>
      <c r="C1745" s="2" t="s">
        <v>158</v>
      </c>
      <c r="D1745" s="2" t="s">
        <v>1796</v>
      </c>
      <c r="E1745" s="2" t="s">
        <v>87</v>
      </c>
      <c r="F1745" s="2" t="s">
        <v>108</v>
      </c>
      <c r="G1745" s="30" t="n">
        <v>41.6</v>
      </c>
      <c r="H1745" s="11" t="n">
        <v>523.75</v>
      </c>
      <c r="I1745" s="11" t="s">
        <v>155</v>
      </c>
      <c r="J1745" s="11" t="n">
        <v>130.68</v>
      </c>
      <c r="K1745" s="11" t="n">
        <v>124.38</v>
      </c>
      <c r="L1745" s="11" t="n">
        <v>0.5238</v>
      </c>
      <c r="M1745" s="11" t="n">
        <v>1.0475</v>
      </c>
      <c r="N1745" s="11" t="n">
        <v>1</v>
      </c>
      <c r="O1745" s="11" t="n">
        <v>4.5</v>
      </c>
      <c r="P1745" s="11" t="n">
        <v>2.52</v>
      </c>
      <c r="Q1745" s="11" t="n">
        <v>18.9</v>
      </c>
      <c r="R1745" s="11" t="n">
        <f aca="false">SUM(K1745:Q1745)</f>
        <v>152.8713</v>
      </c>
      <c r="S1745" s="11" t="n">
        <f aca="false">R1745/(1-Resumo!$C$6)</f>
        <v>173.717386363636</v>
      </c>
      <c r="T1745" s="11" t="n">
        <f aca="false">S1745-J1745</f>
        <v>43.0373863636364</v>
      </c>
      <c r="U1745" s="12" t="n">
        <f aca="false">IFERROR(S1745/J1745-1,0)</f>
        <v>0.329334147257701</v>
      </c>
      <c r="V1745" s="2" t="str">
        <f aca="false">IF(S1745&lt;J1745,"SIM","NÃO")</f>
        <v>NÃO</v>
      </c>
      <c r="W1745" s="2" t="n">
        <v>10</v>
      </c>
      <c r="X1745" s="2" t="s">
        <v>156</v>
      </c>
    </row>
    <row r="1746" customFormat="false" ht="15" hidden="false" customHeight="false" outlineLevel="0" collapsed="false">
      <c r="A1746" s="2" t="n">
        <v>393149982</v>
      </c>
      <c r="B1746" s="29" t="n">
        <v>46277.3816666667</v>
      </c>
      <c r="C1746" s="2" t="s">
        <v>178</v>
      </c>
      <c r="D1746" s="2" t="s">
        <v>1797</v>
      </c>
      <c r="E1746" s="2" t="s">
        <v>85</v>
      </c>
      <c r="F1746" s="2" t="s">
        <v>107</v>
      </c>
      <c r="G1746" s="30" t="n">
        <v>36.9</v>
      </c>
      <c r="H1746" s="11" t="n">
        <v>373.99</v>
      </c>
      <c r="I1746" s="11" t="s">
        <v>155</v>
      </c>
      <c r="J1746" s="11" t="n">
        <v>122.05</v>
      </c>
      <c r="K1746" s="11" t="n">
        <v>143.04</v>
      </c>
      <c r="L1746" s="11" t="n">
        <v>0.374</v>
      </c>
      <c r="M1746" s="11" t="n">
        <v>0.748</v>
      </c>
      <c r="N1746" s="11" t="n">
        <v>1</v>
      </c>
      <c r="O1746" s="11" t="n">
        <v>4.5</v>
      </c>
      <c r="P1746" s="11" t="n">
        <v>2.22</v>
      </c>
      <c r="Q1746" s="11" t="n">
        <v>16.65</v>
      </c>
      <c r="R1746" s="11" t="n">
        <f aca="false">SUM(K1746:Q1746)</f>
        <v>168.532</v>
      </c>
      <c r="S1746" s="11" t="n">
        <f aca="false">R1746/(1-Resumo!$C$6)</f>
        <v>191.513636363636</v>
      </c>
      <c r="T1746" s="11" t="n">
        <f aca="false">S1746-J1746</f>
        <v>69.4636363636364</v>
      </c>
      <c r="U1746" s="12" t="n">
        <f aca="false">IFERROR(S1746/J1746-1,0)</f>
        <v>0.569140814122379</v>
      </c>
      <c r="V1746" s="2" t="str">
        <f aca="false">IF(S1746&lt;J1746,"SIM","NÃO")</f>
        <v>NÃO</v>
      </c>
      <c r="W1746" s="2" t="n">
        <v>11</v>
      </c>
      <c r="X1746" s="2" t="s">
        <v>156</v>
      </c>
    </row>
    <row r="1747" customFormat="false" ht="15" hidden="false" customHeight="false" outlineLevel="0" collapsed="false">
      <c r="A1747" s="2" t="n">
        <v>393411024</v>
      </c>
      <c r="B1747" s="29" t="n">
        <v>46277.4853125</v>
      </c>
      <c r="C1747" s="2" t="s">
        <v>153</v>
      </c>
      <c r="D1747" s="2" t="s">
        <v>1514</v>
      </c>
      <c r="E1747" s="2" t="s">
        <v>78</v>
      </c>
      <c r="F1747" s="2" t="s">
        <v>109</v>
      </c>
      <c r="G1747" s="30" t="n">
        <v>52.3</v>
      </c>
      <c r="H1747" s="11" t="n">
        <v>645.14</v>
      </c>
      <c r="I1747" s="11" t="s">
        <v>155</v>
      </c>
      <c r="J1747" s="11" t="n">
        <v>114.24</v>
      </c>
      <c r="K1747" s="11" t="n">
        <v>112.3</v>
      </c>
      <c r="L1747" s="11" t="n">
        <v>0.6451</v>
      </c>
      <c r="M1747" s="11" t="n">
        <v>1.2903</v>
      </c>
      <c r="N1747" s="11" t="n">
        <v>1</v>
      </c>
      <c r="O1747" s="11" t="n">
        <v>4.5</v>
      </c>
      <c r="P1747" s="11" t="n">
        <v>3.18</v>
      </c>
      <c r="Q1747" s="11" t="n">
        <v>23.85</v>
      </c>
      <c r="R1747" s="11" t="n">
        <f aca="false">SUM(K1747:Q1747)</f>
        <v>146.7654</v>
      </c>
      <c r="S1747" s="11" t="n">
        <f aca="false">R1747/(1-Resumo!$C$6)</f>
        <v>166.778863636364</v>
      </c>
      <c r="T1747" s="11" t="n">
        <f aca="false">S1747-J1747</f>
        <v>52.5388636363636</v>
      </c>
      <c r="U1747" s="12" t="n">
        <f aca="false">IFERROR(S1747/J1747-1,0)</f>
        <v>0.459899016424752</v>
      </c>
      <c r="V1747" s="2" t="str">
        <f aca="false">IF(S1747&lt;J1747,"SIM","NÃO")</f>
        <v>NÃO</v>
      </c>
      <c r="W1747" s="2" t="n">
        <v>5</v>
      </c>
      <c r="X1747" s="2" t="s">
        <v>156</v>
      </c>
    </row>
    <row r="1748" customFormat="false" ht="15" hidden="false" customHeight="false" outlineLevel="0" collapsed="false">
      <c r="A1748" s="2" t="n">
        <v>393428649</v>
      </c>
      <c r="B1748" s="29" t="n">
        <v>46277.5101736111</v>
      </c>
      <c r="C1748" s="2" t="s">
        <v>153</v>
      </c>
      <c r="D1748" s="2" t="s">
        <v>1798</v>
      </c>
      <c r="E1748" s="2" t="s">
        <v>85</v>
      </c>
      <c r="F1748" s="2" t="s">
        <v>108</v>
      </c>
      <c r="G1748" s="30" t="n">
        <v>41</v>
      </c>
      <c r="H1748" s="11" t="n">
        <v>559.99</v>
      </c>
      <c r="I1748" s="11" t="s">
        <v>155</v>
      </c>
      <c r="J1748" s="11" t="n">
        <v>130.84</v>
      </c>
      <c r="K1748" s="11" t="n">
        <v>152.54</v>
      </c>
      <c r="L1748" s="11" t="n">
        <v>0.56</v>
      </c>
      <c r="M1748" s="11" t="n">
        <v>1.12</v>
      </c>
      <c r="N1748" s="11" t="n">
        <v>1</v>
      </c>
      <c r="O1748" s="11" t="n">
        <v>4.5</v>
      </c>
      <c r="P1748" s="11" t="n">
        <v>2.46</v>
      </c>
      <c r="Q1748" s="11" t="n">
        <v>18.45</v>
      </c>
      <c r="R1748" s="11" t="n">
        <f aca="false">SUM(K1748:Q1748)</f>
        <v>180.63</v>
      </c>
      <c r="S1748" s="11" t="n">
        <f aca="false">R1748/(1-Resumo!$C$6)</f>
        <v>205.261363636364</v>
      </c>
      <c r="T1748" s="11" t="n">
        <f aca="false">S1748-J1748</f>
        <v>74.4213636363636</v>
      </c>
      <c r="U1748" s="12" t="n">
        <f aca="false">IFERROR(S1748/J1748-1,0)</f>
        <v>0.568796726049859</v>
      </c>
      <c r="V1748" s="2" t="str">
        <f aca="false">IF(S1748&lt;J1748,"SIM","NÃO")</f>
        <v>NÃO</v>
      </c>
      <c r="W1748" s="2" t="n">
        <v>11</v>
      </c>
      <c r="X1748" s="2" t="s">
        <v>156</v>
      </c>
    </row>
    <row r="1749" customFormat="false" ht="15" hidden="false" customHeight="false" outlineLevel="0" collapsed="false">
      <c r="A1749" s="2" t="n">
        <v>393433068</v>
      </c>
      <c r="B1749" s="29" t="n">
        <v>46277.5209143519</v>
      </c>
      <c r="C1749" s="2" t="s">
        <v>198</v>
      </c>
      <c r="D1749" s="2" t="s">
        <v>1799</v>
      </c>
      <c r="E1749" s="2" t="s">
        <v>87</v>
      </c>
      <c r="F1749" s="2" t="s">
        <v>106</v>
      </c>
      <c r="G1749" s="30" t="n">
        <v>27.6</v>
      </c>
      <c r="H1749" s="11" t="n">
        <v>552.49</v>
      </c>
      <c r="I1749" s="11" t="s">
        <v>155</v>
      </c>
      <c r="J1749" s="11" t="n">
        <v>109.82</v>
      </c>
      <c r="K1749" s="11" t="n">
        <v>108.83</v>
      </c>
      <c r="L1749" s="11" t="n">
        <v>0.5525</v>
      </c>
      <c r="M1749" s="11" t="n">
        <v>1.105</v>
      </c>
      <c r="N1749" s="11" t="n">
        <v>1</v>
      </c>
      <c r="O1749" s="11" t="n">
        <v>4.5</v>
      </c>
      <c r="P1749" s="11" t="n">
        <v>1.68</v>
      </c>
      <c r="Q1749" s="11" t="n">
        <v>12.6</v>
      </c>
      <c r="R1749" s="11" t="n">
        <f aca="false">SUM(K1749:Q1749)</f>
        <v>130.2675</v>
      </c>
      <c r="S1749" s="11" t="n">
        <f aca="false">R1749/(1-Resumo!$C$6)</f>
        <v>148.03125</v>
      </c>
      <c r="T1749" s="11" t="n">
        <f aca="false">S1749-J1749</f>
        <v>38.21125</v>
      </c>
      <c r="U1749" s="12" t="n">
        <f aca="false">IFERROR(S1749/J1749-1,0)</f>
        <v>0.347944363503916</v>
      </c>
      <c r="V1749" s="2" t="str">
        <f aca="false">IF(S1749&lt;J1749,"SIM","NÃO")</f>
        <v>NÃO</v>
      </c>
      <c r="W1749" s="2" t="n">
        <v>10</v>
      </c>
      <c r="X1749" s="2" t="s">
        <v>156</v>
      </c>
    </row>
    <row r="1750" customFormat="false" ht="15" hidden="false" customHeight="false" outlineLevel="0" collapsed="false">
      <c r="A1750" s="2" t="n">
        <v>393433681</v>
      </c>
      <c r="B1750" s="29" t="n">
        <v>46277.5400115741</v>
      </c>
      <c r="C1750" s="2" t="s">
        <v>191</v>
      </c>
      <c r="D1750" s="2" t="s">
        <v>1800</v>
      </c>
      <c r="E1750" s="2" t="s">
        <v>78</v>
      </c>
      <c r="F1750" s="2" t="s">
        <v>109</v>
      </c>
      <c r="G1750" s="30" t="n">
        <v>56.6</v>
      </c>
      <c r="H1750" s="11" t="n">
        <v>1249.99</v>
      </c>
      <c r="I1750" s="11" t="s">
        <v>155</v>
      </c>
      <c r="J1750" s="11" t="n">
        <v>117.14</v>
      </c>
      <c r="K1750" s="11" t="n">
        <v>112.3</v>
      </c>
      <c r="L1750" s="11" t="n">
        <v>1.25</v>
      </c>
      <c r="M1750" s="11" t="n">
        <v>2.5</v>
      </c>
      <c r="N1750" s="11" t="n">
        <v>1</v>
      </c>
      <c r="O1750" s="11" t="n">
        <v>4.5</v>
      </c>
      <c r="P1750" s="11" t="n">
        <v>3.42</v>
      </c>
      <c r="Q1750" s="11" t="n">
        <v>25.65</v>
      </c>
      <c r="R1750" s="11" t="n">
        <f aca="false">SUM(K1750:Q1750)</f>
        <v>150.62</v>
      </c>
      <c r="S1750" s="11" t="n">
        <f aca="false">R1750/(1-Resumo!$C$6)</f>
        <v>171.159090909091</v>
      </c>
      <c r="T1750" s="11" t="n">
        <f aca="false">S1750-J1750</f>
        <v>54.0190909090909</v>
      </c>
      <c r="U1750" s="12" t="n">
        <f aca="false">IFERROR(S1750/J1750-1,0)</f>
        <v>0.461149828488056</v>
      </c>
      <c r="V1750" s="2" t="str">
        <f aca="false">IF(S1750&lt;J1750,"SIM","NÃO")</f>
        <v>NÃO</v>
      </c>
      <c r="W1750" s="2" t="n">
        <v>5</v>
      </c>
      <c r="X1750" s="2" t="s">
        <v>156</v>
      </c>
    </row>
    <row r="1751" customFormat="false" ht="15" hidden="false" customHeight="false" outlineLevel="0" collapsed="false">
      <c r="A1751" s="2" t="n">
        <v>393484917</v>
      </c>
      <c r="B1751" s="29" t="n">
        <v>46277.6137152778</v>
      </c>
      <c r="C1751" s="2" t="s">
        <v>158</v>
      </c>
      <c r="D1751" s="2" t="s">
        <v>1801</v>
      </c>
      <c r="E1751" s="2" t="s">
        <v>78</v>
      </c>
      <c r="F1751" s="2" t="s">
        <v>105</v>
      </c>
      <c r="G1751" s="30" t="n">
        <v>13.18</v>
      </c>
      <c r="H1751" s="11" t="n">
        <v>239</v>
      </c>
      <c r="I1751" s="11" t="s">
        <v>155</v>
      </c>
      <c r="J1751" s="11" t="n">
        <v>64.36</v>
      </c>
      <c r="K1751" s="11" t="n">
        <v>46.98</v>
      </c>
      <c r="L1751" s="11" t="n">
        <v>0.239</v>
      </c>
      <c r="M1751" s="11" t="n">
        <v>0.478</v>
      </c>
      <c r="N1751" s="11" t="n">
        <v>1</v>
      </c>
      <c r="O1751" s="11" t="n">
        <v>4.5</v>
      </c>
      <c r="P1751" s="11" t="n">
        <v>0.84</v>
      </c>
      <c r="Q1751" s="11" t="n">
        <v>6.3</v>
      </c>
      <c r="R1751" s="11" t="n">
        <f aca="false">SUM(K1751:Q1751)</f>
        <v>60.337</v>
      </c>
      <c r="S1751" s="11" t="n">
        <f aca="false">R1751/(1-Resumo!$C$6)</f>
        <v>68.5647727272727</v>
      </c>
      <c r="T1751" s="11" t="n">
        <f aca="false">S1751-J1751</f>
        <v>4.20477272727273</v>
      </c>
      <c r="U1751" s="12" t="n">
        <f aca="false">IFERROR(S1751/J1751-1,0)</f>
        <v>0.0653320809085258</v>
      </c>
      <c r="V1751" s="2" t="str">
        <f aca="false">IF(S1751&lt;J1751,"SIM","NÃO")</f>
        <v>NÃO</v>
      </c>
      <c r="W1751" s="2" t="n">
        <v>5</v>
      </c>
      <c r="X1751" s="2" t="s">
        <v>156</v>
      </c>
    </row>
    <row r="1752" customFormat="false" ht="15" hidden="false" customHeight="false" outlineLevel="0" collapsed="false">
      <c r="A1752" s="2" t="n">
        <v>393485058</v>
      </c>
      <c r="B1752" s="29" t="n">
        <v>46277.6144212963</v>
      </c>
      <c r="C1752" s="2" t="s">
        <v>153</v>
      </c>
      <c r="D1752" s="2" t="s">
        <v>834</v>
      </c>
      <c r="E1752" s="2" t="s">
        <v>78</v>
      </c>
      <c r="F1752" s="2" t="s">
        <v>109</v>
      </c>
      <c r="G1752" s="30" t="n">
        <v>52.3</v>
      </c>
      <c r="H1752" s="11" t="n">
        <v>614.63</v>
      </c>
      <c r="I1752" s="11" t="s">
        <v>155</v>
      </c>
      <c r="J1752" s="11" t="n">
        <v>114.09</v>
      </c>
      <c r="K1752" s="11" t="n">
        <v>112.3</v>
      </c>
      <c r="L1752" s="11" t="n">
        <v>0.6146</v>
      </c>
      <c r="M1752" s="11" t="n">
        <v>1.2293</v>
      </c>
      <c r="N1752" s="11" t="n">
        <v>1</v>
      </c>
      <c r="O1752" s="11" t="n">
        <v>4.5</v>
      </c>
      <c r="P1752" s="11" t="n">
        <v>3.18</v>
      </c>
      <c r="Q1752" s="11" t="n">
        <v>23.85</v>
      </c>
      <c r="R1752" s="11" t="n">
        <f aca="false">SUM(K1752:Q1752)</f>
        <v>146.6739</v>
      </c>
      <c r="S1752" s="11" t="n">
        <f aca="false">R1752/(1-Resumo!$C$6)</f>
        <v>166.674886363636</v>
      </c>
      <c r="T1752" s="11" t="n">
        <f aca="false">S1752-J1752</f>
        <v>52.5848863636364</v>
      </c>
      <c r="U1752" s="12" t="n">
        <f aca="false">IFERROR(S1752/J1752-1,0)</f>
        <v>0.460907059020391</v>
      </c>
      <c r="V1752" s="2" t="str">
        <f aca="false">IF(S1752&lt;J1752,"SIM","NÃO")</f>
        <v>NÃO</v>
      </c>
      <c r="W1752" s="2" t="n">
        <v>5</v>
      </c>
      <c r="X1752" s="2" t="s">
        <v>156</v>
      </c>
    </row>
    <row r="1753" customFormat="false" ht="15" hidden="false" customHeight="false" outlineLevel="0" collapsed="false">
      <c r="A1753" s="2" t="n">
        <v>393498944</v>
      </c>
      <c r="B1753" s="29" t="n">
        <v>46277.6431828704</v>
      </c>
      <c r="C1753" s="2" t="s">
        <v>153</v>
      </c>
      <c r="D1753" s="2" t="s">
        <v>1802</v>
      </c>
      <c r="E1753" s="2" t="s">
        <v>78</v>
      </c>
      <c r="F1753" s="2" t="s">
        <v>109</v>
      </c>
      <c r="G1753" s="30" t="n">
        <v>52.3</v>
      </c>
      <c r="H1753" s="11" t="n">
        <v>614.63</v>
      </c>
      <c r="I1753" s="11" t="s">
        <v>155</v>
      </c>
      <c r="J1753" s="11" t="n">
        <v>114.09</v>
      </c>
      <c r="K1753" s="11" t="n">
        <v>112.3</v>
      </c>
      <c r="L1753" s="11" t="n">
        <v>0.6146</v>
      </c>
      <c r="M1753" s="11" t="n">
        <v>1.2293</v>
      </c>
      <c r="N1753" s="11" t="n">
        <v>1</v>
      </c>
      <c r="O1753" s="11" t="n">
        <v>4.5</v>
      </c>
      <c r="P1753" s="11" t="n">
        <v>3.18</v>
      </c>
      <c r="Q1753" s="11" t="n">
        <v>23.85</v>
      </c>
      <c r="R1753" s="11" t="n">
        <f aca="false">SUM(K1753:Q1753)</f>
        <v>146.6739</v>
      </c>
      <c r="S1753" s="11" t="n">
        <f aca="false">R1753/(1-Resumo!$C$6)</f>
        <v>166.674886363636</v>
      </c>
      <c r="T1753" s="11" t="n">
        <f aca="false">S1753-J1753</f>
        <v>52.5848863636364</v>
      </c>
      <c r="U1753" s="12" t="n">
        <f aca="false">IFERROR(S1753/J1753-1,0)</f>
        <v>0.460907059020391</v>
      </c>
      <c r="V1753" s="2" t="str">
        <f aca="false">IF(S1753&lt;J1753,"SIM","NÃO")</f>
        <v>NÃO</v>
      </c>
      <c r="W1753" s="2" t="n">
        <v>5</v>
      </c>
      <c r="X1753" s="2" t="s">
        <v>156</v>
      </c>
    </row>
    <row r="1754" customFormat="false" ht="15" hidden="false" customHeight="false" outlineLevel="0" collapsed="false">
      <c r="A1754" s="2" t="n">
        <v>393502564</v>
      </c>
      <c r="B1754" s="29" t="n">
        <v>46277.6495949074</v>
      </c>
      <c r="C1754" s="2" t="s">
        <v>153</v>
      </c>
      <c r="D1754" s="2" t="s">
        <v>1803</v>
      </c>
      <c r="E1754" s="2" t="s">
        <v>80</v>
      </c>
      <c r="F1754" s="2" t="s">
        <v>109</v>
      </c>
      <c r="G1754" s="30" t="n">
        <v>52.3</v>
      </c>
      <c r="H1754" s="11" t="n">
        <v>614.63</v>
      </c>
      <c r="I1754" s="11" t="s">
        <v>155</v>
      </c>
      <c r="J1754" s="11" t="n">
        <v>128.23</v>
      </c>
      <c r="K1754" s="11" t="n">
        <v>112.3</v>
      </c>
      <c r="L1754" s="11" t="n">
        <v>0.6146</v>
      </c>
      <c r="M1754" s="11" t="n">
        <v>1.2293</v>
      </c>
      <c r="N1754" s="11" t="n">
        <v>1</v>
      </c>
      <c r="O1754" s="11" t="n">
        <v>4.5</v>
      </c>
      <c r="P1754" s="11" t="n">
        <v>3.18</v>
      </c>
      <c r="Q1754" s="11" t="n">
        <v>23.85</v>
      </c>
      <c r="R1754" s="11" t="n">
        <f aca="false">SUM(K1754:Q1754)</f>
        <v>146.6739</v>
      </c>
      <c r="S1754" s="11" t="n">
        <f aca="false">R1754/(1-Resumo!$C$6)</f>
        <v>166.674886363636</v>
      </c>
      <c r="T1754" s="11" t="n">
        <f aca="false">S1754-J1754</f>
        <v>38.4448863636364</v>
      </c>
      <c r="U1754" s="12" t="n">
        <f aca="false">IFERROR(S1754/J1754-1,0)</f>
        <v>0.299811950118041</v>
      </c>
      <c r="V1754" s="2" t="str">
        <f aca="false">IF(S1754&lt;J1754,"SIM","NÃO")</f>
        <v>NÃO</v>
      </c>
      <c r="W1754" s="2" t="n">
        <v>5</v>
      </c>
      <c r="X1754" s="2" t="s">
        <v>156</v>
      </c>
    </row>
    <row r="1755" customFormat="false" ht="15" hidden="false" customHeight="false" outlineLevel="0" collapsed="false">
      <c r="A1755" s="2" t="n">
        <v>393525371</v>
      </c>
      <c r="B1755" s="29" t="n">
        <v>46277.68875</v>
      </c>
      <c r="C1755" s="2" t="s">
        <v>158</v>
      </c>
      <c r="D1755" s="2" t="s">
        <v>1804</v>
      </c>
      <c r="E1755" s="2" t="s">
        <v>78</v>
      </c>
      <c r="F1755" s="2" t="s">
        <v>108</v>
      </c>
      <c r="G1755" s="30" t="n">
        <v>40.6</v>
      </c>
      <c r="H1755" s="11" t="n">
        <v>444.42</v>
      </c>
      <c r="I1755" s="11" t="s">
        <v>155</v>
      </c>
      <c r="J1755" s="11" t="n">
        <v>102.72</v>
      </c>
      <c r="K1755" s="11" t="n">
        <v>93.97</v>
      </c>
      <c r="L1755" s="11" t="n">
        <v>0.4444</v>
      </c>
      <c r="M1755" s="11" t="n">
        <v>0.8888</v>
      </c>
      <c r="N1755" s="11" t="n">
        <v>1</v>
      </c>
      <c r="O1755" s="11" t="n">
        <v>4.5</v>
      </c>
      <c r="P1755" s="11" t="n">
        <v>2.46</v>
      </c>
      <c r="Q1755" s="11" t="n">
        <v>18.45</v>
      </c>
      <c r="R1755" s="11" t="n">
        <f aca="false">SUM(K1755:Q1755)</f>
        <v>121.7132</v>
      </c>
      <c r="S1755" s="11" t="n">
        <f aca="false">R1755/(1-Resumo!$C$6)</f>
        <v>138.310454545455</v>
      </c>
      <c r="T1755" s="11" t="n">
        <f aca="false">S1755-J1755</f>
        <v>35.5904545454546</v>
      </c>
      <c r="U1755" s="12" t="n">
        <f aca="false">IFERROR(S1755/J1755-1,0)</f>
        <v>0.346480281789861</v>
      </c>
      <c r="V1755" s="2" t="str">
        <f aca="false">IF(S1755&lt;J1755,"SIM","NÃO")</f>
        <v>NÃO</v>
      </c>
      <c r="W1755" s="2" t="n">
        <v>5</v>
      </c>
      <c r="X1755" s="2" t="s">
        <v>156</v>
      </c>
    </row>
    <row r="1756" customFormat="false" ht="15" hidden="false" customHeight="false" outlineLevel="0" collapsed="false">
      <c r="A1756" s="2" t="n">
        <v>393542286</v>
      </c>
      <c r="B1756" s="29" t="n">
        <v>46277.7167708333</v>
      </c>
      <c r="C1756" s="2" t="s">
        <v>153</v>
      </c>
      <c r="D1756" s="2" t="s">
        <v>1805</v>
      </c>
      <c r="E1756" s="2" t="s">
        <v>78</v>
      </c>
      <c r="F1756" s="2" t="s">
        <v>105</v>
      </c>
      <c r="G1756" s="30" t="n">
        <v>19.5</v>
      </c>
      <c r="H1756" s="11" t="n">
        <v>379.99</v>
      </c>
      <c r="I1756" s="11" t="s">
        <v>155</v>
      </c>
      <c r="J1756" s="11" t="n">
        <v>65.03</v>
      </c>
      <c r="K1756" s="11" t="n">
        <v>46.98</v>
      </c>
      <c r="L1756" s="11" t="n">
        <v>0.38</v>
      </c>
      <c r="M1756" s="11" t="n">
        <v>0.76</v>
      </c>
      <c r="N1756" s="11" t="n">
        <v>1</v>
      </c>
      <c r="O1756" s="11" t="n">
        <v>4.5</v>
      </c>
      <c r="P1756" s="11" t="n">
        <v>1.2</v>
      </c>
      <c r="Q1756" s="11" t="n">
        <v>9</v>
      </c>
      <c r="R1756" s="11" t="n">
        <f aca="false">SUM(K1756:Q1756)</f>
        <v>63.82</v>
      </c>
      <c r="S1756" s="11" t="n">
        <f aca="false">R1756/(1-Resumo!$C$6)</f>
        <v>72.5227272727273</v>
      </c>
      <c r="T1756" s="11" t="n">
        <f aca="false">S1756-J1756</f>
        <v>7.49272727272727</v>
      </c>
      <c r="U1756" s="12" t="n">
        <f aca="false">IFERROR(S1756/J1756-1,0)</f>
        <v>0.115219549019334</v>
      </c>
      <c r="V1756" s="2" t="str">
        <f aca="false">IF(S1756&lt;J1756,"SIM","NÃO")</f>
        <v>NÃO</v>
      </c>
      <c r="W1756" s="2" t="n">
        <v>5</v>
      </c>
      <c r="X1756" s="2" t="s">
        <v>156</v>
      </c>
    </row>
    <row r="1757" customFormat="false" ht="15" hidden="false" customHeight="false" outlineLevel="0" collapsed="false">
      <c r="A1757" s="2" t="n">
        <v>393543382</v>
      </c>
      <c r="B1757" s="29" t="n">
        <v>46277.7187152778</v>
      </c>
      <c r="C1757" s="2" t="s">
        <v>153</v>
      </c>
      <c r="D1757" s="2" t="s">
        <v>1806</v>
      </c>
      <c r="E1757" s="2" t="s">
        <v>1387</v>
      </c>
      <c r="F1757" s="2" t="s">
        <v>109</v>
      </c>
      <c r="G1757" s="30" t="n">
        <v>52.3</v>
      </c>
      <c r="H1757" s="11" t="n">
        <v>614.63</v>
      </c>
      <c r="I1757" s="11" t="s">
        <v>155</v>
      </c>
      <c r="J1757" s="11" t="n">
        <v>142.61</v>
      </c>
      <c r="K1757" s="11" t="n">
        <v>128.14</v>
      </c>
      <c r="L1757" s="11" t="n">
        <v>0.6146</v>
      </c>
      <c r="M1757" s="11" t="n">
        <v>1.2293</v>
      </c>
      <c r="N1757" s="11" t="n">
        <v>1</v>
      </c>
      <c r="O1757" s="11" t="n">
        <v>4.5</v>
      </c>
      <c r="P1757" s="11" t="n">
        <v>3.18</v>
      </c>
      <c r="Q1757" s="11" t="n">
        <v>23.85</v>
      </c>
      <c r="R1757" s="11" t="n">
        <f aca="false">SUM(K1757:Q1757)</f>
        <v>162.5139</v>
      </c>
      <c r="S1757" s="11" t="n">
        <f aca="false">R1757/(1-Resumo!$C$6)</f>
        <v>184.674886363636</v>
      </c>
      <c r="T1757" s="11" t="n">
        <f aca="false">S1757-J1757</f>
        <v>42.0648863636363</v>
      </c>
      <c r="U1757" s="12" t="n">
        <f aca="false">IFERROR(S1757/J1757-1,0)</f>
        <v>0.294964493118549</v>
      </c>
      <c r="V1757" s="2" t="str">
        <f aca="false">IF(S1757&lt;J1757,"SIM","NÃO")</f>
        <v>NÃO</v>
      </c>
      <c r="W1757" s="2" t="n">
        <v>7</v>
      </c>
      <c r="X1757" s="2" t="s">
        <v>161</v>
      </c>
    </row>
    <row r="1758" customFormat="false" ht="15" hidden="false" customHeight="false" outlineLevel="0" collapsed="false">
      <c r="A1758" s="2" t="n">
        <v>393551915</v>
      </c>
      <c r="B1758" s="29" t="n">
        <v>46277.7330902778</v>
      </c>
      <c r="C1758" s="2" t="s">
        <v>153</v>
      </c>
      <c r="D1758" s="2" t="s">
        <v>1807</v>
      </c>
      <c r="E1758" s="2" t="s">
        <v>85</v>
      </c>
      <c r="F1758" s="2" t="s">
        <v>110</v>
      </c>
      <c r="G1758" s="30" t="n">
        <v>63.9</v>
      </c>
      <c r="H1758" s="11" t="n">
        <v>716.35</v>
      </c>
      <c r="I1758" s="11" t="s">
        <v>155</v>
      </c>
      <c r="J1758" s="11" t="n">
        <v>155.44</v>
      </c>
      <c r="K1758" s="11" t="n">
        <v>171.54</v>
      </c>
      <c r="L1758" s="11" t="n">
        <v>0.7164</v>
      </c>
      <c r="M1758" s="11" t="n">
        <v>1.4327</v>
      </c>
      <c r="N1758" s="11" t="n">
        <v>1</v>
      </c>
      <c r="O1758" s="11" t="n">
        <v>4.5</v>
      </c>
      <c r="P1758" s="11" t="n">
        <v>3.84</v>
      </c>
      <c r="Q1758" s="11" t="n">
        <v>28.8</v>
      </c>
      <c r="R1758" s="11" t="n">
        <f aca="false">SUM(K1758:Q1758)</f>
        <v>211.8291</v>
      </c>
      <c r="S1758" s="11" t="n">
        <f aca="false">R1758/(1-Resumo!$C$6)</f>
        <v>240.714886363636</v>
      </c>
      <c r="T1758" s="11" t="n">
        <f aca="false">S1758-J1758</f>
        <v>85.2748863636364</v>
      </c>
      <c r="U1758" s="12" t="n">
        <f aca="false">IFERROR(S1758/J1758-1,0)</f>
        <v>0.548603231881346</v>
      </c>
      <c r="V1758" s="2" t="str">
        <f aca="false">IF(S1758&lt;J1758,"SIM","NÃO")</f>
        <v>NÃO</v>
      </c>
      <c r="W1758" s="2" t="n">
        <v>11</v>
      </c>
      <c r="X1758" s="2" t="s">
        <v>156</v>
      </c>
    </row>
    <row r="1759" customFormat="false" ht="15" hidden="false" customHeight="false" outlineLevel="0" collapsed="false">
      <c r="A1759" s="2" t="n">
        <v>393574315</v>
      </c>
      <c r="B1759" s="29" t="n">
        <v>46277.7675578704</v>
      </c>
      <c r="C1759" s="2" t="s">
        <v>153</v>
      </c>
      <c r="D1759" s="2" t="s">
        <v>1808</v>
      </c>
      <c r="E1759" s="2" t="s">
        <v>203</v>
      </c>
      <c r="F1759" s="2" t="s">
        <v>109</v>
      </c>
      <c r="G1759" s="30" t="n">
        <v>52.3</v>
      </c>
      <c r="H1759" s="11" t="n">
        <v>645.14</v>
      </c>
      <c r="I1759" s="11" t="s">
        <v>155</v>
      </c>
      <c r="J1759" s="11" t="n">
        <v>142.76</v>
      </c>
      <c r="K1759" s="11" t="n">
        <v>122.3</v>
      </c>
      <c r="L1759" s="11" t="n">
        <v>0.6451</v>
      </c>
      <c r="M1759" s="11" t="n">
        <v>1.2903</v>
      </c>
      <c r="N1759" s="11" t="n">
        <v>1</v>
      </c>
      <c r="O1759" s="11" t="n">
        <v>4.5</v>
      </c>
      <c r="P1759" s="11" t="n">
        <v>3.18</v>
      </c>
      <c r="Q1759" s="11" t="n">
        <v>23.85</v>
      </c>
      <c r="R1759" s="11" t="n">
        <f aca="false">SUM(K1759:Q1759)</f>
        <v>156.7654</v>
      </c>
      <c r="S1759" s="11" t="n">
        <f aca="false">R1759/(1-Resumo!$C$6)</f>
        <v>178.1425</v>
      </c>
      <c r="T1759" s="11" t="n">
        <f aca="false">S1759-J1759</f>
        <v>35.3825</v>
      </c>
      <c r="U1759" s="12" t="n">
        <f aca="false">IFERROR(S1759/J1759-1,0)</f>
        <v>0.247846035304007</v>
      </c>
      <c r="V1759" s="2" t="str">
        <f aca="false">IF(S1759&lt;J1759,"SIM","NÃO")</f>
        <v>NÃO</v>
      </c>
      <c r="W1759" s="2" t="n">
        <v>5</v>
      </c>
      <c r="X1759" s="2" t="s">
        <v>161</v>
      </c>
    </row>
    <row r="1760" customFormat="false" ht="15" hidden="false" customHeight="false" outlineLevel="0" collapsed="false">
      <c r="A1760" s="2" t="n">
        <v>393619383</v>
      </c>
      <c r="B1760" s="29" t="n">
        <v>46277.8421875</v>
      </c>
      <c r="C1760" s="2" t="s">
        <v>153</v>
      </c>
      <c r="D1760" s="2" t="s">
        <v>1512</v>
      </c>
      <c r="E1760" s="2" t="s">
        <v>83</v>
      </c>
      <c r="F1760" s="2" t="s">
        <v>106</v>
      </c>
      <c r="G1760" s="30" t="n">
        <v>27.5</v>
      </c>
      <c r="H1760" s="11" t="n">
        <v>399.99</v>
      </c>
      <c r="I1760" s="11" t="s">
        <v>155</v>
      </c>
      <c r="J1760" s="11" t="n">
        <v>109.1</v>
      </c>
      <c r="K1760" s="11" t="n">
        <v>138.29</v>
      </c>
      <c r="L1760" s="11" t="n">
        <v>0.4</v>
      </c>
      <c r="M1760" s="11" t="n">
        <v>0.8</v>
      </c>
      <c r="N1760" s="11" t="n">
        <v>1</v>
      </c>
      <c r="O1760" s="11" t="n">
        <v>4.5</v>
      </c>
      <c r="P1760" s="11" t="n">
        <v>1.68</v>
      </c>
      <c r="Q1760" s="11" t="n">
        <v>12.6</v>
      </c>
      <c r="R1760" s="11" t="n">
        <f aca="false">SUM(K1760:Q1760)</f>
        <v>159.27</v>
      </c>
      <c r="S1760" s="11" t="n">
        <f aca="false">R1760/(1-Resumo!$C$6)</f>
        <v>180.988636363636</v>
      </c>
      <c r="T1760" s="11" t="n">
        <f aca="false">S1760-J1760</f>
        <v>71.8886363636364</v>
      </c>
      <c r="U1760" s="12" t="n">
        <f aca="false">IFERROR(S1760/J1760-1,0)</f>
        <v>0.658924256311974</v>
      </c>
      <c r="V1760" s="2" t="str">
        <f aca="false">IF(S1760&lt;J1760,"SIM","NÃO")</f>
        <v>NÃO</v>
      </c>
      <c r="W1760" s="2" t="n">
        <v>11</v>
      </c>
      <c r="X1760" s="2" t="s">
        <v>156</v>
      </c>
    </row>
    <row r="1761" customFormat="false" ht="15" hidden="false" customHeight="false" outlineLevel="0" collapsed="false">
      <c r="A1761" s="2" t="n">
        <v>393631360</v>
      </c>
      <c r="B1761" s="29" t="n">
        <v>46277.8628819444</v>
      </c>
      <c r="C1761" s="2" t="s">
        <v>153</v>
      </c>
      <c r="D1761" s="2" t="s">
        <v>1809</v>
      </c>
      <c r="E1761" s="2" t="s">
        <v>85</v>
      </c>
      <c r="F1761" s="2" t="s">
        <v>105</v>
      </c>
      <c r="G1761" s="30" t="n">
        <v>15</v>
      </c>
      <c r="H1761" s="11" t="n">
        <v>219.99</v>
      </c>
      <c r="I1761" s="11" t="s">
        <v>155</v>
      </c>
      <c r="J1761" s="11" t="n">
        <v>79.72</v>
      </c>
      <c r="K1761" s="11" t="n">
        <v>124.04</v>
      </c>
      <c r="L1761" s="11" t="n">
        <v>0.22</v>
      </c>
      <c r="M1761" s="11" t="n">
        <v>0.44</v>
      </c>
      <c r="N1761" s="11" t="n">
        <v>1</v>
      </c>
      <c r="O1761" s="11" t="n">
        <v>4.5</v>
      </c>
      <c r="P1761" s="11" t="n">
        <v>0.9</v>
      </c>
      <c r="Q1761" s="11" t="n">
        <v>6.75</v>
      </c>
      <c r="R1761" s="11" t="n">
        <f aca="false">SUM(K1761:Q1761)</f>
        <v>137.85</v>
      </c>
      <c r="S1761" s="11" t="n">
        <f aca="false">R1761/(1-Resumo!$C$6)</f>
        <v>156.647727272727</v>
      </c>
      <c r="T1761" s="11" t="n">
        <f aca="false">S1761-J1761</f>
        <v>76.9277272727273</v>
      </c>
      <c r="U1761" s="12" t="n">
        <f aca="false">IFERROR(S1761/J1761-1,0)</f>
        <v>0.964973999908771</v>
      </c>
      <c r="V1761" s="2" t="str">
        <f aca="false">IF(S1761&lt;J1761,"SIM","NÃO")</f>
        <v>NÃO</v>
      </c>
      <c r="W1761" s="2" t="n">
        <v>11</v>
      </c>
      <c r="X1761" s="2" t="s">
        <v>156</v>
      </c>
    </row>
    <row r="1762" customFormat="false" ht="15" hidden="false" customHeight="false" outlineLevel="0" collapsed="false">
      <c r="A1762" s="2" t="n">
        <v>393645579</v>
      </c>
      <c r="B1762" s="29" t="n">
        <v>46277.889224537</v>
      </c>
      <c r="C1762" s="2" t="s">
        <v>153</v>
      </c>
      <c r="D1762" s="2" t="s">
        <v>1810</v>
      </c>
      <c r="E1762" s="2" t="s">
        <v>79</v>
      </c>
      <c r="F1762" s="2" t="s">
        <v>110</v>
      </c>
      <c r="G1762" s="30" t="n">
        <v>69</v>
      </c>
      <c r="H1762" s="11" t="n">
        <v>699.18</v>
      </c>
      <c r="I1762" s="11" t="s">
        <v>155</v>
      </c>
      <c r="J1762" s="11" t="n">
        <v>139.78</v>
      </c>
      <c r="K1762" s="11" t="n">
        <v>149.5</v>
      </c>
      <c r="L1762" s="11" t="n">
        <v>0.6992</v>
      </c>
      <c r="M1762" s="11" t="n">
        <v>1.3984</v>
      </c>
      <c r="N1762" s="11" t="n">
        <v>1</v>
      </c>
      <c r="O1762" s="11" t="n">
        <v>4.5</v>
      </c>
      <c r="P1762" s="11" t="n">
        <v>4.14</v>
      </c>
      <c r="Q1762" s="11" t="n">
        <v>31.05</v>
      </c>
      <c r="R1762" s="11" t="n">
        <f aca="false">SUM(K1762:Q1762)</f>
        <v>192.2876</v>
      </c>
      <c r="S1762" s="11" t="n">
        <f aca="false">R1762/(1-Resumo!$C$6)</f>
        <v>218.508636363636</v>
      </c>
      <c r="T1762" s="11" t="n">
        <f aca="false">S1762-J1762</f>
        <v>78.7286363636364</v>
      </c>
      <c r="U1762" s="12" t="n">
        <f aca="false">IFERROR(S1762/J1762-1,0)</f>
        <v>0.563232482212308</v>
      </c>
      <c r="V1762" s="2" t="str">
        <f aca="false">IF(S1762&lt;J1762,"SIM","NÃO")</f>
        <v>NÃO</v>
      </c>
      <c r="W1762" s="2" t="n">
        <v>7</v>
      </c>
      <c r="X1762" s="2" t="s">
        <v>156</v>
      </c>
    </row>
    <row r="1763" customFormat="false" ht="15" hidden="false" customHeight="false" outlineLevel="0" collapsed="false">
      <c r="A1763" s="2" t="n">
        <v>393647371</v>
      </c>
      <c r="B1763" s="29" t="n">
        <v>46277.8933101852</v>
      </c>
      <c r="C1763" s="2" t="s">
        <v>153</v>
      </c>
      <c r="D1763" s="2" t="s">
        <v>1743</v>
      </c>
      <c r="E1763" s="2" t="s">
        <v>79</v>
      </c>
      <c r="F1763" s="2" t="s">
        <v>106</v>
      </c>
      <c r="G1763" s="30" t="n">
        <v>31.9</v>
      </c>
      <c r="H1763" s="11" t="n">
        <v>649.99</v>
      </c>
      <c r="I1763" s="11" t="s">
        <v>155</v>
      </c>
      <c r="J1763" s="11" t="n">
        <v>102.5</v>
      </c>
      <c r="K1763" s="11" t="n">
        <v>100.58</v>
      </c>
      <c r="L1763" s="11" t="n">
        <v>0.65</v>
      </c>
      <c r="M1763" s="11" t="n">
        <v>1.3</v>
      </c>
      <c r="N1763" s="11" t="n">
        <v>1</v>
      </c>
      <c r="O1763" s="11" t="n">
        <v>4.5</v>
      </c>
      <c r="P1763" s="11" t="n">
        <v>1.92</v>
      </c>
      <c r="Q1763" s="11" t="n">
        <v>14.4</v>
      </c>
      <c r="R1763" s="11" t="n">
        <f aca="false">SUM(K1763:Q1763)</f>
        <v>124.35</v>
      </c>
      <c r="S1763" s="11" t="n">
        <f aca="false">R1763/(1-Resumo!$C$6)</f>
        <v>141.306818181818</v>
      </c>
      <c r="T1763" s="11" t="n">
        <f aca="false">S1763-J1763</f>
        <v>38.8068181818182</v>
      </c>
      <c r="U1763" s="12" t="n">
        <f aca="false">IFERROR(S1763/J1763-1,0)</f>
        <v>0.37860310421286</v>
      </c>
      <c r="V1763" s="2" t="str">
        <f aca="false">IF(S1763&lt;J1763,"SIM","NÃO")</f>
        <v>NÃO</v>
      </c>
      <c r="W1763" s="2" t="n">
        <v>7</v>
      </c>
      <c r="X1763" s="2" t="s">
        <v>156</v>
      </c>
    </row>
    <row r="1764" customFormat="false" ht="15" hidden="false" customHeight="false" outlineLevel="0" collapsed="false">
      <c r="A1764" s="2" t="n">
        <v>393654673</v>
      </c>
      <c r="B1764" s="29" t="n">
        <v>46277.910787037</v>
      </c>
      <c r="C1764" s="2" t="s">
        <v>153</v>
      </c>
      <c r="D1764" s="2" t="s">
        <v>1811</v>
      </c>
      <c r="E1764" s="2" t="s">
        <v>412</v>
      </c>
      <c r="F1764" s="2" t="s">
        <v>110</v>
      </c>
      <c r="G1764" s="30" t="n">
        <v>63.9</v>
      </c>
      <c r="H1764" s="11" t="n">
        <v>716.35</v>
      </c>
      <c r="I1764" s="11" t="s">
        <v>155</v>
      </c>
      <c r="J1764" s="11" t="n">
        <v>155.44</v>
      </c>
      <c r="K1764" s="11" t="n">
        <v>166.05</v>
      </c>
      <c r="L1764" s="11" t="n">
        <v>0.7164</v>
      </c>
      <c r="M1764" s="11" t="n">
        <v>1.4327</v>
      </c>
      <c r="N1764" s="11" t="n">
        <v>1</v>
      </c>
      <c r="O1764" s="11" t="n">
        <v>4.5</v>
      </c>
      <c r="P1764" s="11" t="n">
        <v>3.84</v>
      </c>
      <c r="Q1764" s="11" t="n">
        <v>28.8</v>
      </c>
      <c r="R1764" s="11" t="n">
        <f aca="false">SUM(K1764:Q1764)</f>
        <v>206.3391</v>
      </c>
      <c r="S1764" s="11" t="n">
        <f aca="false">R1764/(1-Resumo!$C$6)</f>
        <v>234.47625</v>
      </c>
      <c r="T1764" s="11" t="n">
        <f aca="false">S1764-J1764</f>
        <v>79.03625</v>
      </c>
      <c r="U1764" s="12" t="n">
        <f aca="false">IFERROR(S1764/J1764-1,0)</f>
        <v>0.50846789758106</v>
      </c>
      <c r="V1764" s="2" t="str">
        <f aca="false">IF(S1764&lt;J1764,"SIM","NÃO")</f>
        <v>NÃO</v>
      </c>
      <c r="W1764" s="2" t="n">
        <v>10</v>
      </c>
      <c r="X1764" s="2" t="s">
        <v>161</v>
      </c>
    </row>
    <row r="1765" customFormat="false" ht="15" hidden="false" customHeight="false" outlineLevel="0" collapsed="false">
      <c r="A1765" s="2" t="n">
        <v>393654861</v>
      </c>
      <c r="B1765" s="29" t="n">
        <v>46277.9111226852</v>
      </c>
      <c r="C1765" s="2" t="s">
        <v>153</v>
      </c>
      <c r="D1765" s="2" t="s">
        <v>1812</v>
      </c>
      <c r="E1765" s="2" t="s">
        <v>78</v>
      </c>
      <c r="F1765" s="2" t="s">
        <v>114</v>
      </c>
      <c r="G1765" s="30" t="n">
        <v>124.2</v>
      </c>
      <c r="H1765" s="11" t="n">
        <v>1699.99</v>
      </c>
      <c r="I1765" s="11" t="s">
        <v>155</v>
      </c>
      <c r="J1765" s="11" t="n">
        <v>234.44</v>
      </c>
      <c r="K1765" s="11" t="n">
        <v>239.25</v>
      </c>
      <c r="L1765" s="11" t="n">
        <v>1.7</v>
      </c>
      <c r="M1765" s="11" t="n">
        <v>3.4</v>
      </c>
      <c r="N1765" s="11" t="n">
        <v>1</v>
      </c>
      <c r="O1765" s="11" t="n">
        <v>9</v>
      </c>
      <c r="P1765" s="11" t="n">
        <v>7.5</v>
      </c>
      <c r="Q1765" s="11" t="n">
        <v>56.25</v>
      </c>
      <c r="R1765" s="11" t="n">
        <f aca="false">SUM(K1765:Q1765)</f>
        <v>318.1</v>
      </c>
      <c r="S1765" s="11" t="n">
        <f aca="false">R1765/(1-Resumo!$C$6)</f>
        <v>361.477272727273</v>
      </c>
      <c r="T1765" s="11" t="n">
        <f aca="false">S1765-J1765</f>
        <v>127.037272727273</v>
      </c>
      <c r="U1765" s="12" t="n">
        <f aca="false">IFERROR(S1765/J1765-1,0)</f>
        <v>0.54187541685409</v>
      </c>
      <c r="V1765" s="2" t="str">
        <f aca="false">IF(S1765&lt;J1765,"SIM","NÃO")</f>
        <v>NÃO</v>
      </c>
      <c r="W1765" s="2" t="n">
        <v>5</v>
      </c>
      <c r="X1765" s="2" t="s">
        <v>156</v>
      </c>
    </row>
    <row r="1766" customFormat="false" ht="15" hidden="false" customHeight="false" outlineLevel="0" collapsed="false">
      <c r="A1766" s="2" t="n">
        <v>393671081</v>
      </c>
      <c r="B1766" s="29" t="n">
        <v>46277.9438194444</v>
      </c>
      <c r="C1766" s="2" t="s">
        <v>153</v>
      </c>
      <c r="D1766" s="2" t="s">
        <v>1813</v>
      </c>
      <c r="E1766" s="2" t="s">
        <v>82</v>
      </c>
      <c r="F1766" s="2" t="s">
        <v>109</v>
      </c>
      <c r="G1766" s="30" t="n">
        <v>52.3</v>
      </c>
      <c r="H1766" s="11" t="n">
        <v>645.14</v>
      </c>
      <c r="I1766" s="11" t="s">
        <v>155</v>
      </c>
      <c r="J1766" s="11" t="n">
        <v>128.38</v>
      </c>
      <c r="K1766" s="11" t="n">
        <v>128.14</v>
      </c>
      <c r="L1766" s="11" t="n">
        <v>0.6451</v>
      </c>
      <c r="M1766" s="11" t="n">
        <v>1.2903</v>
      </c>
      <c r="N1766" s="11" t="n">
        <v>1</v>
      </c>
      <c r="O1766" s="11" t="n">
        <v>4.5</v>
      </c>
      <c r="P1766" s="11" t="n">
        <v>3.18</v>
      </c>
      <c r="Q1766" s="11" t="n">
        <v>23.85</v>
      </c>
      <c r="R1766" s="11" t="n">
        <f aca="false">SUM(K1766:Q1766)</f>
        <v>162.6054</v>
      </c>
      <c r="S1766" s="11" t="n">
        <f aca="false">R1766/(1-Resumo!$C$6)</f>
        <v>184.778863636364</v>
      </c>
      <c r="T1766" s="11" t="n">
        <f aca="false">S1766-J1766</f>
        <v>56.3988636363636</v>
      </c>
      <c r="U1766" s="12" t="n">
        <f aca="false">IFERROR(S1766/J1766-1,0)</f>
        <v>0.439311914911697</v>
      </c>
      <c r="V1766" s="2" t="str">
        <f aca="false">IF(S1766&lt;J1766,"SIM","NÃO")</f>
        <v>NÃO</v>
      </c>
      <c r="W1766" s="2" t="n">
        <v>7</v>
      </c>
      <c r="X1766" s="2" t="s">
        <v>156</v>
      </c>
    </row>
    <row r="1767" customFormat="false" ht="15" hidden="false" customHeight="false" outlineLevel="0" collapsed="false">
      <c r="A1767" s="2" t="n">
        <v>393702937</v>
      </c>
      <c r="B1767" s="29" t="n">
        <v>46278.0131134259</v>
      </c>
      <c r="C1767" s="2" t="s">
        <v>153</v>
      </c>
      <c r="D1767" s="2" t="s">
        <v>1814</v>
      </c>
      <c r="E1767" s="2" t="s">
        <v>79</v>
      </c>
      <c r="F1767" s="2" t="s">
        <v>110</v>
      </c>
      <c r="G1767" s="30" t="n">
        <v>66.8</v>
      </c>
      <c r="H1767" s="11" t="n">
        <v>719.99</v>
      </c>
      <c r="I1767" s="11" t="s">
        <v>155</v>
      </c>
      <c r="J1767" s="11" t="n">
        <v>139.89</v>
      </c>
      <c r="K1767" s="11" t="n">
        <v>149.5</v>
      </c>
      <c r="L1767" s="11" t="n">
        <v>0.72</v>
      </c>
      <c r="M1767" s="11" t="n">
        <v>1.44</v>
      </c>
      <c r="N1767" s="11" t="n">
        <v>1</v>
      </c>
      <c r="O1767" s="11" t="n">
        <v>4.5</v>
      </c>
      <c r="P1767" s="11" t="n">
        <v>4.02</v>
      </c>
      <c r="Q1767" s="11" t="n">
        <v>30.15</v>
      </c>
      <c r="R1767" s="11" t="n">
        <f aca="false">SUM(K1767:Q1767)</f>
        <v>191.33</v>
      </c>
      <c r="S1767" s="11" t="n">
        <f aca="false">R1767/(1-Resumo!$C$6)</f>
        <v>217.420454545455</v>
      </c>
      <c r="T1767" s="11" t="n">
        <f aca="false">S1767-J1767</f>
        <v>77.5304545454546</v>
      </c>
      <c r="U1767" s="12" t="n">
        <f aca="false">IFERROR(S1767/J1767-1,0)</f>
        <v>0.554224423085671</v>
      </c>
      <c r="V1767" s="2" t="str">
        <f aca="false">IF(S1767&lt;J1767,"SIM","NÃO")</f>
        <v>NÃO</v>
      </c>
      <c r="W1767" s="2" t="n">
        <v>7</v>
      </c>
      <c r="X1767" s="2" t="s">
        <v>156</v>
      </c>
    </row>
    <row r="1768" customFormat="false" ht="15" hidden="false" customHeight="false" outlineLevel="0" collapsed="false">
      <c r="A1768" s="2" t="n">
        <v>393836138</v>
      </c>
      <c r="B1768" s="29" t="n">
        <v>46278.2715856481</v>
      </c>
      <c r="C1768" s="2" t="s">
        <v>153</v>
      </c>
      <c r="D1768" s="2" t="s">
        <v>1815</v>
      </c>
      <c r="E1768" s="2" t="s">
        <v>78</v>
      </c>
      <c r="F1768" s="2" t="s">
        <v>109</v>
      </c>
      <c r="G1768" s="30" t="n">
        <v>52.3</v>
      </c>
      <c r="H1768" s="11" t="n">
        <v>645.14</v>
      </c>
      <c r="I1768" s="11" t="s">
        <v>155</v>
      </c>
      <c r="J1768" s="11" t="n">
        <v>114.24</v>
      </c>
      <c r="K1768" s="11" t="n">
        <v>112.3</v>
      </c>
      <c r="L1768" s="11" t="n">
        <v>0.6451</v>
      </c>
      <c r="M1768" s="11" t="n">
        <v>1.2903</v>
      </c>
      <c r="N1768" s="11" t="n">
        <v>1</v>
      </c>
      <c r="O1768" s="11" t="n">
        <v>4.5</v>
      </c>
      <c r="P1768" s="11" t="n">
        <v>3.18</v>
      </c>
      <c r="Q1768" s="11" t="n">
        <v>23.85</v>
      </c>
      <c r="R1768" s="11" t="n">
        <f aca="false">SUM(K1768:Q1768)</f>
        <v>146.7654</v>
      </c>
      <c r="S1768" s="11" t="n">
        <f aca="false">R1768/(1-Resumo!$C$6)</f>
        <v>166.778863636364</v>
      </c>
      <c r="T1768" s="11" t="n">
        <f aca="false">S1768-J1768</f>
        <v>52.5388636363636</v>
      </c>
      <c r="U1768" s="12" t="n">
        <f aca="false">IFERROR(S1768/J1768-1,0)</f>
        <v>0.459899016424752</v>
      </c>
      <c r="V1768" s="2" t="str">
        <f aca="false">IF(S1768&lt;J1768,"SIM","NÃO")</f>
        <v>NÃO</v>
      </c>
      <c r="W1768" s="2" t="n">
        <v>5</v>
      </c>
      <c r="X1768" s="2" t="s">
        <v>156</v>
      </c>
    </row>
    <row r="1769" customFormat="false" ht="15" hidden="false" customHeight="false" outlineLevel="0" collapsed="false">
      <c r="A1769" s="2" t="n">
        <v>393895716</v>
      </c>
      <c r="B1769" s="29" t="n">
        <v>46278.3925925926</v>
      </c>
      <c r="C1769" s="2" t="s">
        <v>153</v>
      </c>
      <c r="D1769" s="2" t="s">
        <v>1816</v>
      </c>
      <c r="E1769" s="2" t="s">
        <v>79</v>
      </c>
      <c r="F1769" s="2" t="s">
        <v>106</v>
      </c>
      <c r="G1769" s="30" t="n">
        <v>33</v>
      </c>
      <c r="H1769" s="11" t="n">
        <v>344.13</v>
      </c>
      <c r="I1769" s="11" t="s">
        <v>155</v>
      </c>
      <c r="J1769" s="11" t="n">
        <v>101.05</v>
      </c>
      <c r="K1769" s="11" t="n">
        <v>100.58</v>
      </c>
      <c r="L1769" s="11" t="n">
        <v>0.3441</v>
      </c>
      <c r="M1769" s="11" t="n">
        <v>0.6883</v>
      </c>
      <c r="N1769" s="11" t="n">
        <v>1</v>
      </c>
      <c r="O1769" s="11" t="n">
        <v>4.5</v>
      </c>
      <c r="P1769" s="11" t="n">
        <v>1.98</v>
      </c>
      <c r="Q1769" s="11" t="n">
        <v>14.85</v>
      </c>
      <c r="R1769" s="11" t="n">
        <f aca="false">SUM(K1769:Q1769)</f>
        <v>123.9424</v>
      </c>
      <c r="S1769" s="11" t="n">
        <f aca="false">R1769/(1-Resumo!$C$6)</f>
        <v>140.843636363636</v>
      </c>
      <c r="T1769" s="11" t="n">
        <f aca="false">S1769-J1769</f>
        <v>39.7936363636364</v>
      </c>
      <c r="U1769" s="12" t="n">
        <f aca="false">IFERROR(S1769/J1769-1,0)</f>
        <v>0.393801448427871</v>
      </c>
      <c r="V1769" s="2" t="str">
        <f aca="false">IF(S1769&lt;J1769,"SIM","NÃO")</f>
        <v>NÃO</v>
      </c>
      <c r="W1769" s="2" t="n">
        <v>7</v>
      </c>
      <c r="X1769" s="2" t="s">
        <v>156</v>
      </c>
    </row>
    <row r="1770" customFormat="false" ht="15" hidden="false" customHeight="false" outlineLevel="0" collapsed="false">
      <c r="A1770" s="2" t="n">
        <v>393896312</v>
      </c>
      <c r="B1770" s="29" t="n">
        <v>46278.3935069444</v>
      </c>
      <c r="C1770" s="2" t="s">
        <v>158</v>
      </c>
      <c r="D1770" s="2" t="s">
        <v>1574</v>
      </c>
      <c r="E1770" s="2" t="s">
        <v>78</v>
      </c>
      <c r="F1770" s="2" t="s">
        <v>110</v>
      </c>
      <c r="G1770" s="30" t="n">
        <v>69.15</v>
      </c>
      <c r="H1770" s="11" t="n">
        <v>740.03</v>
      </c>
      <c r="I1770" s="11" t="s">
        <v>155</v>
      </c>
      <c r="J1770" s="11" t="n">
        <v>124.75</v>
      </c>
      <c r="K1770" s="11" t="n">
        <v>131.02</v>
      </c>
      <c r="L1770" s="11" t="n">
        <v>0.74</v>
      </c>
      <c r="M1770" s="11" t="n">
        <v>1.4801</v>
      </c>
      <c r="N1770" s="11" t="n">
        <v>1</v>
      </c>
      <c r="O1770" s="11" t="n">
        <v>4.5</v>
      </c>
      <c r="P1770" s="11" t="n">
        <v>4.2</v>
      </c>
      <c r="Q1770" s="11" t="n">
        <v>31.5</v>
      </c>
      <c r="R1770" s="11" t="n">
        <f aca="false">SUM(K1770:Q1770)</f>
        <v>174.4401</v>
      </c>
      <c r="S1770" s="11" t="n">
        <f aca="false">R1770/(1-Resumo!$C$6)</f>
        <v>198.227386363636</v>
      </c>
      <c r="T1770" s="11" t="n">
        <f aca="false">S1770-J1770</f>
        <v>73.4773863636364</v>
      </c>
      <c r="U1770" s="12" t="n">
        <f aca="false">IFERROR(S1770/J1770-1,0)</f>
        <v>0.588997085079249</v>
      </c>
      <c r="V1770" s="2" t="str">
        <f aca="false">IF(S1770&lt;J1770,"SIM","NÃO")</f>
        <v>NÃO</v>
      </c>
      <c r="W1770" s="2" t="n">
        <v>5</v>
      </c>
      <c r="X1770" s="2" t="s">
        <v>156</v>
      </c>
    </row>
    <row r="1771" customFormat="false" ht="15" hidden="false" customHeight="false" outlineLevel="0" collapsed="false">
      <c r="A1771" s="2" t="n">
        <v>393918448</v>
      </c>
      <c r="B1771" s="29" t="n">
        <v>46278.4333796296</v>
      </c>
      <c r="C1771" s="2" t="s">
        <v>153</v>
      </c>
      <c r="D1771" s="2" t="s">
        <v>1817</v>
      </c>
      <c r="E1771" s="2" t="s">
        <v>78</v>
      </c>
      <c r="F1771" s="2" t="s">
        <v>106</v>
      </c>
      <c r="G1771" s="30" t="n">
        <v>31.9</v>
      </c>
      <c r="H1771" s="11" t="n">
        <v>599.99</v>
      </c>
      <c r="I1771" s="11" t="s">
        <v>155</v>
      </c>
      <c r="J1771" s="11" t="n">
        <v>83.2</v>
      </c>
      <c r="K1771" s="11" t="n">
        <v>82.21</v>
      </c>
      <c r="L1771" s="11" t="n">
        <v>0.6</v>
      </c>
      <c r="M1771" s="11" t="n">
        <v>1.2</v>
      </c>
      <c r="N1771" s="11" t="n">
        <v>1</v>
      </c>
      <c r="O1771" s="11" t="n">
        <v>4.5</v>
      </c>
      <c r="P1771" s="11" t="n">
        <v>1.92</v>
      </c>
      <c r="Q1771" s="11" t="n">
        <v>14.4</v>
      </c>
      <c r="R1771" s="11" t="n">
        <f aca="false">SUM(K1771:Q1771)</f>
        <v>105.83</v>
      </c>
      <c r="S1771" s="11" t="n">
        <f aca="false">R1771/(1-Resumo!$C$6)</f>
        <v>120.261363636364</v>
      </c>
      <c r="T1771" s="11" t="n">
        <f aca="false">S1771-J1771</f>
        <v>37.0613636363636</v>
      </c>
      <c r="U1771" s="12" t="n">
        <f aca="false">IFERROR(S1771/J1771-1,0)</f>
        <v>0.445449082167832</v>
      </c>
      <c r="V1771" s="2" t="str">
        <f aca="false">IF(S1771&lt;J1771,"SIM","NÃO")</f>
        <v>NÃO</v>
      </c>
      <c r="W1771" s="2" t="n">
        <v>5</v>
      </c>
      <c r="X1771" s="2" t="s">
        <v>156</v>
      </c>
    </row>
    <row r="1772" customFormat="false" ht="15" hidden="false" customHeight="false" outlineLevel="0" collapsed="false">
      <c r="A1772" s="2" t="n">
        <v>393946921</v>
      </c>
      <c r="B1772" s="29" t="n">
        <v>46278.481712963</v>
      </c>
      <c r="C1772" s="2" t="s">
        <v>153</v>
      </c>
      <c r="D1772" s="2" t="s">
        <v>1818</v>
      </c>
      <c r="E1772" s="2" t="s">
        <v>78</v>
      </c>
      <c r="F1772" s="2" t="s">
        <v>110</v>
      </c>
      <c r="G1772" s="30" t="n">
        <v>67.3</v>
      </c>
      <c r="H1772" s="11" t="n">
        <v>789.99</v>
      </c>
      <c r="I1772" s="11" t="s">
        <v>155</v>
      </c>
      <c r="J1772" s="11" t="n">
        <v>124.99</v>
      </c>
      <c r="K1772" s="11" t="n">
        <v>131.02</v>
      </c>
      <c r="L1772" s="11" t="n">
        <v>0.79</v>
      </c>
      <c r="M1772" s="11" t="n">
        <v>1.58</v>
      </c>
      <c r="N1772" s="11" t="n">
        <v>1</v>
      </c>
      <c r="O1772" s="11" t="n">
        <v>4.5</v>
      </c>
      <c r="P1772" s="11" t="n">
        <v>4.08</v>
      </c>
      <c r="Q1772" s="11" t="n">
        <v>30.6</v>
      </c>
      <c r="R1772" s="11" t="n">
        <f aca="false">SUM(K1772:Q1772)</f>
        <v>173.57</v>
      </c>
      <c r="S1772" s="11" t="n">
        <f aca="false">R1772/(1-Resumo!$C$6)</f>
        <v>197.238636363636</v>
      </c>
      <c r="T1772" s="11" t="n">
        <f aca="false">S1772-J1772</f>
        <v>72.2486363636364</v>
      </c>
      <c r="U1772" s="12" t="n">
        <f aca="false">IFERROR(S1772/J1772-1,0)</f>
        <v>0.57803533373579</v>
      </c>
      <c r="V1772" s="2" t="str">
        <f aca="false">IF(S1772&lt;J1772,"SIM","NÃO")</f>
        <v>NÃO</v>
      </c>
      <c r="W1772" s="2" t="n">
        <v>5</v>
      </c>
      <c r="X1772" s="2" t="s">
        <v>156</v>
      </c>
    </row>
    <row r="1773" customFormat="false" ht="15" hidden="false" customHeight="false" outlineLevel="0" collapsed="false">
      <c r="A1773" s="2" t="n">
        <v>393956557</v>
      </c>
      <c r="B1773" s="29" t="n">
        <v>46278.4972685185</v>
      </c>
      <c r="C1773" s="2" t="s">
        <v>158</v>
      </c>
      <c r="D1773" s="2" t="s">
        <v>988</v>
      </c>
      <c r="E1773" s="2" t="s">
        <v>78</v>
      </c>
      <c r="F1773" s="2" t="s">
        <v>109</v>
      </c>
      <c r="G1773" s="30" t="n">
        <v>52.3</v>
      </c>
      <c r="H1773" s="11" t="n">
        <v>609.99</v>
      </c>
      <c r="I1773" s="11" t="s">
        <v>155</v>
      </c>
      <c r="J1773" s="11" t="n">
        <v>114.07</v>
      </c>
      <c r="K1773" s="11" t="n">
        <v>112.3</v>
      </c>
      <c r="L1773" s="11" t="n">
        <v>0.61</v>
      </c>
      <c r="M1773" s="11" t="n">
        <v>1.22</v>
      </c>
      <c r="N1773" s="11" t="n">
        <v>1</v>
      </c>
      <c r="O1773" s="11" t="n">
        <v>4.5</v>
      </c>
      <c r="P1773" s="11" t="n">
        <v>3.18</v>
      </c>
      <c r="Q1773" s="11" t="n">
        <v>23.85</v>
      </c>
      <c r="R1773" s="11" t="n">
        <f aca="false">SUM(K1773:Q1773)</f>
        <v>146.66</v>
      </c>
      <c r="S1773" s="11" t="n">
        <f aca="false">R1773/(1-Resumo!$C$6)</f>
        <v>166.659090909091</v>
      </c>
      <c r="T1773" s="11" t="n">
        <f aca="false">S1773-J1773</f>
        <v>52.5890909090909</v>
      </c>
      <c r="U1773" s="12" t="n">
        <f aca="false">IFERROR(S1773/J1773-1,0)</f>
        <v>0.461024729631725</v>
      </c>
      <c r="V1773" s="2" t="str">
        <f aca="false">IF(S1773&lt;J1773,"SIM","NÃO")</f>
        <v>NÃO</v>
      </c>
      <c r="W1773" s="2" t="n">
        <v>5</v>
      </c>
      <c r="X1773" s="2" t="s">
        <v>156</v>
      </c>
    </row>
    <row r="1774" customFormat="false" ht="15" hidden="false" customHeight="false" outlineLevel="0" collapsed="false">
      <c r="A1774" s="2" t="n">
        <v>393961127</v>
      </c>
      <c r="B1774" s="29" t="n">
        <v>46278.5045833333</v>
      </c>
      <c r="C1774" s="2" t="s">
        <v>153</v>
      </c>
      <c r="D1774" s="2" t="s">
        <v>1819</v>
      </c>
      <c r="E1774" s="2" t="s">
        <v>78</v>
      </c>
      <c r="F1774" s="2" t="s">
        <v>107</v>
      </c>
      <c r="G1774" s="30" t="n">
        <v>37.2</v>
      </c>
      <c r="H1774" s="11" t="n">
        <v>399.99</v>
      </c>
      <c r="I1774" s="11" t="s">
        <v>155</v>
      </c>
      <c r="J1774" s="11" t="n">
        <v>91.77</v>
      </c>
      <c r="K1774" s="11" t="n">
        <v>93.97</v>
      </c>
      <c r="L1774" s="11" t="n">
        <v>0.4</v>
      </c>
      <c r="M1774" s="11" t="n">
        <v>0.8</v>
      </c>
      <c r="N1774" s="11" t="n">
        <v>1</v>
      </c>
      <c r="O1774" s="11" t="n">
        <v>4.5</v>
      </c>
      <c r="P1774" s="11" t="n">
        <v>2.28</v>
      </c>
      <c r="Q1774" s="11" t="n">
        <v>17.1</v>
      </c>
      <c r="R1774" s="11" t="n">
        <f aca="false">SUM(K1774:Q1774)</f>
        <v>120.05</v>
      </c>
      <c r="S1774" s="11" t="n">
        <f aca="false">R1774/(1-Resumo!$C$6)</f>
        <v>136.420454545455</v>
      </c>
      <c r="T1774" s="11" t="n">
        <f aca="false">S1774-J1774</f>
        <v>44.6504545454546</v>
      </c>
      <c r="U1774" s="12" t="n">
        <f aca="false">IFERROR(S1774/J1774-1,0)</f>
        <v>0.48654739615838</v>
      </c>
      <c r="V1774" s="2" t="str">
        <f aca="false">IF(S1774&lt;J1774,"SIM","NÃO")</f>
        <v>NÃO</v>
      </c>
      <c r="W1774" s="2" t="n">
        <v>5</v>
      </c>
      <c r="X1774" s="2" t="s">
        <v>156</v>
      </c>
    </row>
    <row r="1775" customFormat="false" ht="15" hidden="false" customHeight="false" outlineLevel="0" collapsed="false">
      <c r="A1775" s="2" t="n">
        <v>393969544</v>
      </c>
      <c r="B1775" s="29" t="n">
        <v>46278.5187962963</v>
      </c>
      <c r="C1775" s="2" t="s">
        <v>158</v>
      </c>
      <c r="D1775" s="2" t="s">
        <v>1820</v>
      </c>
      <c r="E1775" s="2" t="s">
        <v>81</v>
      </c>
      <c r="F1775" s="2" t="s">
        <v>113</v>
      </c>
      <c r="G1775" s="30" t="n">
        <v>117</v>
      </c>
      <c r="H1775" s="11" t="n">
        <v>1201.97</v>
      </c>
      <c r="I1775" s="11" t="s">
        <v>155</v>
      </c>
      <c r="J1775" s="11" t="n">
        <v>195.58</v>
      </c>
      <c r="K1775" s="11" t="n">
        <v>201.59</v>
      </c>
      <c r="L1775" s="11" t="n">
        <v>1.202</v>
      </c>
      <c r="M1775" s="11" t="n">
        <v>2.4039</v>
      </c>
      <c r="N1775" s="11" t="n">
        <v>1</v>
      </c>
      <c r="O1775" s="11" t="n">
        <v>9</v>
      </c>
      <c r="P1775" s="11" t="n">
        <v>7.02</v>
      </c>
      <c r="Q1775" s="11" t="n">
        <v>52.65</v>
      </c>
      <c r="R1775" s="11" t="n">
        <f aca="false">SUM(K1775:Q1775)</f>
        <v>274.8659</v>
      </c>
      <c r="S1775" s="11" t="n">
        <f aca="false">R1775/(1-Resumo!$C$6)</f>
        <v>312.347613636364</v>
      </c>
      <c r="T1775" s="11" t="n">
        <f aca="false">S1775-J1775</f>
        <v>116.767613636364</v>
      </c>
      <c r="U1775" s="12" t="n">
        <f aca="false">IFERROR(S1775/J1775-1,0)</f>
        <v>0.597032486125185</v>
      </c>
      <c r="V1775" s="2" t="str">
        <f aca="false">IF(S1775&lt;J1775,"SIM","NÃO")</f>
        <v>NÃO</v>
      </c>
      <c r="W1775" s="2" t="n">
        <v>5</v>
      </c>
      <c r="X1775" s="2" t="s">
        <v>156</v>
      </c>
    </row>
    <row r="1776" customFormat="false" ht="15" hidden="false" customHeight="false" outlineLevel="0" collapsed="false">
      <c r="A1776" s="2" t="n">
        <v>393971962</v>
      </c>
      <c r="B1776" s="29" t="n">
        <v>46278.5229513889</v>
      </c>
      <c r="C1776" s="2" t="s">
        <v>153</v>
      </c>
      <c r="D1776" s="2" t="s">
        <v>1821</v>
      </c>
      <c r="E1776" s="2" t="s">
        <v>1822</v>
      </c>
      <c r="F1776" s="2" t="s">
        <v>106</v>
      </c>
      <c r="G1776" s="30" t="n">
        <v>30.5</v>
      </c>
      <c r="H1776" s="11" t="n">
        <v>449.99</v>
      </c>
      <c r="I1776" s="11" t="s">
        <v>155</v>
      </c>
      <c r="J1776" s="11" t="n">
        <v>109.34</v>
      </c>
      <c r="K1776" s="11" t="n">
        <v>108.83</v>
      </c>
      <c r="L1776" s="11" t="n">
        <v>0.45</v>
      </c>
      <c r="M1776" s="11" t="n">
        <v>0.9</v>
      </c>
      <c r="N1776" s="11" t="n">
        <v>1</v>
      </c>
      <c r="O1776" s="11" t="n">
        <v>4.5</v>
      </c>
      <c r="P1776" s="11" t="n">
        <v>1.86</v>
      </c>
      <c r="Q1776" s="11" t="n">
        <v>13.95</v>
      </c>
      <c r="R1776" s="11" t="n">
        <f aca="false">SUM(K1776:Q1776)</f>
        <v>131.49</v>
      </c>
      <c r="S1776" s="11" t="n">
        <f aca="false">R1776/(1-Resumo!$C$6)</f>
        <v>149.420454545455</v>
      </c>
      <c r="T1776" s="11" t="n">
        <f aca="false">S1776-J1776</f>
        <v>40.0804545454545</v>
      </c>
      <c r="U1776" s="12" t="n">
        <f aca="false">IFERROR(S1776/J1776-1,0)</f>
        <v>0.36656717162479</v>
      </c>
      <c r="V1776" s="2" t="str">
        <f aca="false">IF(S1776&lt;J1776,"SIM","NÃO")</f>
        <v>NÃO</v>
      </c>
      <c r="W1776" s="2" t="n">
        <v>10</v>
      </c>
      <c r="X1776" s="2" t="s">
        <v>161</v>
      </c>
    </row>
    <row r="1777" customFormat="false" ht="15" hidden="false" customHeight="false" outlineLevel="0" collapsed="false">
      <c r="A1777" s="2" t="n">
        <v>393974270</v>
      </c>
      <c r="B1777" s="29" t="n">
        <v>46278.5268865741</v>
      </c>
      <c r="C1777" s="2" t="s">
        <v>153</v>
      </c>
      <c r="D1777" s="2" t="s">
        <v>1823</v>
      </c>
      <c r="E1777" s="2" t="s">
        <v>1824</v>
      </c>
      <c r="F1777" s="2" t="s">
        <v>110</v>
      </c>
      <c r="G1777" s="30" t="n">
        <v>63.9</v>
      </c>
      <c r="H1777" s="11" t="n">
        <v>716.35</v>
      </c>
      <c r="I1777" s="11" t="s">
        <v>155</v>
      </c>
      <c r="J1777" s="11" t="n">
        <v>155.44</v>
      </c>
      <c r="K1777" s="11" t="n">
        <v>166.05</v>
      </c>
      <c r="L1777" s="11" t="n">
        <v>0.7164</v>
      </c>
      <c r="M1777" s="11" t="n">
        <v>1.4327</v>
      </c>
      <c r="N1777" s="11" t="n">
        <v>1</v>
      </c>
      <c r="O1777" s="11" t="n">
        <v>4.5</v>
      </c>
      <c r="P1777" s="11" t="n">
        <v>3.84</v>
      </c>
      <c r="Q1777" s="11" t="n">
        <v>28.8</v>
      </c>
      <c r="R1777" s="11" t="n">
        <f aca="false">SUM(K1777:Q1777)</f>
        <v>206.3391</v>
      </c>
      <c r="S1777" s="11" t="n">
        <f aca="false">R1777/(1-Resumo!$C$6)</f>
        <v>234.47625</v>
      </c>
      <c r="T1777" s="11" t="n">
        <f aca="false">S1777-J1777</f>
        <v>79.03625</v>
      </c>
      <c r="U1777" s="12" t="n">
        <f aca="false">IFERROR(S1777/J1777-1,0)</f>
        <v>0.50846789758106</v>
      </c>
      <c r="V1777" s="2" t="str">
        <f aca="false">IF(S1777&lt;J1777,"SIM","NÃO")</f>
        <v>NÃO</v>
      </c>
      <c r="W1777" s="2" t="n">
        <v>10</v>
      </c>
      <c r="X1777" s="2" t="s">
        <v>161</v>
      </c>
    </row>
    <row r="1778" customFormat="false" ht="15" hidden="false" customHeight="false" outlineLevel="0" collapsed="false">
      <c r="A1778" s="2" t="n">
        <v>393978722</v>
      </c>
      <c r="B1778" s="29" t="n">
        <v>46278.5345833333</v>
      </c>
      <c r="C1778" s="2" t="s">
        <v>153</v>
      </c>
      <c r="D1778" s="2" t="s">
        <v>1825</v>
      </c>
      <c r="E1778" s="2" t="s">
        <v>342</v>
      </c>
      <c r="F1778" s="2" t="s">
        <v>109</v>
      </c>
      <c r="G1778" s="30" t="n">
        <v>52.3</v>
      </c>
      <c r="H1778" s="11" t="n">
        <v>699.99</v>
      </c>
      <c r="I1778" s="11" t="s">
        <v>155</v>
      </c>
      <c r="J1778" s="11" t="n">
        <v>143.02</v>
      </c>
      <c r="K1778" s="11" t="n">
        <v>142.32</v>
      </c>
      <c r="L1778" s="11" t="n">
        <v>0.7</v>
      </c>
      <c r="M1778" s="11" t="n">
        <v>1.4</v>
      </c>
      <c r="N1778" s="11" t="n">
        <v>1</v>
      </c>
      <c r="O1778" s="11" t="n">
        <v>4.5</v>
      </c>
      <c r="P1778" s="11" t="n">
        <v>3.18</v>
      </c>
      <c r="Q1778" s="11" t="n">
        <v>23.85</v>
      </c>
      <c r="R1778" s="11" t="n">
        <f aca="false">SUM(K1778:Q1778)</f>
        <v>176.95</v>
      </c>
      <c r="S1778" s="11" t="n">
        <f aca="false">R1778/(1-Resumo!$C$6)</f>
        <v>201.079545454545</v>
      </c>
      <c r="T1778" s="11" t="n">
        <f aca="false">S1778-J1778</f>
        <v>58.0595454545454</v>
      </c>
      <c r="U1778" s="12" t="n">
        <f aca="false">IFERROR(S1778/J1778-1,0)</f>
        <v>0.405954030586949</v>
      </c>
      <c r="V1778" s="2" t="str">
        <f aca="false">IF(S1778&lt;J1778,"SIM","NÃO")</f>
        <v>NÃO</v>
      </c>
      <c r="W1778" s="2" t="n">
        <v>10</v>
      </c>
      <c r="X1778" s="2" t="s">
        <v>161</v>
      </c>
    </row>
    <row r="1779" customFormat="false" ht="15" hidden="false" customHeight="false" outlineLevel="0" collapsed="false">
      <c r="A1779" s="2" t="n">
        <v>394029225</v>
      </c>
      <c r="B1779" s="29" t="n">
        <v>46278.6224652778</v>
      </c>
      <c r="C1779" s="2" t="s">
        <v>158</v>
      </c>
      <c r="D1779" s="2" t="s">
        <v>1705</v>
      </c>
      <c r="E1779" s="2" t="s">
        <v>78</v>
      </c>
      <c r="F1779" s="2" t="s">
        <v>106</v>
      </c>
      <c r="G1779" s="30" t="n">
        <v>33</v>
      </c>
      <c r="H1779" s="11" t="n">
        <v>535.79</v>
      </c>
      <c r="I1779" s="11" t="s">
        <v>155</v>
      </c>
      <c r="J1779" s="11" t="n">
        <v>82.89</v>
      </c>
      <c r="K1779" s="11" t="n">
        <v>82.21</v>
      </c>
      <c r="L1779" s="11" t="n">
        <v>0.5358</v>
      </c>
      <c r="M1779" s="11" t="n">
        <v>1.0716</v>
      </c>
      <c r="N1779" s="11" t="n">
        <v>1</v>
      </c>
      <c r="O1779" s="11" t="n">
        <v>4.5</v>
      </c>
      <c r="P1779" s="11" t="n">
        <v>1.98</v>
      </c>
      <c r="Q1779" s="11" t="n">
        <v>14.85</v>
      </c>
      <c r="R1779" s="11" t="n">
        <f aca="false">SUM(K1779:Q1779)</f>
        <v>106.1474</v>
      </c>
      <c r="S1779" s="11" t="n">
        <f aca="false">R1779/(1-Resumo!$C$6)</f>
        <v>120.622045454545</v>
      </c>
      <c r="T1779" s="11" t="n">
        <f aca="false">S1779-J1779</f>
        <v>37.7320454545454</v>
      </c>
      <c r="U1779" s="12" t="n">
        <f aca="false">IFERROR(S1779/J1779-1,0)</f>
        <v>0.455206242665526</v>
      </c>
      <c r="V1779" s="2" t="str">
        <f aca="false">IF(S1779&lt;J1779,"SIM","NÃO")</f>
        <v>NÃO</v>
      </c>
      <c r="W1779" s="2" t="n">
        <v>5</v>
      </c>
      <c r="X1779" s="2" t="s">
        <v>156</v>
      </c>
    </row>
    <row r="1780" customFormat="false" ht="15" hidden="false" customHeight="false" outlineLevel="0" collapsed="false">
      <c r="A1780" s="2" t="n">
        <v>394037436</v>
      </c>
      <c r="B1780" s="29" t="n">
        <v>46278.6375694444</v>
      </c>
      <c r="C1780" s="2" t="s">
        <v>153</v>
      </c>
      <c r="D1780" s="2" t="s">
        <v>1826</v>
      </c>
      <c r="E1780" s="2" t="s">
        <v>78</v>
      </c>
      <c r="F1780" s="2" t="s">
        <v>105</v>
      </c>
      <c r="G1780" s="30" t="n">
        <v>19.9</v>
      </c>
      <c r="H1780" s="11" t="n">
        <v>299.99</v>
      </c>
      <c r="I1780" s="11" t="s">
        <v>205</v>
      </c>
      <c r="J1780" s="11" t="n">
        <v>69.47</v>
      </c>
      <c r="K1780" s="11" t="n">
        <v>46.98</v>
      </c>
      <c r="L1780" s="11" t="n">
        <v>0.3</v>
      </c>
      <c r="M1780" s="11" t="n">
        <v>0.6</v>
      </c>
      <c r="N1780" s="11" t="n">
        <v>1</v>
      </c>
      <c r="O1780" s="11" t="n">
        <v>4.5</v>
      </c>
      <c r="P1780" s="11" t="n">
        <v>1.2</v>
      </c>
      <c r="Q1780" s="11" t="n">
        <v>9</v>
      </c>
      <c r="R1780" s="11" t="n">
        <f aca="false">SUM(K1780:Q1780)</f>
        <v>63.58</v>
      </c>
      <c r="S1780" s="11" t="n">
        <f aca="false">R1780/(1-Resumo!$C$6)</f>
        <v>72.25</v>
      </c>
      <c r="T1780" s="11" t="n">
        <f aca="false">S1780-J1780</f>
        <v>2.78</v>
      </c>
      <c r="U1780" s="12" t="n">
        <f aca="false">IFERROR(S1780/J1780-1,0)</f>
        <v>0.0400172736432993</v>
      </c>
      <c r="V1780" s="2" t="str">
        <f aca="false">IF(S1780&lt;J1780,"SIM","NÃO")</f>
        <v>NÃO</v>
      </c>
      <c r="W1780" s="2" t="n">
        <v>5</v>
      </c>
      <c r="X1780" s="2" t="s">
        <v>156</v>
      </c>
    </row>
    <row r="1781" customFormat="false" ht="15" hidden="false" customHeight="false" outlineLevel="0" collapsed="false">
      <c r="A1781" s="2" t="n">
        <v>394039258</v>
      </c>
      <c r="B1781" s="29" t="n">
        <v>46278.6413888889</v>
      </c>
      <c r="C1781" s="2" t="s">
        <v>153</v>
      </c>
      <c r="D1781" s="2" t="s">
        <v>794</v>
      </c>
      <c r="E1781" s="2" t="s">
        <v>78</v>
      </c>
      <c r="F1781" s="2" t="s">
        <v>106</v>
      </c>
      <c r="G1781" s="30" t="n">
        <v>20.9</v>
      </c>
      <c r="H1781" s="11" t="n">
        <v>499.99</v>
      </c>
      <c r="I1781" s="11" t="s">
        <v>155</v>
      </c>
      <c r="J1781" s="11" t="n">
        <v>82.73</v>
      </c>
      <c r="K1781" s="11" t="n">
        <v>82.21</v>
      </c>
      <c r="L1781" s="11" t="n">
        <v>0.5</v>
      </c>
      <c r="M1781" s="11" t="n">
        <v>1</v>
      </c>
      <c r="N1781" s="11" t="n">
        <v>1</v>
      </c>
      <c r="O1781" s="11" t="n">
        <v>4.5</v>
      </c>
      <c r="P1781" s="11" t="n">
        <v>1.26</v>
      </c>
      <c r="Q1781" s="11" t="n">
        <v>9.45</v>
      </c>
      <c r="R1781" s="11" t="n">
        <f aca="false">SUM(K1781:Q1781)</f>
        <v>99.92</v>
      </c>
      <c r="S1781" s="11" t="n">
        <f aca="false">R1781/(1-Resumo!$C$6)</f>
        <v>113.545454545455</v>
      </c>
      <c r="T1781" s="11" t="n">
        <f aca="false">S1781-J1781</f>
        <v>30.8154545454545</v>
      </c>
      <c r="U1781" s="12" t="n">
        <f aca="false">IFERROR(S1781/J1781-1,0)</f>
        <v>0.372482225860686</v>
      </c>
      <c r="V1781" s="2" t="str">
        <f aca="false">IF(S1781&lt;J1781,"SIM","NÃO")</f>
        <v>NÃO</v>
      </c>
      <c r="W1781" s="2" t="n">
        <v>5</v>
      </c>
      <c r="X1781" s="2" t="s">
        <v>156</v>
      </c>
    </row>
    <row r="1782" customFormat="false" ht="15" hidden="false" customHeight="false" outlineLevel="0" collapsed="false">
      <c r="A1782" s="2" t="n">
        <v>394066556</v>
      </c>
      <c r="B1782" s="29" t="n">
        <v>46278.6924189815</v>
      </c>
      <c r="C1782" s="2" t="s">
        <v>153</v>
      </c>
      <c r="D1782" s="2" t="s">
        <v>1827</v>
      </c>
      <c r="E1782" s="2" t="s">
        <v>78</v>
      </c>
      <c r="F1782" s="2" t="s">
        <v>109</v>
      </c>
      <c r="G1782" s="30" t="n">
        <v>52.3</v>
      </c>
      <c r="H1782" s="11" t="n">
        <v>614.63</v>
      </c>
      <c r="I1782" s="11" t="s">
        <v>155</v>
      </c>
      <c r="J1782" s="11" t="n">
        <v>114.09</v>
      </c>
      <c r="K1782" s="11" t="n">
        <v>112.3</v>
      </c>
      <c r="L1782" s="11" t="n">
        <v>0.6146</v>
      </c>
      <c r="M1782" s="11" t="n">
        <v>1.2293</v>
      </c>
      <c r="N1782" s="11" t="n">
        <v>1</v>
      </c>
      <c r="O1782" s="11" t="n">
        <v>4.5</v>
      </c>
      <c r="P1782" s="11" t="n">
        <v>3.18</v>
      </c>
      <c r="Q1782" s="11" t="n">
        <v>23.85</v>
      </c>
      <c r="R1782" s="11" t="n">
        <f aca="false">SUM(K1782:Q1782)</f>
        <v>146.6739</v>
      </c>
      <c r="S1782" s="11" t="n">
        <f aca="false">R1782/(1-Resumo!$C$6)</f>
        <v>166.674886363636</v>
      </c>
      <c r="T1782" s="11" t="n">
        <f aca="false">S1782-J1782</f>
        <v>52.5848863636364</v>
      </c>
      <c r="U1782" s="12" t="n">
        <f aca="false">IFERROR(S1782/J1782-1,0)</f>
        <v>0.460907059020391</v>
      </c>
      <c r="V1782" s="2" t="str">
        <f aca="false">IF(S1782&lt;J1782,"SIM","NÃO")</f>
        <v>NÃO</v>
      </c>
      <c r="W1782" s="2" t="n">
        <v>5</v>
      </c>
      <c r="X1782" s="2" t="s">
        <v>156</v>
      </c>
    </row>
    <row r="1783" customFormat="false" ht="15" hidden="false" customHeight="false" outlineLevel="0" collapsed="false">
      <c r="A1783" s="2" t="n">
        <v>394082384</v>
      </c>
      <c r="B1783" s="29" t="n">
        <v>46278.721400463</v>
      </c>
      <c r="C1783" s="2" t="s">
        <v>153</v>
      </c>
      <c r="D1783" s="2" t="s">
        <v>1828</v>
      </c>
      <c r="E1783" s="2" t="s">
        <v>79</v>
      </c>
      <c r="F1783" s="2" t="s">
        <v>107</v>
      </c>
      <c r="G1783" s="30" t="n">
        <v>36.55</v>
      </c>
      <c r="H1783" s="11" t="n">
        <v>449.99</v>
      </c>
      <c r="I1783" s="11" t="s">
        <v>155</v>
      </c>
      <c r="J1783" s="11" t="n">
        <v>113.11</v>
      </c>
      <c r="K1783" s="11" t="n">
        <v>114.95</v>
      </c>
      <c r="L1783" s="11" t="n">
        <v>0.45</v>
      </c>
      <c r="M1783" s="11" t="n">
        <v>0.9</v>
      </c>
      <c r="N1783" s="11" t="n">
        <v>1</v>
      </c>
      <c r="O1783" s="11" t="n">
        <v>4.5</v>
      </c>
      <c r="P1783" s="11" t="n">
        <v>2.22</v>
      </c>
      <c r="Q1783" s="11" t="n">
        <v>16.65</v>
      </c>
      <c r="R1783" s="11" t="n">
        <f aca="false">SUM(K1783:Q1783)</f>
        <v>140.67</v>
      </c>
      <c r="S1783" s="11" t="n">
        <f aca="false">R1783/(1-Resumo!$C$6)</f>
        <v>159.852272727273</v>
      </c>
      <c r="T1783" s="11" t="n">
        <f aca="false">S1783-J1783</f>
        <v>46.7422727272727</v>
      </c>
      <c r="U1783" s="12" t="n">
        <f aca="false">IFERROR(S1783/J1783-1,0)</f>
        <v>0.413246156195497</v>
      </c>
      <c r="V1783" s="2" t="str">
        <f aca="false">IF(S1783&lt;J1783,"SIM","NÃO")</f>
        <v>NÃO</v>
      </c>
      <c r="W1783" s="2" t="n">
        <v>7</v>
      </c>
      <c r="X1783" s="2" t="s">
        <v>156</v>
      </c>
    </row>
    <row r="1784" customFormat="false" ht="15" hidden="false" customHeight="false" outlineLevel="0" collapsed="false">
      <c r="A1784" s="2" t="n">
        <v>394085477</v>
      </c>
      <c r="B1784" s="29" t="n">
        <v>46278.727337963</v>
      </c>
      <c r="C1784" s="2" t="s">
        <v>153</v>
      </c>
      <c r="D1784" s="2" t="s">
        <v>1829</v>
      </c>
      <c r="E1784" s="2" t="s">
        <v>78</v>
      </c>
      <c r="F1784" s="2" t="s">
        <v>107</v>
      </c>
      <c r="G1784" s="30" t="n">
        <v>37.2</v>
      </c>
      <c r="H1784" s="11" t="n">
        <v>399.99</v>
      </c>
      <c r="I1784" s="11" t="s">
        <v>155</v>
      </c>
      <c r="J1784" s="11" t="n">
        <v>91.77</v>
      </c>
      <c r="K1784" s="11" t="n">
        <v>93.97</v>
      </c>
      <c r="L1784" s="11" t="n">
        <v>0.4</v>
      </c>
      <c r="M1784" s="11" t="n">
        <v>0.8</v>
      </c>
      <c r="N1784" s="11" t="n">
        <v>1</v>
      </c>
      <c r="O1784" s="11" t="n">
        <v>4.5</v>
      </c>
      <c r="P1784" s="11" t="n">
        <v>2.28</v>
      </c>
      <c r="Q1784" s="11" t="n">
        <v>17.1</v>
      </c>
      <c r="R1784" s="11" t="n">
        <f aca="false">SUM(K1784:Q1784)</f>
        <v>120.05</v>
      </c>
      <c r="S1784" s="11" t="n">
        <f aca="false">R1784/(1-Resumo!$C$6)</f>
        <v>136.420454545455</v>
      </c>
      <c r="T1784" s="11" t="n">
        <f aca="false">S1784-J1784</f>
        <v>44.6504545454546</v>
      </c>
      <c r="U1784" s="12" t="n">
        <f aca="false">IFERROR(S1784/J1784-1,0)</f>
        <v>0.48654739615838</v>
      </c>
      <c r="V1784" s="2" t="str">
        <f aca="false">IF(S1784&lt;J1784,"SIM","NÃO")</f>
        <v>NÃO</v>
      </c>
      <c r="W1784" s="2" t="n">
        <v>5</v>
      </c>
      <c r="X1784" s="2" t="s">
        <v>156</v>
      </c>
    </row>
    <row r="1785" customFormat="false" ht="15" hidden="false" customHeight="false" outlineLevel="0" collapsed="false">
      <c r="A1785" s="2" t="n">
        <v>394092014</v>
      </c>
      <c r="B1785" s="29" t="n">
        <v>46278.7392361111</v>
      </c>
      <c r="C1785" s="2" t="s">
        <v>153</v>
      </c>
      <c r="D1785" s="2" t="s">
        <v>1830</v>
      </c>
      <c r="E1785" s="2" t="s">
        <v>78</v>
      </c>
      <c r="F1785" s="2" t="s">
        <v>106</v>
      </c>
      <c r="G1785" s="30" t="n">
        <v>27.4</v>
      </c>
      <c r="H1785" s="11" t="n">
        <v>349.99</v>
      </c>
      <c r="I1785" s="11" t="s">
        <v>155</v>
      </c>
      <c r="J1785" s="11" t="n">
        <v>82</v>
      </c>
      <c r="K1785" s="11" t="n">
        <v>82.21</v>
      </c>
      <c r="L1785" s="11" t="n">
        <v>0.35</v>
      </c>
      <c r="M1785" s="11" t="n">
        <v>0.7</v>
      </c>
      <c r="N1785" s="11" t="n">
        <v>1</v>
      </c>
      <c r="O1785" s="11" t="n">
        <v>4.5</v>
      </c>
      <c r="P1785" s="11" t="n">
        <v>1.68</v>
      </c>
      <c r="Q1785" s="11" t="n">
        <v>12.6</v>
      </c>
      <c r="R1785" s="11" t="n">
        <f aca="false">SUM(K1785:Q1785)</f>
        <v>103.04</v>
      </c>
      <c r="S1785" s="11" t="n">
        <f aca="false">R1785/(1-Resumo!$C$6)</f>
        <v>117.090909090909</v>
      </c>
      <c r="T1785" s="11" t="n">
        <f aca="false">S1785-J1785</f>
        <v>35.0909090909091</v>
      </c>
      <c r="U1785" s="12" t="n">
        <f aca="false">IFERROR(S1785/J1785-1,0)</f>
        <v>0.427937915742794</v>
      </c>
      <c r="V1785" s="2" t="str">
        <f aca="false">IF(S1785&lt;J1785,"SIM","NÃO")</f>
        <v>NÃO</v>
      </c>
      <c r="W1785" s="2" t="n">
        <v>5</v>
      </c>
      <c r="X1785" s="2" t="s">
        <v>156</v>
      </c>
    </row>
    <row r="1786" customFormat="false" ht="15" hidden="false" customHeight="false" outlineLevel="0" collapsed="false">
      <c r="A1786" s="2" t="n">
        <v>394092767</v>
      </c>
      <c r="B1786" s="29" t="n">
        <v>46278.7406018519</v>
      </c>
      <c r="C1786" s="2" t="s">
        <v>153</v>
      </c>
      <c r="D1786" s="2" t="s">
        <v>1831</v>
      </c>
      <c r="E1786" s="2" t="s">
        <v>260</v>
      </c>
      <c r="F1786" s="2" t="s">
        <v>106</v>
      </c>
      <c r="G1786" s="30" t="n">
        <v>27.5</v>
      </c>
      <c r="H1786" s="11" t="n">
        <v>332.86</v>
      </c>
      <c r="I1786" s="11" t="s">
        <v>155</v>
      </c>
      <c r="J1786" s="11" t="n">
        <v>108.78</v>
      </c>
      <c r="K1786" s="11" t="n">
        <v>120.78</v>
      </c>
      <c r="L1786" s="11" t="n">
        <v>0.3329</v>
      </c>
      <c r="M1786" s="11" t="n">
        <v>0.6657</v>
      </c>
      <c r="N1786" s="11" t="n">
        <v>1</v>
      </c>
      <c r="O1786" s="11" t="n">
        <v>4.5</v>
      </c>
      <c r="P1786" s="11" t="n">
        <v>1.68</v>
      </c>
      <c r="Q1786" s="11" t="n">
        <v>12.6</v>
      </c>
      <c r="R1786" s="11" t="n">
        <f aca="false">SUM(K1786:Q1786)</f>
        <v>141.5586</v>
      </c>
      <c r="S1786" s="11" t="n">
        <f aca="false">R1786/(1-Resumo!$C$6)</f>
        <v>160.862045454545</v>
      </c>
      <c r="T1786" s="11" t="n">
        <f aca="false">S1786-J1786</f>
        <v>52.0820454545454</v>
      </c>
      <c r="U1786" s="12" t="n">
        <f aca="false">IFERROR(S1786/J1786-1,0)</f>
        <v>0.478783282354711</v>
      </c>
      <c r="V1786" s="2" t="str">
        <f aca="false">IF(S1786&lt;J1786,"SIM","NÃO")</f>
        <v>NÃO</v>
      </c>
      <c r="W1786" s="2" t="n">
        <v>10</v>
      </c>
      <c r="X1786" s="2" t="s">
        <v>161</v>
      </c>
    </row>
    <row r="1787" customFormat="false" ht="15" hidden="false" customHeight="false" outlineLevel="0" collapsed="false">
      <c r="A1787" s="2" t="n">
        <v>394096559</v>
      </c>
      <c r="B1787" s="29" t="n">
        <v>46278.7458796296</v>
      </c>
      <c r="C1787" s="2" t="s">
        <v>158</v>
      </c>
      <c r="D1787" s="2" t="s">
        <v>273</v>
      </c>
      <c r="E1787" s="2" t="s">
        <v>78</v>
      </c>
      <c r="F1787" s="2" t="s">
        <v>109</v>
      </c>
      <c r="G1787" s="30" t="n">
        <v>52.3</v>
      </c>
      <c r="H1787" s="11" t="n">
        <v>649.99</v>
      </c>
      <c r="I1787" s="11" t="s">
        <v>155</v>
      </c>
      <c r="J1787" s="11" t="n">
        <v>114.26</v>
      </c>
      <c r="K1787" s="11" t="n">
        <v>112.3</v>
      </c>
      <c r="L1787" s="11" t="n">
        <v>0.65</v>
      </c>
      <c r="M1787" s="11" t="n">
        <v>1.3</v>
      </c>
      <c r="N1787" s="11" t="n">
        <v>1</v>
      </c>
      <c r="O1787" s="11" t="n">
        <v>4.5</v>
      </c>
      <c r="P1787" s="11" t="n">
        <v>3.18</v>
      </c>
      <c r="Q1787" s="11" t="n">
        <v>23.85</v>
      </c>
      <c r="R1787" s="11" t="n">
        <f aca="false">SUM(K1787:Q1787)</f>
        <v>146.78</v>
      </c>
      <c r="S1787" s="11" t="n">
        <f aca="false">R1787/(1-Resumo!$C$6)</f>
        <v>166.795454545455</v>
      </c>
      <c r="T1787" s="11" t="n">
        <f aca="false">S1787-J1787</f>
        <v>52.5354545454545</v>
      </c>
      <c r="U1787" s="12" t="n">
        <f aca="false">IFERROR(S1787/J1787-1,0)</f>
        <v>0.459788679725665</v>
      </c>
      <c r="V1787" s="2" t="str">
        <f aca="false">IF(S1787&lt;J1787,"SIM","NÃO")</f>
        <v>NÃO</v>
      </c>
      <c r="W1787" s="2" t="n">
        <v>5</v>
      </c>
      <c r="X1787" s="2" t="s">
        <v>156</v>
      </c>
    </row>
    <row r="1788" customFormat="false" ht="15" hidden="false" customHeight="false" outlineLevel="0" collapsed="false">
      <c r="A1788" s="2" t="n">
        <v>394109107</v>
      </c>
      <c r="B1788" s="29" t="n">
        <v>46278.7617592593</v>
      </c>
      <c r="C1788" s="2" t="s">
        <v>153</v>
      </c>
      <c r="D1788" s="2" t="s">
        <v>1832</v>
      </c>
      <c r="E1788" s="2" t="s">
        <v>78</v>
      </c>
      <c r="F1788" s="2" t="s">
        <v>109</v>
      </c>
      <c r="G1788" s="30" t="n">
        <v>52.3</v>
      </c>
      <c r="H1788" s="11" t="n">
        <v>614.63</v>
      </c>
      <c r="I1788" s="11" t="s">
        <v>155</v>
      </c>
      <c r="J1788" s="11" t="n">
        <v>114.09</v>
      </c>
      <c r="K1788" s="11" t="n">
        <v>112.3</v>
      </c>
      <c r="L1788" s="11" t="n">
        <v>0.6146</v>
      </c>
      <c r="M1788" s="11" t="n">
        <v>1.2293</v>
      </c>
      <c r="N1788" s="11" t="n">
        <v>1</v>
      </c>
      <c r="O1788" s="11" t="n">
        <v>4.5</v>
      </c>
      <c r="P1788" s="11" t="n">
        <v>3.18</v>
      </c>
      <c r="Q1788" s="11" t="n">
        <v>23.85</v>
      </c>
      <c r="R1788" s="11" t="n">
        <f aca="false">SUM(K1788:Q1788)</f>
        <v>146.6739</v>
      </c>
      <c r="S1788" s="11" t="n">
        <f aca="false">R1788/(1-Resumo!$C$6)</f>
        <v>166.674886363636</v>
      </c>
      <c r="T1788" s="11" t="n">
        <f aca="false">S1788-J1788</f>
        <v>52.5848863636364</v>
      </c>
      <c r="U1788" s="12" t="n">
        <f aca="false">IFERROR(S1788/J1788-1,0)</f>
        <v>0.460907059020391</v>
      </c>
      <c r="V1788" s="2" t="str">
        <f aca="false">IF(S1788&lt;J1788,"SIM","NÃO")</f>
        <v>NÃO</v>
      </c>
      <c r="W1788" s="2" t="n">
        <v>5</v>
      </c>
      <c r="X1788" s="2" t="s">
        <v>156</v>
      </c>
    </row>
    <row r="1789" customFormat="false" ht="15" hidden="false" customHeight="false" outlineLevel="0" collapsed="false">
      <c r="A1789" s="2" t="n">
        <v>394110545</v>
      </c>
      <c r="B1789" s="29" t="n">
        <v>46278.7636342593</v>
      </c>
      <c r="C1789" s="2" t="s">
        <v>153</v>
      </c>
      <c r="D1789" s="2" t="s">
        <v>1833</v>
      </c>
      <c r="E1789" s="2" t="s">
        <v>80</v>
      </c>
      <c r="F1789" s="2" t="s">
        <v>109</v>
      </c>
      <c r="G1789" s="30" t="n">
        <v>52.3</v>
      </c>
      <c r="H1789" s="11" t="n">
        <v>614.63</v>
      </c>
      <c r="I1789" s="11" t="s">
        <v>155</v>
      </c>
      <c r="J1789" s="11" t="n">
        <v>128.23</v>
      </c>
      <c r="K1789" s="11" t="n">
        <v>112.3</v>
      </c>
      <c r="L1789" s="11" t="n">
        <v>0.6146</v>
      </c>
      <c r="M1789" s="11" t="n">
        <v>1.2293</v>
      </c>
      <c r="N1789" s="11" t="n">
        <v>1</v>
      </c>
      <c r="O1789" s="11" t="n">
        <v>4.5</v>
      </c>
      <c r="P1789" s="11" t="n">
        <v>3.18</v>
      </c>
      <c r="Q1789" s="11" t="n">
        <v>23.85</v>
      </c>
      <c r="R1789" s="11" t="n">
        <f aca="false">SUM(K1789:Q1789)</f>
        <v>146.6739</v>
      </c>
      <c r="S1789" s="11" t="n">
        <f aca="false">R1789/(1-Resumo!$C$6)</f>
        <v>166.674886363636</v>
      </c>
      <c r="T1789" s="11" t="n">
        <f aca="false">S1789-J1789</f>
        <v>38.4448863636364</v>
      </c>
      <c r="U1789" s="12" t="n">
        <f aca="false">IFERROR(S1789/J1789-1,0)</f>
        <v>0.299811950118041</v>
      </c>
      <c r="V1789" s="2" t="str">
        <f aca="false">IF(S1789&lt;J1789,"SIM","NÃO")</f>
        <v>NÃO</v>
      </c>
      <c r="W1789" s="2" t="n">
        <v>5</v>
      </c>
      <c r="X1789" s="2" t="s">
        <v>156</v>
      </c>
    </row>
    <row r="1790" customFormat="false" ht="15" hidden="false" customHeight="false" outlineLevel="0" collapsed="false">
      <c r="A1790" s="2" t="n">
        <v>394120299</v>
      </c>
      <c r="B1790" s="29" t="n">
        <v>46278.7755439815</v>
      </c>
      <c r="C1790" s="2" t="s">
        <v>153</v>
      </c>
      <c r="D1790" s="2" t="s">
        <v>1834</v>
      </c>
      <c r="E1790" s="2" t="s">
        <v>78</v>
      </c>
      <c r="F1790" s="2" t="s">
        <v>109</v>
      </c>
      <c r="G1790" s="30" t="n">
        <v>52.3</v>
      </c>
      <c r="H1790" s="11" t="n">
        <v>645.14</v>
      </c>
      <c r="I1790" s="11" t="s">
        <v>155</v>
      </c>
      <c r="J1790" s="11" t="n">
        <v>114.24</v>
      </c>
      <c r="K1790" s="11" t="n">
        <v>112.3</v>
      </c>
      <c r="L1790" s="11" t="n">
        <v>0.6451</v>
      </c>
      <c r="M1790" s="11" t="n">
        <v>1.2903</v>
      </c>
      <c r="N1790" s="11" t="n">
        <v>1</v>
      </c>
      <c r="O1790" s="11" t="n">
        <v>4.5</v>
      </c>
      <c r="P1790" s="11" t="n">
        <v>3.18</v>
      </c>
      <c r="Q1790" s="11" t="n">
        <v>23.85</v>
      </c>
      <c r="R1790" s="11" t="n">
        <f aca="false">SUM(K1790:Q1790)</f>
        <v>146.7654</v>
      </c>
      <c r="S1790" s="11" t="n">
        <f aca="false">R1790/(1-Resumo!$C$6)</f>
        <v>166.778863636364</v>
      </c>
      <c r="T1790" s="11" t="n">
        <f aca="false">S1790-J1790</f>
        <v>52.5388636363636</v>
      </c>
      <c r="U1790" s="12" t="n">
        <f aca="false">IFERROR(S1790/J1790-1,0)</f>
        <v>0.459899016424752</v>
      </c>
      <c r="V1790" s="2" t="str">
        <f aca="false">IF(S1790&lt;J1790,"SIM","NÃO")</f>
        <v>NÃO</v>
      </c>
      <c r="W1790" s="2" t="n">
        <v>5</v>
      </c>
      <c r="X1790" s="2" t="s">
        <v>156</v>
      </c>
    </row>
    <row r="1791" customFormat="false" ht="15" hidden="false" customHeight="false" outlineLevel="0" collapsed="false">
      <c r="A1791" s="2" t="n">
        <v>394122402</v>
      </c>
      <c r="B1791" s="29" t="n">
        <v>46278.7782060185</v>
      </c>
      <c r="C1791" s="2" t="s">
        <v>153</v>
      </c>
      <c r="D1791" s="2" t="s">
        <v>1835</v>
      </c>
      <c r="E1791" s="2" t="s">
        <v>78</v>
      </c>
      <c r="F1791" s="2" t="s">
        <v>109</v>
      </c>
      <c r="G1791" s="30" t="n">
        <v>52.3</v>
      </c>
      <c r="H1791" s="11" t="n">
        <v>645.14</v>
      </c>
      <c r="I1791" s="11" t="s">
        <v>155</v>
      </c>
      <c r="J1791" s="11" t="n">
        <v>114.24</v>
      </c>
      <c r="K1791" s="11" t="n">
        <v>112.3</v>
      </c>
      <c r="L1791" s="11" t="n">
        <v>0.6451</v>
      </c>
      <c r="M1791" s="11" t="n">
        <v>1.2903</v>
      </c>
      <c r="N1791" s="11" t="n">
        <v>1</v>
      </c>
      <c r="O1791" s="11" t="n">
        <v>4.5</v>
      </c>
      <c r="P1791" s="11" t="n">
        <v>3.18</v>
      </c>
      <c r="Q1791" s="11" t="n">
        <v>23.85</v>
      </c>
      <c r="R1791" s="11" t="n">
        <f aca="false">SUM(K1791:Q1791)</f>
        <v>146.7654</v>
      </c>
      <c r="S1791" s="11" t="n">
        <f aca="false">R1791/(1-Resumo!$C$6)</f>
        <v>166.778863636364</v>
      </c>
      <c r="T1791" s="11" t="n">
        <f aca="false">S1791-J1791</f>
        <v>52.5388636363636</v>
      </c>
      <c r="U1791" s="12" t="n">
        <f aca="false">IFERROR(S1791/J1791-1,0)</f>
        <v>0.459899016424752</v>
      </c>
      <c r="V1791" s="2" t="str">
        <f aca="false">IF(S1791&lt;J1791,"SIM","NÃO")</f>
        <v>NÃO</v>
      </c>
      <c r="W1791" s="2" t="n">
        <v>5</v>
      </c>
      <c r="X1791" s="2" t="s">
        <v>156</v>
      </c>
    </row>
    <row r="1792" customFormat="false" ht="15" hidden="false" customHeight="false" outlineLevel="0" collapsed="false">
      <c r="A1792" s="2" t="n">
        <v>394124383</v>
      </c>
      <c r="B1792" s="29" t="n">
        <v>46278.7806481482</v>
      </c>
      <c r="C1792" s="2" t="s">
        <v>153</v>
      </c>
      <c r="D1792" s="2" t="s">
        <v>655</v>
      </c>
      <c r="E1792" s="2" t="s">
        <v>78</v>
      </c>
      <c r="F1792" s="2" t="s">
        <v>110</v>
      </c>
      <c r="G1792" s="30" t="n">
        <v>63.9</v>
      </c>
      <c r="H1792" s="11" t="n">
        <v>716.35</v>
      </c>
      <c r="I1792" s="11" t="s">
        <v>155</v>
      </c>
      <c r="J1792" s="11" t="n">
        <v>124.64</v>
      </c>
      <c r="K1792" s="11" t="n">
        <v>131.02</v>
      </c>
      <c r="L1792" s="11" t="n">
        <v>0.7164</v>
      </c>
      <c r="M1792" s="11" t="n">
        <v>1.4327</v>
      </c>
      <c r="N1792" s="11" t="n">
        <v>1</v>
      </c>
      <c r="O1792" s="11" t="n">
        <v>4.5</v>
      </c>
      <c r="P1792" s="11" t="n">
        <v>3.84</v>
      </c>
      <c r="Q1792" s="11" t="n">
        <v>28.8</v>
      </c>
      <c r="R1792" s="11" t="n">
        <f aca="false">SUM(K1792:Q1792)</f>
        <v>171.3091</v>
      </c>
      <c r="S1792" s="11" t="n">
        <f aca="false">R1792/(1-Resumo!$C$6)</f>
        <v>194.669431818182</v>
      </c>
      <c r="T1792" s="11" t="n">
        <f aca="false">S1792-J1792</f>
        <v>70.0294318181819</v>
      </c>
      <c r="U1792" s="12" t="n">
        <f aca="false">IFERROR(S1792/J1792-1,0)</f>
        <v>0.561853592892987</v>
      </c>
      <c r="V1792" s="2" t="str">
        <f aca="false">IF(S1792&lt;J1792,"SIM","NÃO")</f>
        <v>NÃO</v>
      </c>
      <c r="W1792" s="2" t="n">
        <v>5</v>
      </c>
      <c r="X1792" s="2" t="s">
        <v>156</v>
      </c>
    </row>
    <row r="1793" customFormat="false" ht="15" hidden="false" customHeight="false" outlineLevel="0" collapsed="false">
      <c r="A1793" s="2" t="n">
        <v>394130127</v>
      </c>
      <c r="B1793" s="29" t="n">
        <v>46278.7966550926</v>
      </c>
      <c r="C1793" s="2" t="s">
        <v>194</v>
      </c>
      <c r="D1793" s="2" t="s">
        <v>317</v>
      </c>
      <c r="E1793" s="2" t="s">
        <v>78</v>
      </c>
      <c r="F1793" s="2" t="s">
        <v>105</v>
      </c>
      <c r="G1793" s="30" t="n">
        <v>15.15</v>
      </c>
      <c r="H1793" s="11" t="n">
        <v>269.99</v>
      </c>
      <c r="I1793" s="11" t="s">
        <v>155</v>
      </c>
      <c r="J1793" s="11" t="n">
        <v>64.51</v>
      </c>
      <c r="K1793" s="11" t="n">
        <v>46.98</v>
      </c>
      <c r="L1793" s="11" t="n">
        <v>0.27</v>
      </c>
      <c r="M1793" s="11" t="n">
        <v>0.54</v>
      </c>
      <c r="N1793" s="11" t="n">
        <v>1</v>
      </c>
      <c r="O1793" s="11" t="n">
        <v>4.5</v>
      </c>
      <c r="P1793" s="11" t="n">
        <v>0.96</v>
      </c>
      <c r="Q1793" s="11" t="n">
        <v>7.2</v>
      </c>
      <c r="R1793" s="11" t="n">
        <f aca="false">SUM(K1793:Q1793)</f>
        <v>61.45</v>
      </c>
      <c r="S1793" s="11" t="n">
        <f aca="false">R1793/(1-Resumo!$C$6)</f>
        <v>69.8295454545455</v>
      </c>
      <c r="T1793" s="11" t="n">
        <f aca="false">S1793-J1793</f>
        <v>5.31954545454545</v>
      </c>
      <c r="U1793" s="12" t="n">
        <f aca="false">IFERROR(S1793/J1793-1,0)</f>
        <v>0.082460788320345</v>
      </c>
      <c r="V1793" s="2" t="str">
        <f aca="false">IF(S1793&lt;J1793,"SIM","NÃO")</f>
        <v>NÃO</v>
      </c>
      <c r="W1793" s="2" t="n">
        <v>5</v>
      </c>
      <c r="X1793" s="2" t="s">
        <v>156</v>
      </c>
    </row>
    <row r="1794" customFormat="false" ht="15" hidden="false" customHeight="false" outlineLevel="0" collapsed="false">
      <c r="A1794" s="2" t="n">
        <v>394185318</v>
      </c>
      <c r="B1794" s="29" t="n">
        <v>46278.8783680556</v>
      </c>
      <c r="C1794" s="2" t="s">
        <v>158</v>
      </c>
      <c r="D1794" s="2" t="s">
        <v>1836</v>
      </c>
      <c r="E1794" s="2" t="s">
        <v>78</v>
      </c>
      <c r="F1794" s="2" t="s">
        <v>109</v>
      </c>
      <c r="G1794" s="30" t="n">
        <v>56.7</v>
      </c>
      <c r="H1794" s="11" t="n">
        <v>645.77</v>
      </c>
      <c r="I1794" s="11" t="s">
        <v>155</v>
      </c>
      <c r="J1794" s="11" t="n">
        <v>114.24</v>
      </c>
      <c r="K1794" s="11" t="n">
        <v>112.3</v>
      </c>
      <c r="L1794" s="11" t="n">
        <v>0.6458</v>
      </c>
      <c r="M1794" s="11" t="n">
        <v>1.2915</v>
      </c>
      <c r="N1794" s="11" t="n">
        <v>1</v>
      </c>
      <c r="O1794" s="11" t="n">
        <v>4.5</v>
      </c>
      <c r="P1794" s="11" t="n">
        <v>3.42</v>
      </c>
      <c r="Q1794" s="11" t="n">
        <v>25.65</v>
      </c>
      <c r="R1794" s="11" t="n">
        <f aca="false">SUM(K1794:Q1794)</f>
        <v>148.8073</v>
      </c>
      <c r="S1794" s="11" t="n">
        <f aca="false">R1794/(1-Resumo!$C$6)</f>
        <v>169.099204545455</v>
      </c>
      <c r="T1794" s="11" t="n">
        <f aca="false">S1794-J1794</f>
        <v>54.8592045454545</v>
      </c>
      <c r="U1794" s="12" t="n">
        <f aca="false">IFERROR(S1794/J1794-1,0)</f>
        <v>0.480210123822256</v>
      </c>
      <c r="V1794" s="2" t="str">
        <f aca="false">IF(S1794&lt;J1794,"SIM","NÃO")</f>
        <v>NÃO</v>
      </c>
      <c r="W1794" s="2" t="n">
        <v>5</v>
      </c>
      <c r="X1794" s="2" t="s">
        <v>156</v>
      </c>
    </row>
    <row r="1795" customFormat="false" ht="15" hidden="false" customHeight="false" outlineLevel="0" collapsed="false">
      <c r="A1795" s="2" t="n">
        <v>394192604</v>
      </c>
      <c r="B1795" s="29" t="n">
        <v>46278.8900231482</v>
      </c>
      <c r="C1795" s="2" t="s">
        <v>153</v>
      </c>
      <c r="D1795" s="2" t="s">
        <v>1837</v>
      </c>
      <c r="E1795" s="2" t="s">
        <v>78</v>
      </c>
      <c r="F1795" s="2" t="s">
        <v>110</v>
      </c>
      <c r="G1795" s="30" t="n">
        <v>67.3</v>
      </c>
      <c r="H1795" s="11" t="n">
        <v>779.99</v>
      </c>
      <c r="I1795" s="11" t="s">
        <v>155</v>
      </c>
      <c r="J1795" s="11" t="n">
        <v>124.94</v>
      </c>
      <c r="K1795" s="11" t="n">
        <v>131.02</v>
      </c>
      <c r="L1795" s="11" t="n">
        <v>0.78</v>
      </c>
      <c r="M1795" s="11" t="n">
        <v>1.56</v>
      </c>
      <c r="N1795" s="11" t="n">
        <v>1</v>
      </c>
      <c r="O1795" s="11" t="n">
        <v>4.5</v>
      </c>
      <c r="P1795" s="11" t="n">
        <v>4.08</v>
      </c>
      <c r="Q1795" s="11" t="n">
        <v>30.6</v>
      </c>
      <c r="R1795" s="11" t="n">
        <f aca="false">SUM(K1795:Q1795)</f>
        <v>173.54</v>
      </c>
      <c r="S1795" s="11" t="n">
        <f aca="false">R1795/(1-Resumo!$C$6)</f>
        <v>197.204545454545</v>
      </c>
      <c r="T1795" s="11" t="n">
        <f aca="false">S1795-J1795</f>
        <v>72.2645454545454</v>
      </c>
      <c r="U1795" s="12" t="n">
        <f aca="false">IFERROR(S1795/J1795-1,0)</f>
        <v>0.578393992752885</v>
      </c>
      <c r="V1795" s="2" t="str">
        <f aca="false">IF(S1795&lt;J1795,"SIM","NÃO")</f>
        <v>NÃO</v>
      </c>
      <c r="W1795" s="2" t="n">
        <v>5</v>
      </c>
      <c r="X1795" s="2" t="s">
        <v>156</v>
      </c>
    </row>
    <row r="1796" customFormat="false" ht="15" hidden="false" customHeight="false" outlineLevel="0" collapsed="false">
      <c r="A1796" s="2" t="n">
        <v>394219365</v>
      </c>
      <c r="B1796" s="29" t="n">
        <v>46278.9387615741</v>
      </c>
      <c r="C1796" s="2" t="s">
        <v>158</v>
      </c>
      <c r="D1796" s="2" t="s">
        <v>1838</v>
      </c>
      <c r="E1796" s="2" t="s">
        <v>78</v>
      </c>
      <c r="F1796" s="2" t="s">
        <v>110</v>
      </c>
      <c r="G1796" s="30" t="n">
        <v>67.3</v>
      </c>
      <c r="H1796" s="11" t="n">
        <v>709</v>
      </c>
      <c r="I1796" s="11" t="s">
        <v>155</v>
      </c>
      <c r="J1796" s="11" t="n">
        <v>124.61</v>
      </c>
      <c r="K1796" s="11" t="n">
        <v>131.02</v>
      </c>
      <c r="L1796" s="11" t="n">
        <v>0.709</v>
      </c>
      <c r="M1796" s="11" t="n">
        <v>1.418</v>
      </c>
      <c r="N1796" s="11" t="n">
        <v>1</v>
      </c>
      <c r="O1796" s="11" t="n">
        <v>4.5</v>
      </c>
      <c r="P1796" s="11" t="n">
        <v>4.08</v>
      </c>
      <c r="Q1796" s="11" t="n">
        <v>30.6</v>
      </c>
      <c r="R1796" s="11" t="n">
        <f aca="false">SUM(K1796:Q1796)</f>
        <v>173.327</v>
      </c>
      <c r="S1796" s="11" t="n">
        <f aca="false">R1796/(1-Resumo!$C$6)</f>
        <v>196.9625</v>
      </c>
      <c r="T1796" s="11" t="n">
        <f aca="false">S1796-J1796</f>
        <v>72.3525</v>
      </c>
      <c r="U1796" s="12" t="n">
        <f aca="false">IFERROR(S1796/J1796-1,0)</f>
        <v>0.58063157049996</v>
      </c>
      <c r="V1796" s="2" t="str">
        <f aca="false">IF(S1796&lt;J1796,"SIM","NÃO")</f>
        <v>NÃO</v>
      </c>
      <c r="W1796" s="2" t="n">
        <v>5</v>
      </c>
      <c r="X1796" s="2" t="s">
        <v>156</v>
      </c>
    </row>
    <row r="1797" customFormat="false" ht="15" hidden="false" customHeight="false" outlineLevel="0" collapsed="false">
      <c r="A1797" s="2" t="n">
        <v>394222719</v>
      </c>
      <c r="B1797" s="29" t="n">
        <v>46278.9438541667</v>
      </c>
      <c r="C1797" s="2" t="s">
        <v>158</v>
      </c>
      <c r="D1797" s="2" t="s">
        <v>1839</v>
      </c>
      <c r="E1797" s="2" t="s">
        <v>78</v>
      </c>
      <c r="F1797" s="2" t="s">
        <v>106</v>
      </c>
      <c r="G1797" s="30" t="n">
        <v>27</v>
      </c>
      <c r="H1797" s="11" t="n">
        <v>486.62</v>
      </c>
      <c r="I1797" s="11" t="s">
        <v>155</v>
      </c>
      <c r="J1797" s="11" t="n">
        <v>82.65</v>
      </c>
      <c r="K1797" s="11" t="n">
        <v>82.21</v>
      </c>
      <c r="L1797" s="11" t="n">
        <v>0.4866</v>
      </c>
      <c r="M1797" s="11" t="n">
        <v>0.9732</v>
      </c>
      <c r="N1797" s="11" t="n">
        <v>1</v>
      </c>
      <c r="O1797" s="11" t="n">
        <v>4.5</v>
      </c>
      <c r="P1797" s="11" t="n">
        <v>1.62</v>
      </c>
      <c r="Q1797" s="11" t="n">
        <v>12.15</v>
      </c>
      <c r="R1797" s="11" t="n">
        <f aca="false">SUM(K1797:Q1797)</f>
        <v>102.9398</v>
      </c>
      <c r="S1797" s="11" t="n">
        <f aca="false">R1797/(1-Resumo!$C$6)</f>
        <v>116.977045454545</v>
      </c>
      <c r="T1797" s="11" t="n">
        <f aca="false">S1797-J1797</f>
        <v>34.3270454545455</v>
      </c>
      <c r="U1797" s="12" t="n">
        <f aca="false">IFERROR(S1797/J1797-1,0)</f>
        <v>0.41533025353352</v>
      </c>
      <c r="V1797" s="2" t="str">
        <f aca="false">IF(S1797&lt;J1797,"SIM","NÃO")</f>
        <v>NÃO</v>
      </c>
      <c r="W1797" s="2" t="n">
        <v>5</v>
      </c>
      <c r="X1797" s="2" t="s">
        <v>156</v>
      </c>
    </row>
    <row r="1798" customFormat="false" ht="15" hidden="false" customHeight="false" outlineLevel="0" collapsed="false">
      <c r="A1798" s="2" t="n">
        <v>394246647</v>
      </c>
      <c r="B1798" s="29" t="n">
        <v>46278.9808449074</v>
      </c>
      <c r="C1798" s="2" t="s">
        <v>153</v>
      </c>
      <c r="D1798" s="2" t="s">
        <v>1840</v>
      </c>
      <c r="E1798" s="2" t="s">
        <v>1841</v>
      </c>
      <c r="F1798" s="2" t="s">
        <v>106</v>
      </c>
      <c r="G1798" s="30" t="n">
        <v>27</v>
      </c>
      <c r="H1798" s="11" t="n">
        <v>339.99</v>
      </c>
      <c r="I1798" s="11" t="s">
        <v>155</v>
      </c>
      <c r="J1798" s="11" t="n">
        <v>108.81</v>
      </c>
      <c r="K1798" s="11" t="n">
        <v>138.29</v>
      </c>
      <c r="L1798" s="11" t="n">
        <v>0.34</v>
      </c>
      <c r="M1798" s="11" t="n">
        <v>0.68</v>
      </c>
      <c r="N1798" s="11" t="n">
        <v>1</v>
      </c>
      <c r="O1798" s="11" t="n">
        <v>4.5</v>
      </c>
      <c r="P1798" s="11" t="n">
        <v>1.62</v>
      </c>
      <c r="Q1798" s="11" t="n">
        <v>12.15</v>
      </c>
      <c r="R1798" s="11" t="n">
        <f aca="false">SUM(K1798:Q1798)</f>
        <v>158.58</v>
      </c>
      <c r="S1798" s="11" t="n">
        <f aca="false">R1798/(1-Resumo!$C$6)</f>
        <v>180.204545454545</v>
      </c>
      <c r="T1798" s="11" t="n">
        <f aca="false">S1798-J1798</f>
        <v>71.3945454545454</v>
      </c>
      <c r="U1798" s="12" t="n">
        <f aca="false">IFERROR(S1798/J1798-1,0)</f>
        <v>0.656139559365366</v>
      </c>
      <c r="V1798" s="2" t="str">
        <f aca="false">IF(S1798&lt;J1798,"SIM","NÃO")</f>
        <v>NÃO</v>
      </c>
      <c r="W1798" s="2" t="n">
        <v>11</v>
      </c>
      <c r="X1798" s="2" t="s">
        <v>161</v>
      </c>
    </row>
    <row r="1799" customFormat="false" ht="15" hidden="false" customHeight="false" outlineLevel="0" collapsed="false">
      <c r="A1799" s="2" t="n">
        <v>394460134</v>
      </c>
      <c r="B1799" s="29" t="n">
        <v>46279.5200115741</v>
      </c>
      <c r="C1799" s="2" t="s">
        <v>153</v>
      </c>
      <c r="D1799" s="2" t="s">
        <v>1842</v>
      </c>
      <c r="E1799" s="2" t="s">
        <v>448</v>
      </c>
      <c r="F1799" s="2" t="s">
        <v>106</v>
      </c>
      <c r="G1799" s="30" t="n">
        <v>33</v>
      </c>
      <c r="H1799" s="11" t="n">
        <v>344.13</v>
      </c>
      <c r="I1799" s="11" t="s">
        <v>155</v>
      </c>
      <c r="J1799" s="11" t="n">
        <v>108.83</v>
      </c>
      <c r="K1799" s="11" t="n">
        <v>108.83</v>
      </c>
      <c r="L1799" s="11" t="n">
        <v>0.3441</v>
      </c>
      <c r="M1799" s="11" t="n">
        <v>0.6883</v>
      </c>
      <c r="N1799" s="11" t="n">
        <v>1</v>
      </c>
      <c r="O1799" s="11" t="n">
        <v>4.5</v>
      </c>
      <c r="P1799" s="11" t="n">
        <v>1.98</v>
      </c>
      <c r="Q1799" s="11" t="n">
        <v>14.85</v>
      </c>
      <c r="R1799" s="11" t="n">
        <f aca="false">SUM(K1799:Q1799)</f>
        <v>132.1924</v>
      </c>
      <c r="S1799" s="11" t="n">
        <f aca="false">R1799/(1-Resumo!$C$6)</f>
        <v>150.218636363636</v>
      </c>
      <c r="T1799" s="11" t="n">
        <f aca="false">S1799-J1799</f>
        <v>41.3886363636364</v>
      </c>
      <c r="U1799" s="12" t="n">
        <f aca="false">IFERROR(S1799/J1799-1,0)</f>
        <v>0.38030539707467</v>
      </c>
      <c r="V1799" s="2" t="str">
        <f aca="false">IF(S1799&lt;J1799,"SIM","NÃO")</f>
        <v>NÃO</v>
      </c>
      <c r="W1799" s="2" t="n">
        <v>10</v>
      </c>
      <c r="X1799" s="2" t="s">
        <v>161</v>
      </c>
    </row>
    <row r="1800" customFormat="false" ht="15" hidden="false" customHeight="false" outlineLevel="0" collapsed="false">
      <c r="A1800" s="2" t="n">
        <v>394462754</v>
      </c>
      <c r="B1800" s="29" t="n">
        <v>46279.5240277778</v>
      </c>
      <c r="C1800" s="2" t="s">
        <v>153</v>
      </c>
      <c r="D1800" s="2" t="s">
        <v>1843</v>
      </c>
      <c r="E1800" s="2" t="s">
        <v>78</v>
      </c>
      <c r="F1800" s="2" t="s">
        <v>106</v>
      </c>
      <c r="G1800" s="30" t="n">
        <v>21.3</v>
      </c>
      <c r="H1800" s="11" t="n">
        <v>299.96</v>
      </c>
      <c r="I1800" s="11" t="s">
        <v>155</v>
      </c>
      <c r="J1800" s="11" t="n">
        <v>81.76</v>
      </c>
      <c r="K1800" s="11" t="n">
        <v>82.21</v>
      </c>
      <c r="L1800" s="11" t="n">
        <v>0.3</v>
      </c>
      <c r="M1800" s="11" t="n">
        <v>0.5999</v>
      </c>
      <c r="N1800" s="11" t="n">
        <v>1</v>
      </c>
      <c r="O1800" s="11" t="n">
        <v>4.5</v>
      </c>
      <c r="P1800" s="11" t="n">
        <v>1.32</v>
      </c>
      <c r="Q1800" s="11" t="n">
        <v>9.9</v>
      </c>
      <c r="R1800" s="11" t="n">
        <f aca="false">SUM(K1800:Q1800)</f>
        <v>99.8299</v>
      </c>
      <c r="S1800" s="11" t="n">
        <f aca="false">R1800/(1-Resumo!$C$6)</f>
        <v>113.443068181818</v>
      </c>
      <c r="T1800" s="11" t="n">
        <f aca="false">S1800-J1800</f>
        <v>31.6830681818182</v>
      </c>
      <c r="U1800" s="12" t="n">
        <f aca="false">IFERROR(S1800/J1800-1,0)</f>
        <v>0.387513064846113</v>
      </c>
      <c r="V1800" s="2" t="str">
        <f aca="false">IF(S1800&lt;J1800,"SIM","NÃO")</f>
        <v>NÃO</v>
      </c>
      <c r="W1800" s="2" t="n">
        <v>5</v>
      </c>
      <c r="X1800" s="2" t="s">
        <v>156</v>
      </c>
    </row>
    <row r="1801" customFormat="false" ht="15" hidden="false" customHeight="false" outlineLevel="0" collapsed="false">
      <c r="A1801" s="2" t="n">
        <v>394465712</v>
      </c>
      <c r="B1801" s="29" t="n">
        <v>46279.5285185185</v>
      </c>
      <c r="C1801" s="2" t="s">
        <v>153</v>
      </c>
      <c r="D1801" s="2" t="s">
        <v>1844</v>
      </c>
      <c r="E1801" s="2" t="s">
        <v>96</v>
      </c>
      <c r="F1801" s="2" t="s">
        <v>108</v>
      </c>
      <c r="G1801" s="30" t="n">
        <v>45.4</v>
      </c>
      <c r="H1801" s="11" t="n">
        <v>579.93</v>
      </c>
      <c r="I1801" s="11" t="s">
        <v>155</v>
      </c>
      <c r="J1801" s="11" t="n">
        <v>130.94</v>
      </c>
      <c r="K1801" s="11" t="n">
        <v>135.03</v>
      </c>
      <c r="L1801" s="11" t="n">
        <v>0.5799</v>
      </c>
      <c r="M1801" s="11" t="n">
        <v>1.1599</v>
      </c>
      <c r="N1801" s="11" t="n">
        <v>1</v>
      </c>
      <c r="O1801" s="11" t="n">
        <v>4.5</v>
      </c>
      <c r="P1801" s="11" t="n">
        <v>2.76</v>
      </c>
      <c r="Q1801" s="11" t="n">
        <v>20.7</v>
      </c>
      <c r="R1801" s="11" t="n">
        <f aca="false">SUM(K1801:Q1801)</f>
        <v>165.7298</v>
      </c>
      <c r="S1801" s="11" t="n">
        <f aca="false">R1801/(1-Resumo!$C$6)</f>
        <v>188.329318181818</v>
      </c>
      <c r="T1801" s="11" t="n">
        <f aca="false">S1801-J1801</f>
        <v>57.3893181818182</v>
      </c>
      <c r="U1801" s="12" t="n">
        <f aca="false">IFERROR(S1801/J1801-1,0)</f>
        <v>0.438287140536262</v>
      </c>
      <c r="V1801" s="2" t="str">
        <f aca="false">IF(S1801&lt;J1801,"SIM","NÃO")</f>
        <v>NÃO</v>
      </c>
      <c r="W1801" s="2" t="n">
        <v>10</v>
      </c>
      <c r="X1801" s="2" t="s">
        <v>156</v>
      </c>
    </row>
    <row r="1802" customFormat="false" ht="15" hidden="false" customHeight="false" outlineLevel="0" collapsed="false">
      <c r="A1802" s="2" t="n">
        <v>394492703</v>
      </c>
      <c r="B1802" s="29" t="n">
        <v>46279.5723842593</v>
      </c>
      <c r="C1802" s="2" t="s">
        <v>153</v>
      </c>
      <c r="D1802" s="2" t="s">
        <v>1845</v>
      </c>
      <c r="E1802" s="2" t="s">
        <v>82</v>
      </c>
      <c r="F1802" s="2" t="s">
        <v>108</v>
      </c>
      <c r="G1802" s="30" t="n">
        <v>48</v>
      </c>
      <c r="H1802" s="11" t="n">
        <v>929.99</v>
      </c>
      <c r="I1802" s="11" t="s">
        <v>155</v>
      </c>
      <c r="J1802" s="11" t="n">
        <v>118.53</v>
      </c>
      <c r="K1802" s="11" t="n">
        <v>114.95</v>
      </c>
      <c r="L1802" s="11" t="n">
        <v>0.93</v>
      </c>
      <c r="M1802" s="11" t="n">
        <v>1.86</v>
      </c>
      <c r="N1802" s="11" t="n">
        <v>1</v>
      </c>
      <c r="O1802" s="11" t="n">
        <v>4.5</v>
      </c>
      <c r="P1802" s="11" t="n">
        <v>2.88</v>
      </c>
      <c r="Q1802" s="11" t="n">
        <v>21.6</v>
      </c>
      <c r="R1802" s="11" t="n">
        <f aca="false">SUM(K1802:Q1802)</f>
        <v>147.72</v>
      </c>
      <c r="S1802" s="11" t="n">
        <f aca="false">R1802/(1-Resumo!$C$6)</f>
        <v>167.863636363636</v>
      </c>
      <c r="T1802" s="11" t="n">
        <f aca="false">S1802-J1802</f>
        <v>49.3336363636364</v>
      </c>
      <c r="U1802" s="12" t="n">
        <f aca="false">IFERROR(S1802/J1802-1,0)</f>
        <v>0.416212236257794</v>
      </c>
      <c r="V1802" s="2" t="str">
        <f aca="false">IF(S1802&lt;J1802,"SIM","NÃO")</f>
        <v>NÃO</v>
      </c>
      <c r="W1802" s="2" t="n">
        <v>7</v>
      </c>
      <c r="X1802" s="2" t="s">
        <v>156</v>
      </c>
    </row>
    <row r="1803" customFormat="false" ht="15" hidden="false" customHeight="false" outlineLevel="0" collapsed="false">
      <c r="A1803" s="2" t="n">
        <v>394529022</v>
      </c>
      <c r="B1803" s="29" t="n">
        <v>46279.626400463</v>
      </c>
      <c r="C1803" s="2" t="s">
        <v>198</v>
      </c>
      <c r="D1803" s="2" t="s">
        <v>1846</v>
      </c>
      <c r="E1803" s="2" t="s">
        <v>78</v>
      </c>
      <c r="F1803" s="2" t="s">
        <v>110</v>
      </c>
      <c r="G1803" s="30" t="n">
        <v>69.3</v>
      </c>
      <c r="H1803" s="11" t="n">
        <v>879.99</v>
      </c>
      <c r="I1803" s="11" t="s">
        <v>155</v>
      </c>
      <c r="J1803" s="11" t="n">
        <v>125.42</v>
      </c>
      <c r="K1803" s="11" t="n">
        <v>131.02</v>
      </c>
      <c r="L1803" s="11" t="n">
        <v>0.88</v>
      </c>
      <c r="M1803" s="11" t="n">
        <v>1.76</v>
      </c>
      <c r="N1803" s="11" t="n">
        <v>1</v>
      </c>
      <c r="O1803" s="11" t="n">
        <v>4.5</v>
      </c>
      <c r="P1803" s="11" t="n">
        <v>4.2</v>
      </c>
      <c r="Q1803" s="11" t="n">
        <v>31.5</v>
      </c>
      <c r="R1803" s="11" t="n">
        <f aca="false">SUM(K1803:Q1803)</f>
        <v>174.86</v>
      </c>
      <c r="S1803" s="11" t="n">
        <f aca="false">R1803/(1-Resumo!$C$6)</f>
        <v>198.704545454545</v>
      </c>
      <c r="T1803" s="11" t="n">
        <f aca="false">S1803-J1803</f>
        <v>73.2845454545455</v>
      </c>
      <c r="U1803" s="12" t="n">
        <f aca="false">IFERROR(S1803/J1803-1,0)</f>
        <v>0.5843130717154</v>
      </c>
      <c r="V1803" s="2" t="str">
        <f aca="false">IF(S1803&lt;J1803,"SIM","NÃO")</f>
        <v>NÃO</v>
      </c>
      <c r="W1803" s="2" t="n">
        <v>5</v>
      </c>
      <c r="X1803" s="2" t="s">
        <v>156</v>
      </c>
    </row>
    <row r="1804" customFormat="false" ht="15" hidden="false" customHeight="false" outlineLevel="0" collapsed="false">
      <c r="A1804" s="2" t="n">
        <v>394534333</v>
      </c>
      <c r="B1804" s="29" t="n">
        <v>46279.6336342593</v>
      </c>
      <c r="C1804" s="2" t="s">
        <v>158</v>
      </c>
      <c r="D1804" s="2" t="s">
        <v>1847</v>
      </c>
      <c r="E1804" s="2" t="s">
        <v>78</v>
      </c>
      <c r="F1804" s="2" t="s">
        <v>106</v>
      </c>
      <c r="G1804" s="30" t="n">
        <v>33.7</v>
      </c>
      <c r="H1804" s="11" t="n">
        <v>374.53</v>
      </c>
      <c r="I1804" s="11" t="s">
        <v>155</v>
      </c>
      <c r="J1804" s="11" t="n">
        <v>82.13</v>
      </c>
      <c r="K1804" s="11" t="n">
        <v>82.21</v>
      </c>
      <c r="L1804" s="11" t="n">
        <v>0.3745</v>
      </c>
      <c r="M1804" s="11" t="n">
        <v>0.7491</v>
      </c>
      <c r="N1804" s="11" t="n">
        <v>1</v>
      </c>
      <c r="O1804" s="11" t="n">
        <v>4.5</v>
      </c>
      <c r="P1804" s="11" t="n">
        <v>2.04</v>
      </c>
      <c r="Q1804" s="11" t="n">
        <v>15.3</v>
      </c>
      <c r="R1804" s="11" t="n">
        <f aca="false">SUM(K1804:Q1804)</f>
        <v>106.1736</v>
      </c>
      <c r="S1804" s="11" t="n">
        <f aca="false">R1804/(1-Resumo!$C$6)</f>
        <v>120.651818181818</v>
      </c>
      <c r="T1804" s="11" t="n">
        <f aca="false">S1804-J1804</f>
        <v>38.5218181818182</v>
      </c>
      <c r="U1804" s="12" t="n">
        <f aca="false">IFERROR(S1804/J1804-1,0)</f>
        <v>0.469034678945796</v>
      </c>
      <c r="V1804" s="2" t="str">
        <f aca="false">IF(S1804&lt;J1804,"SIM","NÃO")</f>
        <v>NÃO</v>
      </c>
      <c r="W1804" s="2" t="n">
        <v>5</v>
      </c>
      <c r="X1804" s="2" t="s">
        <v>156</v>
      </c>
    </row>
    <row r="1805" customFormat="false" ht="15" hidden="false" customHeight="false" outlineLevel="0" collapsed="false">
      <c r="A1805" s="2" t="n">
        <v>394533211</v>
      </c>
      <c r="B1805" s="29" t="n">
        <v>46279.6344097222</v>
      </c>
      <c r="C1805" s="2" t="s">
        <v>191</v>
      </c>
      <c r="D1805" s="2" t="s">
        <v>1848</v>
      </c>
      <c r="E1805" s="2" t="s">
        <v>78</v>
      </c>
      <c r="F1805" s="2" t="s">
        <v>110</v>
      </c>
      <c r="G1805" s="30" t="n">
        <v>67.3</v>
      </c>
      <c r="H1805" s="11" t="n">
        <v>999.99</v>
      </c>
      <c r="I1805" s="11" t="s">
        <v>155</v>
      </c>
      <c r="J1805" s="11" t="n">
        <v>126</v>
      </c>
      <c r="K1805" s="11" t="n">
        <v>131.02</v>
      </c>
      <c r="L1805" s="11" t="n">
        <v>1</v>
      </c>
      <c r="M1805" s="11" t="n">
        <v>2</v>
      </c>
      <c r="N1805" s="11" t="n">
        <v>1</v>
      </c>
      <c r="O1805" s="11" t="n">
        <v>4.5</v>
      </c>
      <c r="P1805" s="11" t="n">
        <v>4.08</v>
      </c>
      <c r="Q1805" s="11" t="n">
        <v>30.6</v>
      </c>
      <c r="R1805" s="11" t="n">
        <f aca="false">SUM(K1805:Q1805)</f>
        <v>174.2</v>
      </c>
      <c r="S1805" s="11" t="n">
        <f aca="false">R1805/(1-Resumo!$C$6)</f>
        <v>197.954545454545</v>
      </c>
      <c r="T1805" s="11" t="n">
        <f aca="false">S1805-J1805</f>
        <v>71.9545454545455</v>
      </c>
      <c r="U1805" s="12" t="n">
        <f aca="false">IFERROR(S1805/J1805-1,0)</f>
        <v>0.571067821067821</v>
      </c>
      <c r="V1805" s="2" t="str">
        <f aca="false">IF(S1805&lt;J1805,"SIM","NÃO")</f>
        <v>NÃO</v>
      </c>
      <c r="W1805" s="2" t="n">
        <v>5</v>
      </c>
      <c r="X1805" s="2" t="s">
        <v>156</v>
      </c>
    </row>
    <row r="1806" customFormat="false" ht="15" hidden="false" customHeight="false" outlineLevel="0" collapsed="false">
      <c r="A1806" s="2" t="n">
        <v>394589510</v>
      </c>
      <c r="B1806" s="29" t="n">
        <v>46279.713275463</v>
      </c>
      <c r="C1806" s="2" t="s">
        <v>194</v>
      </c>
      <c r="D1806" s="2" t="s">
        <v>1849</v>
      </c>
      <c r="E1806" s="2" t="s">
        <v>95</v>
      </c>
      <c r="F1806" s="2" t="s">
        <v>110</v>
      </c>
      <c r="G1806" s="30" t="n">
        <v>69.15</v>
      </c>
      <c r="H1806" s="11" t="n">
        <v>859.99</v>
      </c>
      <c r="I1806" s="11" t="s">
        <v>155</v>
      </c>
      <c r="J1806" s="11" t="n">
        <v>156.14</v>
      </c>
      <c r="K1806" s="11" t="n">
        <v>136.53</v>
      </c>
      <c r="L1806" s="11" t="n">
        <v>0.86</v>
      </c>
      <c r="M1806" s="11" t="n">
        <v>1.72</v>
      </c>
      <c r="N1806" s="11" t="n">
        <v>1</v>
      </c>
      <c r="O1806" s="11" t="n">
        <v>4.5</v>
      </c>
      <c r="P1806" s="11" t="n">
        <v>4.2</v>
      </c>
      <c r="Q1806" s="11" t="n">
        <v>31.5</v>
      </c>
      <c r="R1806" s="11" t="n">
        <f aca="false">SUM(K1806:Q1806)</f>
        <v>180.31</v>
      </c>
      <c r="S1806" s="11" t="n">
        <f aca="false">R1806/(1-Resumo!$C$6)</f>
        <v>204.897727272727</v>
      </c>
      <c r="T1806" s="11" t="n">
        <f aca="false">S1806-J1806</f>
        <v>48.7577272727273</v>
      </c>
      <c r="U1806" s="12" t="n">
        <f aca="false">IFERROR(S1806/J1806-1,0)</f>
        <v>0.312269292127112</v>
      </c>
      <c r="V1806" s="2" t="str">
        <f aca="false">IF(S1806&lt;J1806,"SIM","NÃO")</f>
        <v>NÃO</v>
      </c>
      <c r="W1806" s="2" t="n">
        <v>6</v>
      </c>
      <c r="X1806" s="2" t="s">
        <v>156</v>
      </c>
    </row>
    <row r="1807" customFormat="false" ht="15" hidden="false" customHeight="false" outlineLevel="0" collapsed="false">
      <c r="A1807" s="2" t="n">
        <v>394591141</v>
      </c>
      <c r="B1807" s="29" t="n">
        <v>46279.7135069444</v>
      </c>
      <c r="C1807" s="2" t="s">
        <v>178</v>
      </c>
      <c r="D1807" s="2" t="s">
        <v>1850</v>
      </c>
      <c r="E1807" s="2" t="s">
        <v>219</v>
      </c>
      <c r="F1807" s="2" t="s">
        <v>106</v>
      </c>
      <c r="G1807" s="30" t="n">
        <v>27.6</v>
      </c>
      <c r="H1807" s="11" t="n">
        <v>399.99</v>
      </c>
      <c r="I1807" s="11" t="s">
        <v>155</v>
      </c>
      <c r="J1807" s="11" t="n">
        <v>109.1</v>
      </c>
      <c r="K1807" s="11" t="n">
        <v>108.83</v>
      </c>
      <c r="L1807" s="11" t="n">
        <v>0.4</v>
      </c>
      <c r="M1807" s="11" t="n">
        <v>0.8</v>
      </c>
      <c r="N1807" s="11" t="n">
        <v>1</v>
      </c>
      <c r="O1807" s="11" t="n">
        <v>4.5</v>
      </c>
      <c r="P1807" s="11" t="n">
        <v>1.68</v>
      </c>
      <c r="Q1807" s="11" t="n">
        <v>12.6</v>
      </c>
      <c r="R1807" s="11" t="n">
        <f aca="false">SUM(K1807:Q1807)</f>
        <v>129.81</v>
      </c>
      <c r="S1807" s="11" t="n">
        <f aca="false">R1807/(1-Resumo!$C$6)</f>
        <v>147.511363636364</v>
      </c>
      <c r="T1807" s="11" t="n">
        <f aca="false">S1807-J1807</f>
        <v>38.4113636363636</v>
      </c>
      <c r="U1807" s="12" t="n">
        <f aca="false">IFERROR(S1807/J1807-1,0)</f>
        <v>0.352074827097742</v>
      </c>
      <c r="V1807" s="2" t="str">
        <f aca="false">IF(S1807&lt;J1807,"SIM","NÃO")</f>
        <v>NÃO</v>
      </c>
      <c r="W1807" s="2" t="n">
        <v>10</v>
      </c>
      <c r="X1807" s="2" t="s">
        <v>161</v>
      </c>
    </row>
    <row r="1808" customFormat="false" ht="15" hidden="false" customHeight="false" outlineLevel="0" collapsed="false">
      <c r="A1808" s="2" t="n">
        <v>394599163</v>
      </c>
      <c r="B1808" s="29" t="n">
        <v>46279.7192708333</v>
      </c>
      <c r="C1808" s="2" t="s">
        <v>153</v>
      </c>
      <c r="D1808" s="2" t="s">
        <v>1851</v>
      </c>
      <c r="E1808" s="2" t="s">
        <v>87</v>
      </c>
      <c r="F1808" s="2" t="s">
        <v>107</v>
      </c>
      <c r="G1808" s="30" t="n">
        <v>37.2</v>
      </c>
      <c r="H1808" s="11" t="n">
        <v>366.5</v>
      </c>
      <c r="I1808" s="11" t="s">
        <v>155</v>
      </c>
      <c r="J1808" s="11" t="n">
        <v>122</v>
      </c>
      <c r="K1808" s="11" t="n">
        <v>124.38</v>
      </c>
      <c r="L1808" s="11" t="n">
        <v>0.3665</v>
      </c>
      <c r="M1808" s="11" t="n">
        <v>0.733</v>
      </c>
      <c r="N1808" s="11" t="n">
        <v>1</v>
      </c>
      <c r="O1808" s="11" t="n">
        <v>4.5</v>
      </c>
      <c r="P1808" s="11" t="n">
        <v>2.28</v>
      </c>
      <c r="Q1808" s="11" t="n">
        <v>17.1</v>
      </c>
      <c r="R1808" s="11" t="n">
        <f aca="false">SUM(K1808:Q1808)</f>
        <v>150.3595</v>
      </c>
      <c r="S1808" s="11" t="n">
        <f aca="false">R1808/(1-Resumo!$C$6)</f>
        <v>170.863068181818</v>
      </c>
      <c r="T1808" s="11" t="n">
        <f aca="false">S1808-J1808</f>
        <v>48.8630681818182</v>
      </c>
      <c r="U1808" s="12" t="n">
        <f aca="false">IFERROR(S1808/J1808-1,0)</f>
        <v>0.400516952309985</v>
      </c>
      <c r="V1808" s="2" t="str">
        <f aca="false">IF(S1808&lt;J1808,"SIM","NÃO")</f>
        <v>NÃO</v>
      </c>
      <c r="W1808" s="2" t="n">
        <v>10</v>
      </c>
      <c r="X1808" s="2" t="s">
        <v>156</v>
      </c>
    </row>
    <row r="1809" customFormat="false" ht="15" hidden="false" customHeight="false" outlineLevel="0" collapsed="false">
      <c r="A1809" s="2" t="n">
        <v>394606045</v>
      </c>
      <c r="B1809" s="29" t="n">
        <v>46279.7370949074</v>
      </c>
      <c r="C1809" s="2" t="s">
        <v>178</v>
      </c>
      <c r="D1809" s="2" t="s">
        <v>1852</v>
      </c>
      <c r="E1809" s="2" t="s">
        <v>78</v>
      </c>
      <c r="F1809" s="2" t="s">
        <v>106</v>
      </c>
      <c r="G1809" s="30" t="n">
        <v>33.3</v>
      </c>
      <c r="H1809" s="11" t="n">
        <v>439.99</v>
      </c>
      <c r="I1809" s="11" t="s">
        <v>155</v>
      </c>
      <c r="J1809" s="11" t="n">
        <v>82.43</v>
      </c>
      <c r="K1809" s="11" t="n">
        <v>82.21</v>
      </c>
      <c r="L1809" s="11" t="n">
        <v>0.44</v>
      </c>
      <c r="M1809" s="11" t="n">
        <v>0.88</v>
      </c>
      <c r="N1809" s="11" t="n">
        <v>1</v>
      </c>
      <c r="O1809" s="11" t="n">
        <v>4.5</v>
      </c>
      <c r="P1809" s="11" t="n">
        <v>2.04</v>
      </c>
      <c r="Q1809" s="11" t="n">
        <v>15.3</v>
      </c>
      <c r="R1809" s="11" t="n">
        <f aca="false">SUM(K1809:Q1809)</f>
        <v>106.37</v>
      </c>
      <c r="S1809" s="11" t="n">
        <f aca="false">R1809/(1-Resumo!$C$6)</f>
        <v>120.875</v>
      </c>
      <c r="T1809" s="11" t="n">
        <f aca="false">S1809-J1809</f>
        <v>38.445</v>
      </c>
      <c r="U1809" s="12" t="n">
        <f aca="false">IFERROR(S1809/J1809-1,0)</f>
        <v>0.466395729710057</v>
      </c>
      <c r="V1809" s="2" t="str">
        <f aca="false">IF(S1809&lt;J1809,"SIM","NÃO")</f>
        <v>NÃO</v>
      </c>
      <c r="W1809" s="2" t="n">
        <v>5</v>
      </c>
      <c r="X1809" s="2" t="s">
        <v>156</v>
      </c>
    </row>
    <row r="1810" customFormat="false" ht="15" hidden="false" customHeight="false" outlineLevel="0" collapsed="false">
      <c r="A1810" s="2" t="n">
        <v>394608962</v>
      </c>
      <c r="B1810" s="29" t="n">
        <v>46279.740474537</v>
      </c>
      <c r="C1810" s="2" t="s">
        <v>158</v>
      </c>
      <c r="D1810" s="2" t="s">
        <v>1853</v>
      </c>
      <c r="E1810" s="2" t="s">
        <v>78</v>
      </c>
      <c r="F1810" s="2" t="s">
        <v>106</v>
      </c>
      <c r="G1810" s="30" t="n">
        <v>31.9</v>
      </c>
      <c r="H1810" s="11" t="n">
        <v>483.99</v>
      </c>
      <c r="I1810" s="11" t="s">
        <v>155</v>
      </c>
      <c r="J1810" s="11" t="n">
        <v>82.65</v>
      </c>
      <c r="K1810" s="11" t="n">
        <v>82.21</v>
      </c>
      <c r="L1810" s="11" t="n">
        <v>0.484</v>
      </c>
      <c r="M1810" s="11" t="n">
        <v>0.968</v>
      </c>
      <c r="N1810" s="11" t="n">
        <v>1</v>
      </c>
      <c r="O1810" s="11" t="n">
        <v>4.5</v>
      </c>
      <c r="P1810" s="11" t="n">
        <v>1.92</v>
      </c>
      <c r="Q1810" s="11" t="n">
        <v>14.4</v>
      </c>
      <c r="R1810" s="11" t="n">
        <f aca="false">SUM(K1810:Q1810)</f>
        <v>105.482</v>
      </c>
      <c r="S1810" s="11" t="n">
        <f aca="false">R1810/(1-Resumo!$C$6)</f>
        <v>119.865909090909</v>
      </c>
      <c r="T1810" s="11" t="n">
        <f aca="false">S1810-J1810</f>
        <v>37.2159090909091</v>
      </c>
      <c r="U1810" s="12" t="n">
        <f aca="false">IFERROR(S1810/J1810-1,0)</f>
        <v>0.450283231589947</v>
      </c>
      <c r="V1810" s="2" t="str">
        <f aca="false">IF(S1810&lt;J1810,"SIM","NÃO")</f>
        <v>NÃO</v>
      </c>
      <c r="W1810" s="2" t="n">
        <v>5</v>
      </c>
      <c r="X1810" s="2" t="s">
        <v>156</v>
      </c>
    </row>
    <row r="1811" customFormat="false" ht="15" hidden="false" customHeight="false" outlineLevel="0" collapsed="false">
      <c r="A1811" s="2" t="n">
        <v>394613536</v>
      </c>
      <c r="B1811" s="29" t="n">
        <v>46279.7512962963</v>
      </c>
      <c r="C1811" s="2" t="s">
        <v>158</v>
      </c>
      <c r="D1811" s="2" t="s">
        <v>1854</v>
      </c>
      <c r="E1811" s="2" t="s">
        <v>78</v>
      </c>
      <c r="F1811" s="2" t="s">
        <v>106</v>
      </c>
      <c r="G1811" s="30" t="n">
        <v>27.6</v>
      </c>
      <c r="H1811" s="11" t="n">
        <v>332.45</v>
      </c>
      <c r="I1811" s="11" t="s">
        <v>155</v>
      </c>
      <c r="J1811" s="11" t="n">
        <v>81.91</v>
      </c>
      <c r="K1811" s="11" t="n">
        <v>82.21</v>
      </c>
      <c r="L1811" s="11" t="n">
        <v>0.3325</v>
      </c>
      <c r="M1811" s="11" t="n">
        <v>0.6649</v>
      </c>
      <c r="N1811" s="11" t="n">
        <v>1</v>
      </c>
      <c r="O1811" s="11" t="n">
        <v>4.5</v>
      </c>
      <c r="P1811" s="11" t="n">
        <v>1.68</v>
      </c>
      <c r="Q1811" s="11" t="n">
        <v>12.6</v>
      </c>
      <c r="R1811" s="11" t="n">
        <f aca="false">SUM(K1811:Q1811)</f>
        <v>102.9874</v>
      </c>
      <c r="S1811" s="11" t="n">
        <f aca="false">R1811/(1-Resumo!$C$6)</f>
        <v>117.031136363636</v>
      </c>
      <c r="T1811" s="11" t="n">
        <f aca="false">S1811-J1811</f>
        <v>35.1211363636364</v>
      </c>
      <c r="U1811" s="12" t="n">
        <f aca="false">IFERROR(S1811/J1811-1,0)</f>
        <v>0.428777150087124</v>
      </c>
      <c r="V1811" s="2" t="str">
        <f aca="false">IF(S1811&lt;J1811,"SIM","NÃO")</f>
        <v>NÃO</v>
      </c>
      <c r="W1811" s="2" t="n">
        <v>5</v>
      </c>
      <c r="X1811" s="2" t="s">
        <v>156</v>
      </c>
    </row>
    <row r="1812" customFormat="false" ht="15" hidden="false" customHeight="false" outlineLevel="0" collapsed="false">
      <c r="A1812" s="2" t="n">
        <v>394637079</v>
      </c>
      <c r="B1812" s="29" t="n">
        <v>46279.7655671296</v>
      </c>
      <c r="C1812" s="2" t="s">
        <v>369</v>
      </c>
      <c r="D1812" s="2" t="s">
        <v>1855</v>
      </c>
      <c r="E1812" s="2" t="s">
        <v>280</v>
      </c>
      <c r="F1812" s="2" t="s">
        <v>109</v>
      </c>
      <c r="G1812" s="30" t="n">
        <v>51.3</v>
      </c>
      <c r="H1812" s="11" t="n">
        <v>552.32</v>
      </c>
      <c r="I1812" s="11" t="s">
        <v>155</v>
      </c>
      <c r="J1812" s="11" t="n">
        <v>142.31</v>
      </c>
      <c r="K1812" s="11" t="n">
        <v>142.32</v>
      </c>
      <c r="L1812" s="11" t="n">
        <v>0.5523</v>
      </c>
      <c r="M1812" s="11" t="n">
        <v>1.1046</v>
      </c>
      <c r="N1812" s="11" t="n">
        <v>1</v>
      </c>
      <c r="O1812" s="11" t="n">
        <v>4.5</v>
      </c>
      <c r="P1812" s="11" t="n">
        <v>3.12</v>
      </c>
      <c r="Q1812" s="11" t="n">
        <v>23.4</v>
      </c>
      <c r="R1812" s="11" t="n">
        <f aca="false">SUM(K1812:Q1812)</f>
        <v>175.9969</v>
      </c>
      <c r="S1812" s="11" t="n">
        <f aca="false">R1812/(1-Resumo!$C$6)</f>
        <v>199.996477272727</v>
      </c>
      <c r="T1812" s="11" t="n">
        <f aca="false">S1812-J1812</f>
        <v>57.6864772727273</v>
      </c>
      <c r="U1812" s="12" t="n">
        <f aca="false">IFERROR(S1812/J1812-1,0)</f>
        <v>0.405357861518707</v>
      </c>
      <c r="V1812" s="2" t="str">
        <f aca="false">IF(S1812&lt;J1812,"SIM","NÃO")</f>
        <v>NÃO</v>
      </c>
      <c r="W1812" s="2" t="n">
        <v>10</v>
      </c>
      <c r="X1812" s="2" t="s">
        <v>161</v>
      </c>
    </row>
    <row r="1813" customFormat="false" ht="15" hidden="false" customHeight="false" outlineLevel="0" collapsed="false">
      <c r="A1813" s="2" t="n">
        <v>394652635</v>
      </c>
      <c r="B1813" s="29" t="n">
        <v>46279.8032523148</v>
      </c>
      <c r="C1813" s="2" t="s">
        <v>153</v>
      </c>
      <c r="D1813" s="2" t="s">
        <v>1856</v>
      </c>
      <c r="E1813" s="2" t="s">
        <v>1822</v>
      </c>
      <c r="F1813" s="2" t="s">
        <v>109</v>
      </c>
      <c r="G1813" s="30" t="n">
        <v>60</v>
      </c>
      <c r="H1813" s="11" t="n">
        <v>823.09</v>
      </c>
      <c r="I1813" s="11" t="s">
        <v>155</v>
      </c>
      <c r="J1813" s="11" t="n">
        <v>143.63</v>
      </c>
      <c r="K1813" s="11" t="n">
        <v>142.32</v>
      </c>
      <c r="L1813" s="11" t="n">
        <v>0.8231</v>
      </c>
      <c r="M1813" s="11" t="n">
        <v>1.6462</v>
      </c>
      <c r="N1813" s="11" t="n">
        <v>1</v>
      </c>
      <c r="O1813" s="11" t="n">
        <v>4.5</v>
      </c>
      <c r="P1813" s="11" t="n">
        <v>3.6</v>
      </c>
      <c r="Q1813" s="11" t="n">
        <v>27</v>
      </c>
      <c r="R1813" s="11" t="n">
        <f aca="false">SUM(K1813:Q1813)</f>
        <v>180.8893</v>
      </c>
      <c r="S1813" s="11" t="n">
        <f aca="false">R1813/(1-Resumo!$C$6)</f>
        <v>205.556022727273</v>
      </c>
      <c r="T1813" s="11" t="n">
        <f aca="false">S1813-J1813</f>
        <v>61.9260227272727</v>
      </c>
      <c r="U1813" s="12" t="n">
        <f aca="false">IFERROR(S1813/J1813-1,0)</f>
        <v>0.431149639540992</v>
      </c>
      <c r="V1813" s="2" t="str">
        <f aca="false">IF(S1813&lt;J1813,"SIM","NÃO")</f>
        <v>NÃO</v>
      </c>
      <c r="W1813" s="2" t="n">
        <v>10</v>
      </c>
      <c r="X1813" s="2" t="s">
        <v>161</v>
      </c>
    </row>
    <row r="1814" customFormat="false" ht="15" hidden="false" customHeight="false" outlineLevel="0" collapsed="false">
      <c r="A1814" s="2" t="n">
        <v>394686997</v>
      </c>
      <c r="B1814" s="29" t="n">
        <v>46279.8598263889</v>
      </c>
      <c r="C1814" s="2" t="s">
        <v>158</v>
      </c>
      <c r="D1814" s="2" t="s">
        <v>1857</v>
      </c>
      <c r="E1814" s="2" t="s">
        <v>78</v>
      </c>
      <c r="F1814" s="2" t="s">
        <v>106</v>
      </c>
      <c r="G1814" s="30" t="n">
        <v>27.6</v>
      </c>
      <c r="H1814" s="11" t="n">
        <v>331.25</v>
      </c>
      <c r="I1814" s="11" t="s">
        <v>155</v>
      </c>
      <c r="J1814" s="11" t="n">
        <v>81.91</v>
      </c>
      <c r="K1814" s="11" t="n">
        <v>82.21</v>
      </c>
      <c r="L1814" s="11" t="n">
        <v>0.3312</v>
      </c>
      <c r="M1814" s="11" t="n">
        <v>0.6625</v>
      </c>
      <c r="N1814" s="11" t="n">
        <v>1</v>
      </c>
      <c r="O1814" s="11" t="n">
        <v>4.5</v>
      </c>
      <c r="P1814" s="11" t="n">
        <v>1.68</v>
      </c>
      <c r="Q1814" s="11" t="n">
        <v>12.6</v>
      </c>
      <c r="R1814" s="11" t="n">
        <f aca="false">SUM(K1814:Q1814)</f>
        <v>102.9837</v>
      </c>
      <c r="S1814" s="11" t="n">
        <f aca="false">R1814/(1-Resumo!$C$6)</f>
        <v>117.026931818182</v>
      </c>
      <c r="T1814" s="11" t="n">
        <f aca="false">S1814-J1814</f>
        <v>35.1169318181818</v>
      </c>
      <c r="U1814" s="12" t="n">
        <f aca="false">IFERROR(S1814/J1814-1,0)</f>
        <v>0.428725818803343</v>
      </c>
      <c r="V1814" s="2" t="str">
        <f aca="false">IF(S1814&lt;J1814,"SIM","NÃO")</f>
        <v>NÃO</v>
      </c>
      <c r="W1814" s="2" t="n">
        <v>5</v>
      </c>
      <c r="X1814" s="2" t="s">
        <v>156</v>
      </c>
    </row>
    <row r="1815" customFormat="false" ht="15" hidden="false" customHeight="false" outlineLevel="0" collapsed="false">
      <c r="A1815" s="2" t="n">
        <v>394704443</v>
      </c>
      <c r="B1815" s="29" t="n">
        <v>46279.8917592593</v>
      </c>
      <c r="C1815" s="2" t="s">
        <v>158</v>
      </c>
      <c r="D1815" s="2" t="s">
        <v>1858</v>
      </c>
      <c r="E1815" s="2" t="s">
        <v>88</v>
      </c>
      <c r="F1815" s="2" t="s">
        <v>106</v>
      </c>
      <c r="G1815" s="30" t="n">
        <v>33.3</v>
      </c>
      <c r="H1815" s="11" t="n">
        <v>389.28</v>
      </c>
      <c r="I1815" s="11" t="s">
        <v>155</v>
      </c>
      <c r="J1815" s="11" t="n">
        <v>109.05</v>
      </c>
      <c r="K1815" s="11" t="n">
        <v>108.83</v>
      </c>
      <c r="L1815" s="11" t="n">
        <v>0.3893</v>
      </c>
      <c r="M1815" s="11" t="n">
        <v>0.7786</v>
      </c>
      <c r="N1815" s="11" t="n">
        <v>1</v>
      </c>
      <c r="O1815" s="11" t="n">
        <v>4.5</v>
      </c>
      <c r="P1815" s="11" t="n">
        <v>2.04</v>
      </c>
      <c r="Q1815" s="11" t="n">
        <v>15.3</v>
      </c>
      <c r="R1815" s="11" t="n">
        <f aca="false">SUM(K1815:Q1815)</f>
        <v>132.8379</v>
      </c>
      <c r="S1815" s="11" t="n">
        <f aca="false">R1815/(1-Resumo!$C$6)</f>
        <v>150.952159090909</v>
      </c>
      <c r="T1815" s="11" t="n">
        <f aca="false">S1815-J1815</f>
        <v>41.9021590909091</v>
      </c>
      <c r="U1815" s="12" t="n">
        <f aca="false">IFERROR(S1815/J1815-1,0)</f>
        <v>0.38424721770664</v>
      </c>
      <c r="V1815" s="2" t="str">
        <f aca="false">IF(S1815&lt;J1815,"SIM","NÃO")</f>
        <v>NÃO</v>
      </c>
      <c r="W1815" s="2" t="n">
        <v>10</v>
      </c>
      <c r="X1815" s="2" t="s">
        <v>156</v>
      </c>
    </row>
    <row r="1816" customFormat="false" ht="15" hidden="false" customHeight="false" outlineLevel="0" collapsed="false">
      <c r="A1816" s="2" t="n">
        <v>394719780</v>
      </c>
      <c r="B1816" s="29" t="n">
        <v>46279.9203703704</v>
      </c>
      <c r="C1816" s="2" t="s">
        <v>158</v>
      </c>
      <c r="D1816" s="2" t="s">
        <v>1859</v>
      </c>
      <c r="E1816" s="2" t="s">
        <v>78</v>
      </c>
      <c r="F1816" s="2" t="s">
        <v>110</v>
      </c>
      <c r="G1816" s="30" t="n">
        <v>63.9</v>
      </c>
      <c r="H1816" s="11" t="n">
        <v>776</v>
      </c>
      <c r="I1816" s="11" t="s">
        <v>155</v>
      </c>
      <c r="J1816" s="11" t="n">
        <v>124.92</v>
      </c>
      <c r="K1816" s="11" t="n">
        <v>131.02</v>
      </c>
      <c r="L1816" s="11" t="n">
        <v>0.776</v>
      </c>
      <c r="M1816" s="11" t="n">
        <v>1.552</v>
      </c>
      <c r="N1816" s="11" t="n">
        <v>1</v>
      </c>
      <c r="O1816" s="11" t="n">
        <v>4.5</v>
      </c>
      <c r="P1816" s="11" t="n">
        <v>3.84</v>
      </c>
      <c r="Q1816" s="11" t="n">
        <v>28.8</v>
      </c>
      <c r="R1816" s="11" t="n">
        <f aca="false">SUM(K1816:Q1816)</f>
        <v>171.488</v>
      </c>
      <c r="S1816" s="11" t="n">
        <f aca="false">R1816/(1-Resumo!$C$6)</f>
        <v>194.872727272727</v>
      </c>
      <c r="T1816" s="11" t="n">
        <f aca="false">S1816-J1816</f>
        <v>69.9527272727273</v>
      </c>
      <c r="U1816" s="12" t="n">
        <f aca="false">IFERROR(S1816/J1816-1,0)</f>
        <v>0.559980205513347</v>
      </c>
      <c r="V1816" s="2" t="str">
        <f aca="false">IF(S1816&lt;J1816,"SIM","NÃO")</f>
        <v>NÃO</v>
      </c>
      <c r="W1816" s="2" t="n">
        <v>5</v>
      </c>
      <c r="X1816" s="2" t="s">
        <v>156</v>
      </c>
    </row>
    <row r="1817" customFormat="false" ht="15" hidden="false" customHeight="false" outlineLevel="0" collapsed="false">
      <c r="A1817" s="2" t="n">
        <v>394743199</v>
      </c>
      <c r="B1817" s="29" t="n">
        <v>46279.9688541667</v>
      </c>
      <c r="C1817" s="2" t="s">
        <v>153</v>
      </c>
      <c r="D1817" s="2" t="s">
        <v>295</v>
      </c>
      <c r="E1817" s="2" t="s">
        <v>78</v>
      </c>
      <c r="F1817" s="2" t="s">
        <v>108</v>
      </c>
      <c r="G1817" s="30" t="n">
        <v>46.8</v>
      </c>
      <c r="H1817" s="11" t="n">
        <v>492.2</v>
      </c>
      <c r="I1817" s="11" t="s">
        <v>155</v>
      </c>
      <c r="J1817" s="11" t="n">
        <v>102.93</v>
      </c>
      <c r="K1817" s="11" t="n">
        <v>93.97</v>
      </c>
      <c r="L1817" s="11" t="n">
        <v>0.4922</v>
      </c>
      <c r="M1817" s="11" t="n">
        <v>0.9844</v>
      </c>
      <c r="N1817" s="11" t="n">
        <v>1</v>
      </c>
      <c r="O1817" s="11" t="n">
        <v>4.5</v>
      </c>
      <c r="P1817" s="11" t="n">
        <v>2.82</v>
      </c>
      <c r="Q1817" s="11" t="n">
        <v>21.15</v>
      </c>
      <c r="R1817" s="11" t="n">
        <f aca="false">SUM(K1817:Q1817)</f>
        <v>124.9166</v>
      </c>
      <c r="S1817" s="11" t="n">
        <f aca="false">R1817/(1-Resumo!$C$6)</f>
        <v>141.950681818182</v>
      </c>
      <c r="T1817" s="11" t="n">
        <f aca="false">S1817-J1817</f>
        <v>39.0206818181818</v>
      </c>
      <c r="U1817" s="12" t="n">
        <f aca="false">IFERROR(S1817/J1817-1,0)</f>
        <v>0.379099211290992</v>
      </c>
      <c r="V1817" s="2" t="str">
        <f aca="false">IF(S1817&lt;J1817,"SIM","NÃO")</f>
        <v>NÃO</v>
      </c>
      <c r="W1817" s="2" t="n">
        <v>5</v>
      </c>
      <c r="X1817" s="2" t="s">
        <v>156</v>
      </c>
    </row>
    <row r="1818" customFormat="false" ht="15" hidden="false" customHeight="false" outlineLevel="0" collapsed="false">
      <c r="A1818" s="2" t="n">
        <v>394761265</v>
      </c>
      <c r="B1818" s="29" t="n">
        <v>46280.0072106482</v>
      </c>
      <c r="C1818" s="2" t="s">
        <v>158</v>
      </c>
      <c r="D1818" s="2" t="s">
        <v>1860</v>
      </c>
      <c r="E1818" s="2" t="s">
        <v>78</v>
      </c>
      <c r="F1818" s="2" t="s">
        <v>107</v>
      </c>
      <c r="G1818" s="30" t="n">
        <v>35.3</v>
      </c>
      <c r="H1818" s="11" t="n">
        <v>458.79</v>
      </c>
      <c r="I1818" s="11" t="s">
        <v>155</v>
      </c>
      <c r="J1818" s="11" t="n">
        <v>92.06</v>
      </c>
      <c r="K1818" s="11" t="n">
        <v>93.97</v>
      </c>
      <c r="L1818" s="11" t="n">
        <v>0.4588</v>
      </c>
      <c r="M1818" s="11" t="n">
        <v>0.9176</v>
      </c>
      <c r="N1818" s="11" t="n">
        <v>1</v>
      </c>
      <c r="O1818" s="11" t="n">
        <v>4.5</v>
      </c>
      <c r="P1818" s="11" t="n">
        <v>2.16</v>
      </c>
      <c r="Q1818" s="11" t="n">
        <v>16.2</v>
      </c>
      <c r="R1818" s="11" t="n">
        <f aca="false">SUM(K1818:Q1818)</f>
        <v>119.2064</v>
      </c>
      <c r="S1818" s="11" t="n">
        <f aca="false">R1818/(1-Resumo!$C$6)</f>
        <v>135.461818181818</v>
      </c>
      <c r="T1818" s="11" t="n">
        <f aca="false">S1818-J1818</f>
        <v>43.4018181818182</v>
      </c>
      <c r="U1818" s="12" t="n">
        <f aca="false">IFERROR(S1818/J1818-1,0)</f>
        <v>0.471451424960006</v>
      </c>
      <c r="V1818" s="2" t="str">
        <f aca="false">IF(S1818&lt;J1818,"SIM","NÃO")</f>
        <v>NÃO</v>
      </c>
      <c r="W1818" s="2" t="n">
        <v>5</v>
      </c>
      <c r="X1818" s="2" t="s">
        <v>156</v>
      </c>
    </row>
    <row r="1819" customFormat="false" ht="15" hidden="false" customHeight="false" outlineLevel="0" collapsed="false">
      <c r="A1819" s="2" t="n">
        <v>394846808</v>
      </c>
      <c r="B1819" s="29" t="n">
        <v>46280.2914236111</v>
      </c>
      <c r="C1819" s="2" t="s">
        <v>153</v>
      </c>
      <c r="D1819" s="2" t="s">
        <v>1861</v>
      </c>
      <c r="E1819" s="2" t="s">
        <v>88</v>
      </c>
      <c r="F1819" s="2" t="s">
        <v>108</v>
      </c>
      <c r="G1819" s="30" t="n">
        <v>48</v>
      </c>
      <c r="H1819" s="11" t="n">
        <v>849.99</v>
      </c>
      <c r="I1819" s="11" t="s">
        <v>155</v>
      </c>
      <c r="J1819" s="11" t="n">
        <v>132.24</v>
      </c>
      <c r="K1819" s="11" t="n">
        <v>124.38</v>
      </c>
      <c r="L1819" s="11" t="n">
        <v>0.85</v>
      </c>
      <c r="M1819" s="11" t="n">
        <v>1.7</v>
      </c>
      <c r="N1819" s="11" t="n">
        <v>1</v>
      </c>
      <c r="O1819" s="11" t="n">
        <v>4.5</v>
      </c>
      <c r="P1819" s="11" t="n">
        <v>2.88</v>
      </c>
      <c r="Q1819" s="11" t="n">
        <v>21.6</v>
      </c>
      <c r="R1819" s="11" t="n">
        <f aca="false">SUM(K1819:Q1819)</f>
        <v>156.91</v>
      </c>
      <c r="S1819" s="11" t="n">
        <f aca="false">R1819/(1-Resumo!$C$6)</f>
        <v>178.306818181818</v>
      </c>
      <c r="T1819" s="11" t="n">
        <f aca="false">S1819-J1819</f>
        <v>46.0668181818182</v>
      </c>
      <c r="U1819" s="12" t="n">
        <f aca="false">IFERROR(S1819/J1819-1,0)</f>
        <v>0.348357669251499</v>
      </c>
      <c r="V1819" s="2" t="str">
        <f aca="false">IF(S1819&lt;J1819,"SIM","NÃO")</f>
        <v>NÃO</v>
      </c>
      <c r="W1819" s="2" t="n">
        <v>10</v>
      </c>
      <c r="X1819" s="2" t="s">
        <v>156</v>
      </c>
    </row>
    <row r="1820" customFormat="false" ht="15" hidden="false" customHeight="false" outlineLevel="0" collapsed="false">
      <c r="A1820" s="2" t="n">
        <v>394870816</v>
      </c>
      <c r="B1820" s="29" t="n">
        <v>46280.3565856482</v>
      </c>
      <c r="C1820" s="2" t="s">
        <v>153</v>
      </c>
      <c r="D1820" s="2" t="s">
        <v>1862</v>
      </c>
      <c r="E1820" s="2" t="s">
        <v>78</v>
      </c>
      <c r="F1820" s="2" t="s">
        <v>110</v>
      </c>
      <c r="G1820" s="30" t="n">
        <v>66.8</v>
      </c>
      <c r="H1820" s="11" t="n">
        <v>719.99</v>
      </c>
      <c r="I1820" s="11" t="s">
        <v>155</v>
      </c>
      <c r="J1820" s="11" t="n">
        <v>124.66</v>
      </c>
      <c r="K1820" s="11" t="n">
        <v>131.02</v>
      </c>
      <c r="L1820" s="11" t="n">
        <v>0.72</v>
      </c>
      <c r="M1820" s="11" t="n">
        <v>1.44</v>
      </c>
      <c r="N1820" s="11" t="n">
        <v>1</v>
      </c>
      <c r="O1820" s="11" t="n">
        <v>4.5</v>
      </c>
      <c r="P1820" s="11" t="n">
        <v>4.02</v>
      </c>
      <c r="Q1820" s="11" t="n">
        <v>30.15</v>
      </c>
      <c r="R1820" s="11" t="n">
        <f aca="false">SUM(K1820:Q1820)</f>
        <v>172.85</v>
      </c>
      <c r="S1820" s="11" t="n">
        <f aca="false">R1820/(1-Resumo!$C$6)</f>
        <v>196.420454545455</v>
      </c>
      <c r="T1820" s="11" t="n">
        <f aca="false">S1820-J1820</f>
        <v>71.7604545454546</v>
      </c>
      <c r="U1820" s="12" t="n">
        <f aca="false">IFERROR(S1820/J1820-1,0)</f>
        <v>0.575649402739087</v>
      </c>
      <c r="V1820" s="2" t="str">
        <f aca="false">IF(S1820&lt;J1820,"SIM","NÃO")</f>
        <v>NÃO</v>
      </c>
      <c r="W1820" s="2" t="n">
        <v>5</v>
      </c>
      <c r="X1820" s="2" t="s">
        <v>156</v>
      </c>
    </row>
    <row r="1821" customFormat="false" ht="15" hidden="false" customHeight="false" outlineLevel="0" collapsed="false">
      <c r="A1821" s="2" t="n">
        <v>394879355</v>
      </c>
      <c r="B1821" s="29" t="n">
        <v>46280.374224537</v>
      </c>
      <c r="C1821" s="2" t="s">
        <v>153</v>
      </c>
      <c r="D1821" s="2" t="s">
        <v>1863</v>
      </c>
      <c r="E1821" s="2" t="s">
        <v>650</v>
      </c>
      <c r="F1821" s="2" t="s">
        <v>108</v>
      </c>
      <c r="G1821" s="30" t="n">
        <v>41</v>
      </c>
      <c r="H1821" s="11" t="n">
        <v>559.99</v>
      </c>
      <c r="I1821" s="11" t="s">
        <v>155</v>
      </c>
      <c r="J1821" s="11" t="n">
        <v>130.84</v>
      </c>
      <c r="K1821" s="11" t="n">
        <v>129.29</v>
      </c>
      <c r="L1821" s="11" t="n">
        <v>0.56</v>
      </c>
      <c r="M1821" s="11" t="n">
        <v>1.12</v>
      </c>
      <c r="N1821" s="11" t="n">
        <v>1</v>
      </c>
      <c r="O1821" s="11" t="n">
        <v>4.5</v>
      </c>
      <c r="P1821" s="11" t="n">
        <v>2.46</v>
      </c>
      <c r="Q1821" s="11" t="n">
        <v>18.45</v>
      </c>
      <c r="R1821" s="11" t="n">
        <f aca="false">SUM(K1821:Q1821)</f>
        <v>157.38</v>
      </c>
      <c r="S1821" s="11" t="n">
        <f aca="false">R1821/(1-Resumo!$C$6)</f>
        <v>178.840909090909</v>
      </c>
      <c r="T1821" s="11" t="n">
        <f aca="false">S1821-J1821</f>
        <v>48.0009090909091</v>
      </c>
      <c r="U1821" s="12" t="n">
        <f aca="false">IFERROR(S1821/J1821-1,0)</f>
        <v>0.366867235485395</v>
      </c>
      <c r="V1821" s="2" t="str">
        <f aca="false">IF(S1821&lt;J1821,"SIM","NÃO")</f>
        <v>NÃO</v>
      </c>
      <c r="W1821" s="2" t="n">
        <v>10</v>
      </c>
      <c r="X1821" s="2" t="s">
        <v>161</v>
      </c>
    </row>
    <row r="1822" customFormat="false" ht="15" hidden="false" customHeight="false" outlineLevel="0" collapsed="false">
      <c r="A1822" s="2" t="n">
        <v>394911153</v>
      </c>
      <c r="B1822" s="29" t="n">
        <v>46280.438275463</v>
      </c>
      <c r="C1822" s="2" t="s">
        <v>194</v>
      </c>
      <c r="D1822" s="2" t="s">
        <v>1864</v>
      </c>
      <c r="E1822" s="2" t="s">
        <v>82</v>
      </c>
      <c r="F1822" s="2" t="s">
        <v>108</v>
      </c>
      <c r="G1822" s="30" t="n">
        <v>49.6</v>
      </c>
      <c r="H1822" s="11" t="n">
        <v>799.99</v>
      </c>
      <c r="I1822" s="11" t="s">
        <v>155</v>
      </c>
      <c r="J1822" s="11" t="n">
        <v>117.91</v>
      </c>
      <c r="K1822" s="11" t="n">
        <v>114.95</v>
      </c>
      <c r="L1822" s="11" t="n">
        <v>0.8</v>
      </c>
      <c r="M1822" s="11" t="n">
        <v>1.6</v>
      </c>
      <c r="N1822" s="11" t="n">
        <v>1</v>
      </c>
      <c r="O1822" s="11" t="n">
        <v>4.5</v>
      </c>
      <c r="P1822" s="11" t="n">
        <v>3</v>
      </c>
      <c r="Q1822" s="11" t="n">
        <v>22.5</v>
      </c>
      <c r="R1822" s="11" t="n">
        <f aca="false">SUM(K1822:Q1822)</f>
        <v>148.35</v>
      </c>
      <c r="S1822" s="11" t="n">
        <f aca="false">R1822/(1-Resumo!$C$6)</f>
        <v>168.579545454545</v>
      </c>
      <c r="T1822" s="11" t="n">
        <f aca="false">S1822-J1822</f>
        <v>50.6695454545455</v>
      </c>
      <c r="U1822" s="12" t="n">
        <f aca="false">IFERROR(S1822/J1822-1,0)</f>
        <v>0.429730688275341</v>
      </c>
      <c r="V1822" s="2" t="str">
        <f aca="false">IF(S1822&lt;J1822,"SIM","NÃO")</f>
        <v>NÃO</v>
      </c>
      <c r="W1822" s="2" t="n">
        <v>7</v>
      </c>
      <c r="X1822" s="2" t="s">
        <v>156</v>
      </c>
    </row>
    <row r="1823" customFormat="false" ht="15" hidden="false" customHeight="false" outlineLevel="0" collapsed="false">
      <c r="A1823" s="2" t="n">
        <v>394977667</v>
      </c>
      <c r="B1823" s="29" t="n">
        <v>46280.5351041667</v>
      </c>
      <c r="C1823" s="2" t="s">
        <v>153</v>
      </c>
      <c r="D1823" s="2" t="s">
        <v>1865</v>
      </c>
      <c r="E1823" s="2" t="s">
        <v>95</v>
      </c>
      <c r="F1823" s="2" t="s">
        <v>108</v>
      </c>
      <c r="G1823" s="30" t="n">
        <v>46.8</v>
      </c>
      <c r="H1823" s="11" t="n">
        <v>492.2</v>
      </c>
      <c r="I1823" s="11" t="s">
        <v>155</v>
      </c>
      <c r="J1823" s="11" t="n">
        <v>130.51</v>
      </c>
      <c r="K1823" s="11" t="n">
        <v>117.23</v>
      </c>
      <c r="L1823" s="11" t="n">
        <v>0.4922</v>
      </c>
      <c r="M1823" s="11" t="n">
        <v>0.9844</v>
      </c>
      <c r="N1823" s="11" t="n">
        <v>1</v>
      </c>
      <c r="O1823" s="11" t="n">
        <v>4.5</v>
      </c>
      <c r="P1823" s="11" t="n">
        <v>2.82</v>
      </c>
      <c r="Q1823" s="11" t="n">
        <v>21.15</v>
      </c>
      <c r="R1823" s="11" t="n">
        <f aca="false">SUM(K1823:Q1823)</f>
        <v>148.1766</v>
      </c>
      <c r="S1823" s="11" t="n">
        <f aca="false">R1823/(1-Resumo!$C$6)</f>
        <v>168.3825</v>
      </c>
      <c r="T1823" s="11" t="n">
        <f aca="false">S1823-J1823</f>
        <v>37.8725</v>
      </c>
      <c r="U1823" s="12" t="n">
        <f aca="false">IFERROR(S1823/J1823-1,0)</f>
        <v>0.290188491303349</v>
      </c>
      <c r="V1823" s="2" t="str">
        <f aca="false">IF(S1823&lt;J1823,"SIM","NÃO")</f>
        <v>NÃO</v>
      </c>
      <c r="W1823" s="2" t="n">
        <v>6</v>
      </c>
      <c r="X1823" s="2" t="s">
        <v>156</v>
      </c>
    </row>
    <row r="1824" customFormat="false" ht="15" hidden="false" customHeight="false" outlineLevel="0" collapsed="false">
      <c r="A1824" s="2" t="n">
        <v>395253310</v>
      </c>
      <c r="B1824" s="29" t="n">
        <v>46280.5671643519</v>
      </c>
      <c r="C1824" s="2" t="s">
        <v>153</v>
      </c>
      <c r="D1824" s="2" t="s">
        <v>1530</v>
      </c>
      <c r="E1824" s="2" t="s">
        <v>283</v>
      </c>
      <c r="F1824" s="2" t="s">
        <v>109</v>
      </c>
      <c r="G1824" s="30" t="n">
        <v>51.3</v>
      </c>
      <c r="H1824" s="11" t="n">
        <v>573.13</v>
      </c>
      <c r="I1824" s="11" t="s">
        <v>155</v>
      </c>
      <c r="J1824" s="11" t="n">
        <v>142.42</v>
      </c>
      <c r="K1824" s="11" t="n">
        <v>162.04</v>
      </c>
      <c r="L1824" s="11" t="n">
        <v>0.5731</v>
      </c>
      <c r="M1824" s="11" t="n">
        <v>1.1463</v>
      </c>
      <c r="N1824" s="11" t="n">
        <v>1</v>
      </c>
      <c r="O1824" s="11" t="n">
        <v>4.5</v>
      </c>
      <c r="P1824" s="11" t="n">
        <v>3.12</v>
      </c>
      <c r="Q1824" s="11" t="n">
        <v>23.4</v>
      </c>
      <c r="R1824" s="11" t="n">
        <f aca="false">SUM(K1824:Q1824)</f>
        <v>195.7794</v>
      </c>
      <c r="S1824" s="11" t="n">
        <f aca="false">R1824/(1-Resumo!$C$6)</f>
        <v>222.476590909091</v>
      </c>
      <c r="T1824" s="11" t="n">
        <f aca="false">S1824-J1824</f>
        <v>80.0565909090909</v>
      </c>
      <c r="U1824" s="12" t="n">
        <f aca="false">IFERROR(S1824/J1824-1,0)</f>
        <v>0.562116211972272</v>
      </c>
      <c r="V1824" s="2" t="str">
        <f aca="false">IF(S1824&lt;J1824,"SIM","NÃO")</f>
        <v>NÃO</v>
      </c>
      <c r="W1824" s="2" t="n">
        <v>11</v>
      </c>
      <c r="X1824" s="2" t="s">
        <v>161</v>
      </c>
    </row>
    <row r="1825" customFormat="false" ht="15" hidden="false" customHeight="false" outlineLevel="0" collapsed="false">
      <c r="A1825" s="2" t="n">
        <v>395094981</v>
      </c>
      <c r="B1825" s="29" t="n">
        <v>46280.6261342593</v>
      </c>
      <c r="C1825" s="2" t="s">
        <v>178</v>
      </c>
      <c r="D1825" s="2" t="s">
        <v>1866</v>
      </c>
      <c r="E1825" s="2" t="s">
        <v>78</v>
      </c>
      <c r="F1825" s="2" t="s">
        <v>107</v>
      </c>
      <c r="G1825" s="30" t="n">
        <v>39</v>
      </c>
      <c r="H1825" s="11" t="n">
        <v>549.99</v>
      </c>
      <c r="I1825" s="11" t="s">
        <v>155</v>
      </c>
      <c r="J1825" s="11" t="n">
        <v>92.49</v>
      </c>
      <c r="K1825" s="11" t="n">
        <v>93.97</v>
      </c>
      <c r="L1825" s="11" t="n">
        <v>0.55</v>
      </c>
      <c r="M1825" s="11" t="n">
        <v>1.1</v>
      </c>
      <c r="N1825" s="11" t="n">
        <v>1</v>
      </c>
      <c r="O1825" s="11" t="n">
        <v>4.5</v>
      </c>
      <c r="P1825" s="11" t="n">
        <v>2.34</v>
      </c>
      <c r="Q1825" s="11" t="n">
        <v>17.55</v>
      </c>
      <c r="R1825" s="11" t="n">
        <f aca="false">SUM(K1825:Q1825)</f>
        <v>121.01</v>
      </c>
      <c r="S1825" s="11" t="n">
        <f aca="false">R1825/(1-Resumo!$C$6)</f>
        <v>137.511363636364</v>
      </c>
      <c r="T1825" s="11" t="n">
        <f aca="false">S1825-J1825</f>
        <v>45.0213636363636</v>
      </c>
      <c r="U1825" s="12" t="n">
        <f aca="false">IFERROR(S1825/J1825-1,0)</f>
        <v>0.486770068508635</v>
      </c>
      <c r="V1825" s="2" t="str">
        <f aca="false">IF(S1825&lt;J1825,"SIM","NÃO")</f>
        <v>NÃO</v>
      </c>
      <c r="W1825" s="2" t="n">
        <v>5</v>
      </c>
      <c r="X1825" s="2" t="s">
        <v>156</v>
      </c>
    </row>
    <row r="1826" customFormat="false" ht="15" hidden="false" customHeight="false" outlineLevel="0" collapsed="false">
      <c r="A1826" s="2" t="n">
        <v>395053088</v>
      </c>
      <c r="B1826" s="29" t="n">
        <v>46280.6681018519</v>
      </c>
      <c r="C1826" s="2" t="s">
        <v>153</v>
      </c>
      <c r="D1826" s="2" t="s">
        <v>1867</v>
      </c>
      <c r="E1826" s="2" t="s">
        <v>78</v>
      </c>
      <c r="F1826" s="2" t="s">
        <v>107</v>
      </c>
      <c r="G1826" s="30" t="n">
        <v>37.5</v>
      </c>
      <c r="H1826" s="11" t="n">
        <v>399.99</v>
      </c>
      <c r="I1826" s="11" t="s">
        <v>155</v>
      </c>
      <c r="J1826" s="11" t="n">
        <v>91.77</v>
      </c>
      <c r="K1826" s="11" t="n">
        <v>93.97</v>
      </c>
      <c r="L1826" s="11" t="n">
        <v>0.4</v>
      </c>
      <c r="M1826" s="11" t="n">
        <v>0.8</v>
      </c>
      <c r="N1826" s="11" t="n">
        <v>1</v>
      </c>
      <c r="O1826" s="11" t="n">
        <v>4.5</v>
      </c>
      <c r="P1826" s="11" t="n">
        <v>2.28</v>
      </c>
      <c r="Q1826" s="11" t="n">
        <v>17.1</v>
      </c>
      <c r="R1826" s="11" t="n">
        <f aca="false">SUM(K1826:Q1826)</f>
        <v>120.05</v>
      </c>
      <c r="S1826" s="11" t="n">
        <f aca="false">R1826/(1-Resumo!$C$6)</f>
        <v>136.420454545455</v>
      </c>
      <c r="T1826" s="11" t="n">
        <f aca="false">S1826-J1826</f>
        <v>44.6504545454546</v>
      </c>
      <c r="U1826" s="12" t="n">
        <f aca="false">IFERROR(S1826/J1826-1,0)</f>
        <v>0.48654739615838</v>
      </c>
      <c r="V1826" s="2" t="str">
        <f aca="false">IF(S1826&lt;J1826,"SIM","NÃO")</f>
        <v>NÃO</v>
      </c>
      <c r="W1826" s="2" t="n">
        <v>5</v>
      </c>
      <c r="X1826" s="2" t="s">
        <v>156</v>
      </c>
    </row>
    <row r="1827" customFormat="false" ht="15" hidden="false" customHeight="false" outlineLevel="0" collapsed="false">
      <c r="A1827" s="2" t="n">
        <v>395074645</v>
      </c>
      <c r="B1827" s="29" t="n">
        <v>46280.7078009259</v>
      </c>
      <c r="C1827" s="2" t="s">
        <v>153</v>
      </c>
      <c r="D1827" s="2" t="s">
        <v>1868</v>
      </c>
      <c r="E1827" s="2" t="s">
        <v>78</v>
      </c>
      <c r="F1827" s="2" t="s">
        <v>105</v>
      </c>
      <c r="G1827" s="30" t="n">
        <v>15.05</v>
      </c>
      <c r="H1827" s="11" t="n">
        <v>239.99</v>
      </c>
      <c r="I1827" s="11" t="s">
        <v>155</v>
      </c>
      <c r="J1827" s="11" t="n">
        <v>64.36</v>
      </c>
      <c r="K1827" s="11" t="n">
        <v>46.98</v>
      </c>
      <c r="L1827" s="11" t="n">
        <v>0.24</v>
      </c>
      <c r="M1827" s="11" t="n">
        <v>0.48</v>
      </c>
      <c r="N1827" s="11" t="n">
        <v>1</v>
      </c>
      <c r="O1827" s="11" t="n">
        <v>4.5</v>
      </c>
      <c r="P1827" s="11" t="n">
        <v>0.96</v>
      </c>
      <c r="Q1827" s="11" t="n">
        <v>7.2</v>
      </c>
      <c r="R1827" s="11" t="n">
        <f aca="false">SUM(K1827:Q1827)</f>
        <v>61.36</v>
      </c>
      <c r="S1827" s="11" t="n">
        <f aca="false">R1827/(1-Resumo!$C$6)</f>
        <v>69.7272727272727</v>
      </c>
      <c r="T1827" s="11" t="n">
        <f aca="false">S1827-J1827</f>
        <v>5.36727272727272</v>
      </c>
      <c r="U1827" s="12" t="n">
        <f aca="false">IFERROR(S1827/J1827-1,0)</f>
        <v>0.0833945420645232</v>
      </c>
      <c r="V1827" s="2" t="str">
        <f aca="false">IF(S1827&lt;J1827,"SIM","NÃO")</f>
        <v>NÃO</v>
      </c>
      <c r="W1827" s="2" t="n">
        <v>5</v>
      </c>
      <c r="X1827" s="2" t="s">
        <v>156</v>
      </c>
    </row>
    <row r="1828" customFormat="false" ht="15" hidden="false" customHeight="false" outlineLevel="0" collapsed="false">
      <c r="A1828" s="2" t="n">
        <v>395091478</v>
      </c>
      <c r="B1828" s="29" t="n">
        <v>46280.7393055556</v>
      </c>
      <c r="C1828" s="2" t="s">
        <v>153</v>
      </c>
      <c r="D1828" s="2" t="s">
        <v>569</v>
      </c>
      <c r="E1828" s="2" t="s">
        <v>78</v>
      </c>
      <c r="F1828" s="2" t="s">
        <v>109</v>
      </c>
      <c r="G1828" s="30" t="n">
        <v>60</v>
      </c>
      <c r="H1828" s="11" t="n">
        <v>823.09</v>
      </c>
      <c r="I1828" s="11" t="s">
        <v>155</v>
      </c>
      <c r="J1828" s="11" t="n">
        <v>115.1</v>
      </c>
      <c r="K1828" s="11" t="n">
        <v>112.3</v>
      </c>
      <c r="L1828" s="11" t="n">
        <v>0.8231</v>
      </c>
      <c r="M1828" s="11" t="n">
        <v>1.6462</v>
      </c>
      <c r="N1828" s="11" t="n">
        <v>1</v>
      </c>
      <c r="O1828" s="11" t="n">
        <v>4.5</v>
      </c>
      <c r="P1828" s="11" t="n">
        <v>3.6</v>
      </c>
      <c r="Q1828" s="11" t="n">
        <v>27</v>
      </c>
      <c r="R1828" s="11" t="n">
        <f aca="false">SUM(K1828:Q1828)</f>
        <v>150.8693</v>
      </c>
      <c r="S1828" s="11" t="n">
        <f aca="false">R1828/(1-Resumo!$C$6)</f>
        <v>171.442386363636</v>
      </c>
      <c r="T1828" s="11" t="n">
        <f aca="false">S1828-J1828</f>
        <v>56.3423863636364</v>
      </c>
      <c r="U1828" s="12" t="n">
        <f aca="false">IFERROR(S1828/J1828-1,0)</f>
        <v>0.489508135218387</v>
      </c>
      <c r="V1828" s="2" t="str">
        <f aca="false">IF(S1828&lt;J1828,"SIM","NÃO")</f>
        <v>NÃO</v>
      </c>
      <c r="W1828" s="2" t="n">
        <v>5</v>
      </c>
      <c r="X1828" s="2" t="s">
        <v>156</v>
      </c>
    </row>
    <row r="1829" customFormat="false" ht="15" hidden="false" customHeight="false" outlineLevel="0" collapsed="false">
      <c r="A1829" s="2" t="n">
        <v>395124390</v>
      </c>
      <c r="B1829" s="29" t="n">
        <v>46280.7992592593</v>
      </c>
      <c r="C1829" s="2" t="s">
        <v>153</v>
      </c>
      <c r="D1829" s="2" t="s">
        <v>1869</v>
      </c>
      <c r="E1829" s="2" t="s">
        <v>78</v>
      </c>
      <c r="F1829" s="2" t="s">
        <v>105</v>
      </c>
      <c r="G1829" s="30" t="n">
        <v>19.9</v>
      </c>
      <c r="H1829" s="11" t="n">
        <v>299.99</v>
      </c>
      <c r="I1829" s="11" t="s">
        <v>205</v>
      </c>
      <c r="J1829" s="11" t="n">
        <v>69.47</v>
      </c>
      <c r="K1829" s="11" t="n">
        <v>46.98</v>
      </c>
      <c r="L1829" s="11" t="n">
        <v>0.3</v>
      </c>
      <c r="M1829" s="11" t="n">
        <v>0.6</v>
      </c>
      <c r="N1829" s="11" t="n">
        <v>1</v>
      </c>
      <c r="O1829" s="11" t="n">
        <v>4.5</v>
      </c>
      <c r="P1829" s="11" t="n">
        <v>1.2</v>
      </c>
      <c r="Q1829" s="11" t="n">
        <v>9</v>
      </c>
      <c r="R1829" s="11" t="n">
        <f aca="false">SUM(K1829:Q1829)</f>
        <v>63.58</v>
      </c>
      <c r="S1829" s="11" t="n">
        <f aca="false">R1829/(1-Resumo!$C$6)</f>
        <v>72.25</v>
      </c>
      <c r="T1829" s="11" t="n">
        <f aca="false">S1829-J1829</f>
        <v>2.78</v>
      </c>
      <c r="U1829" s="12" t="n">
        <f aca="false">IFERROR(S1829/J1829-1,0)</f>
        <v>0.0400172736432993</v>
      </c>
      <c r="V1829" s="2" t="str">
        <f aca="false">IF(S1829&lt;J1829,"SIM","NÃO")</f>
        <v>NÃO</v>
      </c>
      <c r="W1829" s="2" t="n">
        <v>5</v>
      </c>
      <c r="X1829" s="2" t="s">
        <v>156</v>
      </c>
    </row>
    <row r="1830" customFormat="false" ht="15" hidden="false" customHeight="false" outlineLevel="0" collapsed="false">
      <c r="A1830" s="2" t="n">
        <v>395281913</v>
      </c>
      <c r="B1830" s="29" t="n">
        <v>46280.819525463</v>
      </c>
      <c r="C1830" s="2" t="s">
        <v>158</v>
      </c>
      <c r="D1830" s="2" t="s">
        <v>1870</v>
      </c>
      <c r="E1830" s="2" t="s">
        <v>260</v>
      </c>
      <c r="F1830" s="2" t="s">
        <v>110</v>
      </c>
      <c r="G1830" s="30" t="n">
        <v>67.3</v>
      </c>
      <c r="H1830" s="11" t="n">
        <v>716</v>
      </c>
      <c r="I1830" s="11" t="s">
        <v>155</v>
      </c>
      <c r="J1830" s="11" t="n">
        <v>155.44</v>
      </c>
      <c r="K1830" s="11" t="n">
        <v>166.05</v>
      </c>
      <c r="L1830" s="11" t="n">
        <v>0.716</v>
      </c>
      <c r="M1830" s="11" t="n">
        <v>1.432</v>
      </c>
      <c r="N1830" s="11" t="n">
        <v>1</v>
      </c>
      <c r="O1830" s="11" t="n">
        <v>4.5</v>
      </c>
      <c r="P1830" s="11" t="n">
        <v>4.08</v>
      </c>
      <c r="Q1830" s="11" t="n">
        <v>30.6</v>
      </c>
      <c r="R1830" s="11" t="n">
        <f aca="false">SUM(K1830:Q1830)</f>
        <v>208.378</v>
      </c>
      <c r="S1830" s="11" t="n">
        <f aca="false">R1830/(1-Resumo!$C$6)</f>
        <v>236.793181818182</v>
      </c>
      <c r="T1830" s="11" t="n">
        <f aca="false">S1830-J1830</f>
        <v>81.3531818181818</v>
      </c>
      <c r="U1830" s="12" t="n">
        <f aca="false">IFERROR(S1830/J1830-1,0)</f>
        <v>0.523373532026389</v>
      </c>
      <c r="V1830" s="2" t="str">
        <f aca="false">IF(S1830&lt;J1830,"SIM","NÃO")</f>
        <v>NÃO</v>
      </c>
      <c r="W1830" s="2" t="n">
        <v>10</v>
      </c>
      <c r="X1830" s="2" t="s">
        <v>161</v>
      </c>
    </row>
    <row r="1831" customFormat="false" ht="15" hidden="false" customHeight="false" outlineLevel="0" collapsed="false">
      <c r="A1831" s="2" t="n">
        <v>395136429</v>
      </c>
      <c r="B1831" s="29" t="n">
        <v>46280.820462963</v>
      </c>
      <c r="C1831" s="2" t="s">
        <v>158</v>
      </c>
      <c r="D1831" s="2" t="s">
        <v>1871</v>
      </c>
      <c r="E1831" s="2" t="s">
        <v>78</v>
      </c>
      <c r="F1831" s="2" t="s">
        <v>106</v>
      </c>
      <c r="G1831" s="30" t="n">
        <v>27.5</v>
      </c>
      <c r="H1831" s="11" t="n">
        <v>359.95</v>
      </c>
      <c r="I1831" s="11" t="s">
        <v>155</v>
      </c>
      <c r="J1831" s="11" t="n">
        <v>82.05</v>
      </c>
      <c r="K1831" s="11" t="n">
        <v>82.21</v>
      </c>
      <c r="L1831" s="11" t="n">
        <v>0.36</v>
      </c>
      <c r="M1831" s="11" t="n">
        <v>0.7199</v>
      </c>
      <c r="N1831" s="11" t="n">
        <v>1</v>
      </c>
      <c r="O1831" s="11" t="n">
        <v>4.5</v>
      </c>
      <c r="P1831" s="11" t="n">
        <v>1.68</v>
      </c>
      <c r="Q1831" s="11" t="n">
        <v>12.6</v>
      </c>
      <c r="R1831" s="11" t="n">
        <f aca="false">SUM(K1831:Q1831)</f>
        <v>103.0699</v>
      </c>
      <c r="S1831" s="11" t="n">
        <f aca="false">R1831/(1-Resumo!$C$6)</f>
        <v>117.124886363636</v>
      </c>
      <c r="T1831" s="11" t="n">
        <f aca="false">S1831-J1831</f>
        <v>35.0748863636364</v>
      </c>
      <c r="U1831" s="12" t="n">
        <f aca="false">IFERROR(S1831/J1831-1,0)</f>
        <v>0.427481856960833</v>
      </c>
      <c r="V1831" s="2" t="str">
        <f aca="false">IF(S1831&lt;J1831,"SIM","NÃO")</f>
        <v>NÃO</v>
      </c>
      <c r="W1831" s="2" t="n">
        <v>5</v>
      </c>
      <c r="X1831" s="2" t="s">
        <v>156</v>
      </c>
    </row>
    <row r="1832" customFormat="false" ht="15" hidden="false" customHeight="false" outlineLevel="0" collapsed="false">
      <c r="A1832" s="2" t="n">
        <v>395138690</v>
      </c>
      <c r="B1832" s="29" t="n">
        <v>46280.8246064815</v>
      </c>
      <c r="C1832" s="2" t="s">
        <v>153</v>
      </c>
      <c r="D1832" s="2" t="s">
        <v>1872</v>
      </c>
      <c r="E1832" s="2" t="s">
        <v>78</v>
      </c>
      <c r="F1832" s="2" t="s">
        <v>106</v>
      </c>
      <c r="G1832" s="30" t="n">
        <v>22.57</v>
      </c>
      <c r="H1832" s="11" t="n">
        <v>299.96</v>
      </c>
      <c r="I1832" s="11" t="s">
        <v>155</v>
      </c>
      <c r="J1832" s="11" t="n">
        <v>81.76</v>
      </c>
      <c r="K1832" s="11" t="n">
        <v>82.21</v>
      </c>
      <c r="L1832" s="11" t="n">
        <v>0.3</v>
      </c>
      <c r="M1832" s="11" t="n">
        <v>0.5999</v>
      </c>
      <c r="N1832" s="11" t="n">
        <v>1</v>
      </c>
      <c r="O1832" s="11" t="n">
        <v>4.5</v>
      </c>
      <c r="P1832" s="11" t="n">
        <v>1.38</v>
      </c>
      <c r="Q1832" s="11" t="n">
        <v>10.35</v>
      </c>
      <c r="R1832" s="11" t="n">
        <f aca="false">SUM(K1832:Q1832)</f>
        <v>100.3399</v>
      </c>
      <c r="S1832" s="11" t="n">
        <f aca="false">R1832/(1-Resumo!$C$6)</f>
        <v>114.022613636364</v>
      </c>
      <c r="T1832" s="11" t="n">
        <f aca="false">S1832-J1832</f>
        <v>32.2626136363636</v>
      </c>
      <c r="U1832" s="12" t="n">
        <f aca="false">IFERROR(S1832/J1832-1,0)</f>
        <v>0.394601438800925</v>
      </c>
      <c r="V1832" s="2" t="str">
        <f aca="false">IF(S1832&lt;J1832,"SIM","NÃO")</f>
        <v>NÃO</v>
      </c>
      <c r="W1832" s="2" t="n">
        <v>5</v>
      </c>
      <c r="X1832" s="2" t="s">
        <v>156</v>
      </c>
    </row>
    <row r="1833" customFormat="false" ht="15" hidden="false" customHeight="false" outlineLevel="0" collapsed="false">
      <c r="A1833" s="2" t="n">
        <v>395139149</v>
      </c>
      <c r="B1833" s="29" t="n">
        <v>46280.8255671296</v>
      </c>
      <c r="C1833" s="2" t="s">
        <v>153</v>
      </c>
      <c r="D1833" s="2" t="s">
        <v>1873</v>
      </c>
      <c r="E1833" s="2" t="s">
        <v>92</v>
      </c>
      <c r="F1833" s="2" t="s">
        <v>108</v>
      </c>
      <c r="G1833" s="30" t="n">
        <v>48.3</v>
      </c>
      <c r="H1833" s="11" t="n">
        <v>449.65</v>
      </c>
      <c r="I1833" s="11" t="s">
        <v>155</v>
      </c>
      <c r="J1833" s="11" t="n">
        <v>130.32</v>
      </c>
      <c r="K1833" s="11" t="n">
        <v>129.29</v>
      </c>
      <c r="L1833" s="11" t="n">
        <v>0.4496</v>
      </c>
      <c r="M1833" s="11" t="n">
        <v>0.8993</v>
      </c>
      <c r="N1833" s="11" t="n">
        <v>1</v>
      </c>
      <c r="O1833" s="11" t="n">
        <v>4.5</v>
      </c>
      <c r="P1833" s="11" t="n">
        <v>2.94</v>
      </c>
      <c r="Q1833" s="11" t="n">
        <v>22.05</v>
      </c>
      <c r="R1833" s="11" t="n">
        <f aca="false">SUM(K1833:Q1833)</f>
        <v>161.1289</v>
      </c>
      <c r="S1833" s="11" t="n">
        <f aca="false">R1833/(1-Resumo!$C$6)</f>
        <v>183.101022727273</v>
      </c>
      <c r="T1833" s="11" t="n">
        <f aca="false">S1833-J1833</f>
        <v>52.7810227272728</v>
      </c>
      <c r="U1833" s="12" t="n">
        <f aca="false">IFERROR(S1833/J1833-1,0)</f>
        <v>0.405010917182879</v>
      </c>
      <c r="V1833" s="2" t="str">
        <f aca="false">IF(S1833&lt;J1833,"SIM","NÃO")</f>
        <v>NÃO</v>
      </c>
      <c r="W1833" s="2" t="n">
        <v>10</v>
      </c>
      <c r="X1833" s="2" t="s">
        <v>156</v>
      </c>
    </row>
    <row r="1834" customFormat="false" ht="15" hidden="false" customHeight="false" outlineLevel="0" collapsed="false">
      <c r="A1834" s="2" t="n">
        <v>395155065</v>
      </c>
      <c r="B1834" s="29" t="n">
        <v>46280.8543518519</v>
      </c>
      <c r="C1834" s="2" t="s">
        <v>153</v>
      </c>
      <c r="D1834" s="2" t="s">
        <v>1874</v>
      </c>
      <c r="E1834" s="2" t="s">
        <v>82</v>
      </c>
      <c r="F1834" s="2" t="s">
        <v>107</v>
      </c>
      <c r="G1834" s="30" t="n">
        <v>36.8</v>
      </c>
      <c r="H1834" s="11" t="n">
        <v>479.99</v>
      </c>
      <c r="I1834" s="11" t="s">
        <v>155</v>
      </c>
      <c r="J1834" s="11" t="n">
        <v>113.26</v>
      </c>
      <c r="K1834" s="11" t="n">
        <v>114.95</v>
      </c>
      <c r="L1834" s="11" t="n">
        <v>0.48</v>
      </c>
      <c r="M1834" s="11" t="n">
        <v>0.96</v>
      </c>
      <c r="N1834" s="11" t="n">
        <v>1</v>
      </c>
      <c r="O1834" s="11" t="n">
        <v>4.5</v>
      </c>
      <c r="P1834" s="11" t="n">
        <v>2.22</v>
      </c>
      <c r="Q1834" s="11" t="n">
        <v>16.65</v>
      </c>
      <c r="R1834" s="11" t="n">
        <f aca="false">SUM(K1834:Q1834)</f>
        <v>140.76</v>
      </c>
      <c r="S1834" s="11" t="n">
        <f aca="false">R1834/(1-Resumo!$C$6)</f>
        <v>159.954545454545</v>
      </c>
      <c r="T1834" s="11" t="n">
        <f aca="false">S1834-J1834</f>
        <v>46.6945454545454</v>
      </c>
      <c r="U1834" s="12" t="n">
        <f aca="false">IFERROR(S1834/J1834-1,0)</f>
        <v>0.412277462957315</v>
      </c>
      <c r="V1834" s="2" t="str">
        <f aca="false">IF(S1834&lt;J1834,"SIM","NÃO")</f>
        <v>NÃO</v>
      </c>
      <c r="W1834" s="2" t="n">
        <v>7</v>
      </c>
      <c r="X1834" s="2" t="s">
        <v>156</v>
      </c>
    </row>
    <row r="1835" customFormat="false" ht="15" hidden="false" customHeight="false" outlineLevel="0" collapsed="false">
      <c r="A1835" s="2" t="n">
        <v>395164014</v>
      </c>
      <c r="B1835" s="29" t="n">
        <v>46280.8715162037</v>
      </c>
      <c r="C1835" s="2" t="s">
        <v>191</v>
      </c>
      <c r="D1835" s="2" t="s">
        <v>1875</v>
      </c>
      <c r="E1835" s="2" t="s">
        <v>81</v>
      </c>
      <c r="F1835" s="2" t="s">
        <v>110</v>
      </c>
      <c r="G1835" s="30" t="n">
        <v>67.3</v>
      </c>
      <c r="H1835" s="11" t="n">
        <v>819.99</v>
      </c>
      <c r="I1835" s="11" t="s">
        <v>155</v>
      </c>
      <c r="J1835" s="11" t="n">
        <v>140.36</v>
      </c>
      <c r="K1835" s="11" t="n">
        <v>131.02</v>
      </c>
      <c r="L1835" s="11" t="n">
        <v>0.82</v>
      </c>
      <c r="M1835" s="11" t="n">
        <v>1.64</v>
      </c>
      <c r="N1835" s="11" t="n">
        <v>1</v>
      </c>
      <c r="O1835" s="11" t="n">
        <v>4.5</v>
      </c>
      <c r="P1835" s="11" t="n">
        <v>4.08</v>
      </c>
      <c r="Q1835" s="11" t="n">
        <v>30.6</v>
      </c>
      <c r="R1835" s="11" t="n">
        <f aca="false">SUM(K1835:Q1835)</f>
        <v>173.66</v>
      </c>
      <c r="S1835" s="11" t="n">
        <f aca="false">R1835/(1-Resumo!$C$6)</f>
        <v>197.340909090909</v>
      </c>
      <c r="T1835" s="11" t="n">
        <f aca="false">S1835-J1835</f>
        <v>56.9809090909091</v>
      </c>
      <c r="U1835" s="12" t="n">
        <f aca="false">IFERROR(S1835/J1835-1,0)</f>
        <v>0.405962589704396</v>
      </c>
      <c r="V1835" s="2" t="str">
        <f aca="false">IF(S1835&lt;J1835,"SIM","NÃO")</f>
        <v>NÃO</v>
      </c>
      <c r="W1835" s="2" t="n">
        <v>5</v>
      </c>
      <c r="X1835" s="2" t="s">
        <v>156</v>
      </c>
    </row>
    <row r="1836" customFormat="false" ht="15" hidden="false" customHeight="false" outlineLevel="0" collapsed="false">
      <c r="A1836" s="2" t="n">
        <v>395167733</v>
      </c>
      <c r="B1836" s="29" t="n">
        <v>46280.8757523148</v>
      </c>
      <c r="C1836" s="2" t="s">
        <v>153</v>
      </c>
      <c r="D1836" s="2" t="s">
        <v>1876</v>
      </c>
      <c r="E1836" s="2" t="s">
        <v>219</v>
      </c>
      <c r="F1836" s="2" t="s">
        <v>107</v>
      </c>
      <c r="G1836" s="30" t="n">
        <v>39</v>
      </c>
      <c r="H1836" s="11" t="n">
        <v>539.99</v>
      </c>
      <c r="I1836" s="11" t="s">
        <v>155</v>
      </c>
      <c r="J1836" s="11" t="n">
        <v>122.84</v>
      </c>
      <c r="K1836" s="11" t="n">
        <v>124.38</v>
      </c>
      <c r="L1836" s="11" t="n">
        <v>0.54</v>
      </c>
      <c r="M1836" s="11" t="n">
        <v>1.08</v>
      </c>
      <c r="N1836" s="11" t="n">
        <v>1</v>
      </c>
      <c r="O1836" s="11" t="n">
        <v>4.5</v>
      </c>
      <c r="P1836" s="11" t="n">
        <v>2.34</v>
      </c>
      <c r="Q1836" s="11" t="n">
        <v>17.55</v>
      </c>
      <c r="R1836" s="11" t="n">
        <f aca="false">SUM(K1836:Q1836)</f>
        <v>151.39</v>
      </c>
      <c r="S1836" s="11" t="n">
        <f aca="false">R1836/(1-Resumo!$C$6)</f>
        <v>172.034090909091</v>
      </c>
      <c r="T1836" s="11" t="n">
        <f aca="false">S1836-J1836</f>
        <v>49.1940909090909</v>
      </c>
      <c r="U1836" s="12" t="n">
        <f aca="false">IFERROR(S1836/J1836-1,0)</f>
        <v>0.400472898966875</v>
      </c>
      <c r="V1836" s="2" t="str">
        <f aca="false">IF(S1836&lt;J1836,"SIM","NÃO")</f>
        <v>NÃO</v>
      </c>
      <c r="W1836" s="2" t="n">
        <v>10</v>
      </c>
      <c r="X1836" s="2" t="s">
        <v>161</v>
      </c>
    </row>
    <row r="1837" customFormat="false" ht="15" hidden="false" customHeight="false" outlineLevel="0" collapsed="false">
      <c r="A1837" s="2" t="n">
        <v>395171437</v>
      </c>
      <c r="B1837" s="29" t="n">
        <v>46280.881724537</v>
      </c>
      <c r="C1837" s="2" t="s">
        <v>153</v>
      </c>
      <c r="D1837" s="2" t="s">
        <v>1877</v>
      </c>
      <c r="E1837" s="2" t="s">
        <v>255</v>
      </c>
      <c r="F1837" s="2" t="s">
        <v>109</v>
      </c>
      <c r="G1837" s="30" t="n">
        <v>52.3</v>
      </c>
      <c r="H1837" s="11" t="n">
        <v>614.63</v>
      </c>
      <c r="I1837" s="11" t="s">
        <v>155</v>
      </c>
      <c r="J1837" s="11" t="n">
        <v>142.61</v>
      </c>
      <c r="K1837" s="11" t="n">
        <v>142.32</v>
      </c>
      <c r="L1837" s="11" t="n">
        <v>0.6146</v>
      </c>
      <c r="M1837" s="11" t="n">
        <v>1.2293</v>
      </c>
      <c r="N1837" s="11" t="n">
        <v>1</v>
      </c>
      <c r="O1837" s="11" t="n">
        <v>4.5</v>
      </c>
      <c r="P1837" s="11" t="n">
        <v>3.18</v>
      </c>
      <c r="Q1837" s="11" t="n">
        <v>23.85</v>
      </c>
      <c r="R1837" s="11" t="n">
        <f aca="false">SUM(K1837:Q1837)</f>
        <v>176.6939</v>
      </c>
      <c r="S1837" s="11" t="n">
        <f aca="false">R1837/(1-Resumo!$C$6)</f>
        <v>200.788522727273</v>
      </c>
      <c r="T1837" s="11" t="n">
        <f aca="false">S1837-J1837</f>
        <v>58.1785227272727</v>
      </c>
      <c r="U1837" s="12" t="n">
        <f aca="false">IFERROR(S1837/J1837-1,0)</f>
        <v>0.407955421970919</v>
      </c>
      <c r="V1837" s="2" t="str">
        <f aca="false">IF(S1837&lt;J1837,"SIM","NÃO")</f>
        <v>NÃO</v>
      </c>
      <c r="W1837" s="2" t="n">
        <v>10</v>
      </c>
      <c r="X1837" s="2" t="s">
        <v>161</v>
      </c>
    </row>
    <row r="1838" customFormat="false" ht="15" hidden="false" customHeight="false" outlineLevel="0" collapsed="false">
      <c r="A1838" s="2" t="n">
        <v>395195446</v>
      </c>
      <c r="B1838" s="29" t="n">
        <v>46280.9246875</v>
      </c>
      <c r="C1838" s="2" t="s">
        <v>153</v>
      </c>
      <c r="D1838" s="2" t="s">
        <v>1878</v>
      </c>
      <c r="E1838" s="2" t="s">
        <v>78</v>
      </c>
      <c r="F1838" s="2" t="s">
        <v>106</v>
      </c>
      <c r="G1838" s="30" t="n">
        <v>33</v>
      </c>
      <c r="H1838" s="11" t="n">
        <v>344.13</v>
      </c>
      <c r="I1838" s="11" t="s">
        <v>155</v>
      </c>
      <c r="J1838" s="11" t="n">
        <v>81.98</v>
      </c>
      <c r="K1838" s="11" t="n">
        <v>82.21</v>
      </c>
      <c r="L1838" s="11" t="n">
        <v>0.3441</v>
      </c>
      <c r="M1838" s="11" t="n">
        <v>0.6883</v>
      </c>
      <c r="N1838" s="11" t="n">
        <v>1</v>
      </c>
      <c r="O1838" s="11" t="n">
        <v>4.5</v>
      </c>
      <c r="P1838" s="11" t="n">
        <v>1.98</v>
      </c>
      <c r="Q1838" s="11" t="n">
        <v>14.85</v>
      </c>
      <c r="R1838" s="11" t="n">
        <f aca="false">SUM(K1838:Q1838)</f>
        <v>105.5724</v>
      </c>
      <c r="S1838" s="11" t="n">
        <f aca="false">R1838/(1-Resumo!$C$6)</f>
        <v>119.968636363636</v>
      </c>
      <c r="T1838" s="11" t="n">
        <f aca="false">S1838-J1838</f>
        <v>37.9886363636363</v>
      </c>
      <c r="U1838" s="12" t="n">
        <f aca="false">IFERROR(S1838/J1838-1,0)</f>
        <v>0.463389074940673</v>
      </c>
      <c r="V1838" s="2" t="str">
        <f aca="false">IF(S1838&lt;J1838,"SIM","NÃO")</f>
        <v>NÃO</v>
      </c>
      <c r="W1838" s="2" t="n">
        <v>5</v>
      </c>
      <c r="X1838" s="2" t="s">
        <v>156</v>
      </c>
    </row>
    <row r="1839" customFormat="false" ht="15" hidden="false" customHeight="false" outlineLevel="0" collapsed="false">
      <c r="A1839" s="2" t="n">
        <v>395194834</v>
      </c>
      <c r="B1839" s="29" t="n">
        <v>46280.9266782407</v>
      </c>
      <c r="C1839" s="2" t="s">
        <v>191</v>
      </c>
      <c r="D1839" s="2" t="s">
        <v>1879</v>
      </c>
      <c r="E1839" s="2" t="s">
        <v>188</v>
      </c>
      <c r="F1839" s="2" t="s">
        <v>110</v>
      </c>
      <c r="G1839" s="30" t="n">
        <v>68.1</v>
      </c>
      <c r="H1839" s="11" t="n">
        <v>746.99</v>
      </c>
      <c r="I1839" s="11" t="s">
        <v>155</v>
      </c>
      <c r="J1839" s="11" t="n">
        <v>155.59</v>
      </c>
      <c r="K1839" s="11" t="n">
        <v>166.05</v>
      </c>
      <c r="L1839" s="11" t="n">
        <v>0.747</v>
      </c>
      <c r="M1839" s="11" t="n">
        <v>1.494</v>
      </c>
      <c r="N1839" s="11" t="n">
        <v>1</v>
      </c>
      <c r="O1839" s="11" t="n">
        <v>4.5</v>
      </c>
      <c r="P1839" s="11" t="n">
        <v>4.14</v>
      </c>
      <c r="Q1839" s="11" t="n">
        <v>31.05</v>
      </c>
      <c r="R1839" s="11" t="n">
        <f aca="false">SUM(K1839:Q1839)</f>
        <v>208.981</v>
      </c>
      <c r="S1839" s="11" t="n">
        <f aca="false">R1839/(1-Resumo!$C$6)</f>
        <v>237.478409090909</v>
      </c>
      <c r="T1839" s="11" t="n">
        <f aca="false">S1839-J1839</f>
        <v>81.8884090909091</v>
      </c>
      <c r="U1839" s="12" t="n">
        <f aca="false">IFERROR(S1839/J1839-1,0)</f>
        <v>0.526308947174684</v>
      </c>
      <c r="V1839" s="2" t="str">
        <f aca="false">IF(S1839&lt;J1839,"SIM","NÃO")</f>
        <v>NÃO</v>
      </c>
      <c r="W1839" s="2" t="n">
        <v>10</v>
      </c>
      <c r="X1839" s="2" t="s">
        <v>161</v>
      </c>
    </row>
    <row r="1840" customFormat="false" ht="15" hidden="false" customHeight="false" outlineLevel="0" collapsed="false">
      <c r="A1840" s="2" t="n">
        <v>395197756</v>
      </c>
      <c r="B1840" s="29" t="n">
        <v>46280.9293055556</v>
      </c>
      <c r="C1840" s="2" t="s">
        <v>153</v>
      </c>
      <c r="D1840" s="2" t="s">
        <v>1880</v>
      </c>
      <c r="E1840" s="2" t="s">
        <v>79</v>
      </c>
      <c r="F1840" s="2" t="s">
        <v>111</v>
      </c>
      <c r="G1840" s="30" t="n">
        <v>73</v>
      </c>
      <c r="H1840" s="11" t="n">
        <v>782.92</v>
      </c>
      <c r="I1840" s="11" t="s">
        <v>155</v>
      </c>
      <c r="J1840" s="11" t="n">
        <v>151.76</v>
      </c>
      <c r="K1840" s="11" t="n">
        <v>142.74</v>
      </c>
      <c r="L1840" s="11" t="n">
        <v>0.7829</v>
      </c>
      <c r="M1840" s="11" t="n">
        <v>1.5658</v>
      </c>
      <c r="N1840" s="11" t="n">
        <v>1</v>
      </c>
      <c r="O1840" s="11" t="n">
        <v>4.5</v>
      </c>
      <c r="P1840" s="11" t="n">
        <v>4.38</v>
      </c>
      <c r="Q1840" s="11" t="n">
        <v>32.85</v>
      </c>
      <c r="R1840" s="11" t="n">
        <f aca="false">SUM(K1840:Q1840)</f>
        <v>187.8187</v>
      </c>
      <c r="S1840" s="11" t="n">
        <f aca="false">R1840/(1-Resumo!$C$6)</f>
        <v>213.430340909091</v>
      </c>
      <c r="T1840" s="11" t="n">
        <f aca="false">S1840-J1840</f>
        <v>61.6703409090909</v>
      </c>
      <c r="U1840" s="12" t="n">
        <f aca="false">IFERROR(S1840/J1840-1,0)</f>
        <v>0.406367560023003</v>
      </c>
      <c r="V1840" s="2" t="str">
        <f aca="false">IF(S1840&lt;J1840,"SIM","NÃO")</f>
        <v>NÃO</v>
      </c>
      <c r="W1840" s="2" t="n">
        <v>7</v>
      </c>
      <c r="X1840" s="2" t="s">
        <v>156</v>
      </c>
    </row>
    <row r="1841" customFormat="false" ht="15" hidden="false" customHeight="false" outlineLevel="0" collapsed="false">
      <c r="A1841" s="2" t="n">
        <v>395333144</v>
      </c>
      <c r="B1841" s="29" t="n">
        <v>46281.3265856481</v>
      </c>
      <c r="C1841" s="2" t="s">
        <v>153</v>
      </c>
      <c r="D1841" s="2" t="s">
        <v>1881</v>
      </c>
      <c r="E1841" s="2" t="s">
        <v>412</v>
      </c>
      <c r="F1841" s="2" t="s">
        <v>113</v>
      </c>
      <c r="G1841" s="30" t="n">
        <v>106.5</v>
      </c>
      <c r="H1841" s="11" t="n">
        <v>1229.99</v>
      </c>
      <c r="I1841" s="11" t="s">
        <v>155</v>
      </c>
      <c r="J1841" s="11" t="n">
        <v>216.55</v>
      </c>
      <c r="K1841" s="11" t="n">
        <v>236.82</v>
      </c>
      <c r="L1841" s="11" t="n">
        <v>1.23</v>
      </c>
      <c r="M1841" s="11" t="n">
        <v>2.46</v>
      </c>
      <c r="N1841" s="11" t="n">
        <v>1</v>
      </c>
      <c r="O1841" s="11" t="n">
        <v>9</v>
      </c>
      <c r="P1841" s="11" t="n">
        <v>6.42</v>
      </c>
      <c r="Q1841" s="11" t="n">
        <v>48.15</v>
      </c>
      <c r="R1841" s="11" t="n">
        <f aca="false">SUM(K1841:Q1841)</f>
        <v>305.08</v>
      </c>
      <c r="S1841" s="11" t="n">
        <f aca="false">R1841/(1-Resumo!$C$6)</f>
        <v>346.681818181818</v>
      </c>
      <c r="T1841" s="11" t="n">
        <f aca="false">S1841-J1841</f>
        <v>130.131818181818</v>
      </c>
      <c r="U1841" s="12" t="n">
        <f aca="false">IFERROR(S1841/J1841-1,0)</f>
        <v>0.600931970361663</v>
      </c>
      <c r="V1841" s="2" t="str">
        <f aca="false">IF(S1841&lt;J1841,"SIM","NÃO")</f>
        <v>NÃO</v>
      </c>
      <c r="W1841" s="2" t="n">
        <v>10</v>
      </c>
      <c r="X1841" s="2" t="s">
        <v>161</v>
      </c>
    </row>
    <row r="1842" customFormat="false" ht="15" hidden="false" customHeight="false" outlineLevel="0" collapsed="false">
      <c r="A1842" s="2" t="n">
        <v>395347654</v>
      </c>
      <c r="B1842" s="29" t="n">
        <v>46281.3599421296</v>
      </c>
      <c r="C1842" s="2" t="s">
        <v>158</v>
      </c>
      <c r="D1842" s="2" t="s">
        <v>1882</v>
      </c>
      <c r="E1842" s="2" t="s">
        <v>813</v>
      </c>
      <c r="F1842" s="2" t="s">
        <v>110</v>
      </c>
      <c r="G1842" s="30" t="n">
        <v>69</v>
      </c>
      <c r="H1842" s="11" t="n">
        <v>772.43</v>
      </c>
      <c r="I1842" s="11" t="s">
        <v>155</v>
      </c>
      <c r="J1842" s="11" t="n">
        <v>155.7</v>
      </c>
      <c r="K1842" s="11" t="n">
        <v>166.05</v>
      </c>
      <c r="L1842" s="11" t="n">
        <v>0.7724</v>
      </c>
      <c r="M1842" s="11" t="n">
        <v>1.5449</v>
      </c>
      <c r="N1842" s="11" t="n">
        <v>1</v>
      </c>
      <c r="O1842" s="11" t="n">
        <v>4.5</v>
      </c>
      <c r="P1842" s="11" t="n">
        <v>4.14</v>
      </c>
      <c r="Q1842" s="11" t="n">
        <v>31.05</v>
      </c>
      <c r="R1842" s="11" t="n">
        <f aca="false">SUM(K1842:Q1842)</f>
        <v>209.0573</v>
      </c>
      <c r="S1842" s="11" t="n">
        <f aca="false">R1842/(1-Resumo!$C$6)</f>
        <v>237.565113636364</v>
      </c>
      <c r="T1842" s="11" t="n">
        <f aca="false">S1842-J1842</f>
        <v>81.8651136363637</v>
      </c>
      <c r="U1842" s="12" t="n">
        <f aca="false">IFERROR(S1842/J1842-1,0)</f>
        <v>0.525787499270159</v>
      </c>
      <c r="V1842" s="2" t="str">
        <f aca="false">IF(S1842&lt;J1842,"SIM","NÃO")</f>
        <v>NÃO</v>
      </c>
      <c r="W1842" s="2" t="n">
        <v>10</v>
      </c>
      <c r="X1842" s="2" t="s">
        <v>161</v>
      </c>
    </row>
    <row r="1843" customFormat="false" ht="15" hidden="false" customHeight="false" outlineLevel="0" collapsed="false">
      <c r="A1843" s="2" t="n">
        <v>395441522</v>
      </c>
      <c r="B1843" s="29" t="n">
        <v>46281.4181481482</v>
      </c>
      <c r="C1843" s="2" t="s">
        <v>178</v>
      </c>
      <c r="D1843" s="2" t="s">
        <v>1690</v>
      </c>
      <c r="E1843" s="2" t="s">
        <v>1691</v>
      </c>
      <c r="F1843" s="2" t="s">
        <v>111</v>
      </c>
      <c r="G1843" s="30" t="n">
        <v>72.7</v>
      </c>
      <c r="H1843" s="11" t="n">
        <v>849.99</v>
      </c>
      <c r="I1843" s="11" t="s">
        <v>155</v>
      </c>
      <c r="J1843" s="11" t="n">
        <v>168.4</v>
      </c>
      <c r="K1843" s="11" t="n">
        <v>181.04</v>
      </c>
      <c r="L1843" s="11" t="n">
        <v>0.85</v>
      </c>
      <c r="M1843" s="11" t="n">
        <v>1.7</v>
      </c>
      <c r="N1843" s="11" t="n">
        <v>1</v>
      </c>
      <c r="O1843" s="11" t="n">
        <v>4.5</v>
      </c>
      <c r="P1843" s="11" t="n">
        <v>4.38</v>
      </c>
      <c r="Q1843" s="11" t="n">
        <v>32.85</v>
      </c>
      <c r="R1843" s="11" t="n">
        <f aca="false">SUM(K1843:Q1843)</f>
        <v>226.32</v>
      </c>
      <c r="S1843" s="11" t="n">
        <f aca="false">R1843/(1-Resumo!$C$6)</f>
        <v>257.181818181818</v>
      </c>
      <c r="T1843" s="11" t="n">
        <f aca="false">S1843-J1843</f>
        <v>88.7818181818182</v>
      </c>
      <c r="U1843" s="12" t="n">
        <f aca="false">IFERROR(S1843/J1843-1,0)</f>
        <v>0.527207946447851</v>
      </c>
      <c r="V1843" s="2" t="str">
        <f aca="false">IF(S1843&lt;J1843,"SIM","NÃO")</f>
        <v>NÃO</v>
      </c>
      <c r="W1843" s="2" t="n">
        <v>11</v>
      </c>
      <c r="X1843" s="2" t="s">
        <v>161</v>
      </c>
    </row>
    <row r="1844" customFormat="false" ht="15" hidden="false" customHeight="false" outlineLevel="0" collapsed="false">
      <c r="A1844" s="2" t="n">
        <v>395412194</v>
      </c>
      <c r="B1844" s="29" t="n">
        <v>46281.4804861111</v>
      </c>
      <c r="C1844" s="2" t="s">
        <v>1883</v>
      </c>
      <c r="D1844" s="2" t="s">
        <v>1884</v>
      </c>
      <c r="E1844" s="2" t="s">
        <v>78</v>
      </c>
      <c r="F1844" s="2" t="s">
        <v>108</v>
      </c>
      <c r="G1844" s="30" t="n">
        <v>45</v>
      </c>
      <c r="H1844" s="11" t="n">
        <v>659.99</v>
      </c>
      <c r="I1844" s="11" t="s">
        <v>155</v>
      </c>
      <c r="J1844" s="11" t="n">
        <v>103.75</v>
      </c>
      <c r="K1844" s="11" t="n">
        <v>93.97</v>
      </c>
      <c r="L1844" s="11" t="n">
        <v>0.66</v>
      </c>
      <c r="M1844" s="11" t="n">
        <v>1.32</v>
      </c>
      <c r="N1844" s="11" t="n">
        <v>1</v>
      </c>
      <c r="O1844" s="11" t="n">
        <v>4.5</v>
      </c>
      <c r="P1844" s="11" t="n">
        <v>2.7</v>
      </c>
      <c r="Q1844" s="11" t="n">
        <v>20.25</v>
      </c>
      <c r="R1844" s="11" t="n">
        <f aca="false">SUM(K1844:Q1844)</f>
        <v>124.4</v>
      </c>
      <c r="S1844" s="11" t="n">
        <f aca="false">R1844/(1-Resumo!$C$6)</f>
        <v>141.363636363636</v>
      </c>
      <c r="T1844" s="11" t="n">
        <f aca="false">S1844-J1844</f>
        <v>37.6136363636364</v>
      </c>
      <c r="U1844" s="12" t="n">
        <f aca="false">IFERROR(S1844/J1844-1,0)</f>
        <v>0.362541073384447</v>
      </c>
      <c r="V1844" s="2" t="str">
        <f aca="false">IF(S1844&lt;J1844,"SIM","NÃO")</f>
        <v>NÃO</v>
      </c>
      <c r="W1844" s="2" t="n">
        <v>5</v>
      </c>
      <c r="X1844" s="2" t="s">
        <v>156</v>
      </c>
    </row>
    <row r="1845" customFormat="false" ht="15" hidden="false" customHeight="false" outlineLevel="0" collapsed="false">
      <c r="A1845" s="2" t="n">
        <v>395461947</v>
      </c>
      <c r="B1845" s="29" t="n">
        <v>46281.569837963</v>
      </c>
      <c r="C1845" s="2" t="s">
        <v>153</v>
      </c>
      <c r="D1845" s="2" t="s">
        <v>1885</v>
      </c>
      <c r="E1845" s="2" t="s">
        <v>78</v>
      </c>
      <c r="F1845" s="2" t="s">
        <v>109</v>
      </c>
      <c r="G1845" s="30" t="n">
        <v>52.3</v>
      </c>
      <c r="H1845" s="11" t="n">
        <v>645.14</v>
      </c>
      <c r="I1845" s="11" t="s">
        <v>155</v>
      </c>
      <c r="J1845" s="11" t="n">
        <v>114.24</v>
      </c>
      <c r="K1845" s="11" t="n">
        <v>112.3</v>
      </c>
      <c r="L1845" s="11" t="n">
        <v>0.6451</v>
      </c>
      <c r="M1845" s="11" t="n">
        <v>1.2903</v>
      </c>
      <c r="N1845" s="11" t="n">
        <v>1</v>
      </c>
      <c r="O1845" s="11" t="n">
        <v>4.5</v>
      </c>
      <c r="P1845" s="11" t="n">
        <v>3.18</v>
      </c>
      <c r="Q1845" s="11" t="n">
        <v>23.85</v>
      </c>
      <c r="R1845" s="11" t="n">
        <f aca="false">SUM(K1845:Q1845)</f>
        <v>146.7654</v>
      </c>
      <c r="S1845" s="11" t="n">
        <f aca="false">R1845/(1-Resumo!$C$6)</f>
        <v>166.778863636364</v>
      </c>
      <c r="T1845" s="11" t="n">
        <f aca="false">S1845-J1845</f>
        <v>52.5388636363636</v>
      </c>
      <c r="U1845" s="12" t="n">
        <f aca="false">IFERROR(S1845/J1845-1,0)</f>
        <v>0.459899016424752</v>
      </c>
      <c r="V1845" s="2" t="str">
        <f aca="false">IF(S1845&lt;J1845,"SIM","NÃO")</f>
        <v>NÃO</v>
      </c>
      <c r="W1845" s="2" t="n">
        <v>5</v>
      </c>
      <c r="X1845" s="2" t="s">
        <v>156</v>
      </c>
    </row>
    <row r="1846" customFormat="false" ht="15" hidden="false" customHeight="false" outlineLevel="0" collapsed="false">
      <c r="A1846" s="2" t="n">
        <v>395466237</v>
      </c>
      <c r="B1846" s="29" t="n">
        <v>46281.5771990741</v>
      </c>
      <c r="C1846" s="2" t="s">
        <v>158</v>
      </c>
      <c r="D1846" s="2" t="s">
        <v>1886</v>
      </c>
      <c r="E1846" s="2" t="s">
        <v>78</v>
      </c>
      <c r="F1846" s="2" t="s">
        <v>106</v>
      </c>
      <c r="G1846" s="30" t="n">
        <v>20.8</v>
      </c>
      <c r="H1846" s="11" t="n">
        <v>417.99</v>
      </c>
      <c r="I1846" s="11" t="s">
        <v>155</v>
      </c>
      <c r="J1846" s="11" t="n">
        <v>82.34</v>
      </c>
      <c r="K1846" s="11" t="n">
        <v>82.21</v>
      </c>
      <c r="L1846" s="11" t="n">
        <v>0.418</v>
      </c>
      <c r="M1846" s="11" t="n">
        <v>0.836</v>
      </c>
      <c r="N1846" s="11" t="n">
        <v>1</v>
      </c>
      <c r="O1846" s="11" t="n">
        <v>4.5</v>
      </c>
      <c r="P1846" s="11" t="n">
        <v>1.26</v>
      </c>
      <c r="Q1846" s="11" t="n">
        <v>9.45</v>
      </c>
      <c r="R1846" s="11" t="n">
        <f aca="false">SUM(K1846:Q1846)</f>
        <v>99.674</v>
      </c>
      <c r="S1846" s="11" t="n">
        <f aca="false">R1846/(1-Resumo!$C$6)</f>
        <v>113.265909090909</v>
      </c>
      <c r="T1846" s="11" t="n">
        <f aca="false">S1846-J1846</f>
        <v>30.9259090909091</v>
      </c>
      <c r="U1846" s="12" t="n">
        <f aca="false">IFERROR(S1846/J1846-1,0)</f>
        <v>0.375587917062291</v>
      </c>
      <c r="V1846" s="2" t="str">
        <f aca="false">IF(S1846&lt;J1846,"SIM","NÃO")</f>
        <v>NÃO</v>
      </c>
      <c r="W1846" s="2" t="n">
        <v>5</v>
      </c>
      <c r="X1846" s="2" t="s">
        <v>156</v>
      </c>
    </row>
    <row r="1847" customFormat="false" ht="15" hidden="false" customHeight="false" outlineLevel="0" collapsed="false">
      <c r="A1847" s="2" t="n">
        <v>395475172</v>
      </c>
      <c r="B1847" s="29" t="n">
        <v>46281.5924305556</v>
      </c>
      <c r="C1847" s="2" t="s">
        <v>158</v>
      </c>
      <c r="D1847" s="2" t="s">
        <v>1543</v>
      </c>
      <c r="E1847" s="2" t="s">
        <v>78</v>
      </c>
      <c r="F1847" s="2" t="s">
        <v>106</v>
      </c>
      <c r="G1847" s="30" t="n">
        <v>27.6</v>
      </c>
      <c r="H1847" s="11" t="n">
        <v>514.79</v>
      </c>
      <c r="I1847" s="11" t="s">
        <v>155</v>
      </c>
      <c r="J1847" s="11" t="n">
        <v>82.8</v>
      </c>
      <c r="K1847" s="11" t="n">
        <v>82.21</v>
      </c>
      <c r="L1847" s="11" t="n">
        <v>0.5148</v>
      </c>
      <c r="M1847" s="11" t="n">
        <v>1.0296</v>
      </c>
      <c r="N1847" s="11" t="n">
        <v>1</v>
      </c>
      <c r="O1847" s="11" t="n">
        <v>4.5</v>
      </c>
      <c r="P1847" s="11" t="n">
        <v>1.68</v>
      </c>
      <c r="Q1847" s="11" t="n">
        <v>12.6</v>
      </c>
      <c r="R1847" s="11" t="n">
        <f aca="false">SUM(K1847:Q1847)</f>
        <v>103.5344</v>
      </c>
      <c r="S1847" s="11" t="n">
        <f aca="false">R1847/(1-Resumo!$C$6)</f>
        <v>117.652727272727</v>
      </c>
      <c r="T1847" s="11" t="n">
        <f aca="false">S1847-J1847</f>
        <v>34.8527272727273</v>
      </c>
      <c r="U1847" s="12" t="n">
        <f aca="false">IFERROR(S1847/J1847-1,0)</f>
        <v>0.42092665788318</v>
      </c>
      <c r="V1847" s="2" t="str">
        <f aca="false">IF(S1847&lt;J1847,"SIM","NÃO")</f>
        <v>NÃO</v>
      </c>
      <c r="W1847" s="2" t="n">
        <v>5</v>
      </c>
      <c r="X1847" s="2" t="s">
        <v>156</v>
      </c>
    </row>
    <row r="1848" customFormat="false" ht="15" hidden="false" customHeight="false" outlineLevel="0" collapsed="false">
      <c r="A1848" s="2" t="n">
        <v>395555174</v>
      </c>
      <c r="B1848" s="29" t="n">
        <v>46281.6205324074</v>
      </c>
      <c r="C1848" s="2" t="s">
        <v>178</v>
      </c>
      <c r="D1848" s="2" t="s">
        <v>1887</v>
      </c>
      <c r="E1848" s="2" t="s">
        <v>81</v>
      </c>
      <c r="F1848" s="2" t="s">
        <v>107</v>
      </c>
      <c r="G1848" s="30" t="n">
        <v>37.2</v>
      </c>
      <c r="H1848" s="11" t="n">
        <v>373.99</v>
      </c>
      <c r="I1848" s="11" t="s">
        <v>155</v>
      </c>
      <c r="J1848" s="11" t="n">
        <v>112.75</v>
      </c>
      <c r="K1848" s="11" t="n">
        <v>93.97</v>
      </c>
      <c r="L1848" s="11" t="n">
        <v>0.374</v>
      </c>
      <c r="M1848" s="11" t="n">
        <v>0.748</v>
      </c>
      <c r="N1848" s="11" t="n">
        <v>1</v>
      </c>
      <c r="O1848" s="11" t="n">
        <v>4.5</v>
      </c>
      <c r="P1848" s="11" t="n">
        <v>2.28</v>
      </c>
      <c r="Q1848" s="11" t="n">
        <v>17.1</v>
      </c>
      <c r="R1848" s="11" t="n">
        <f aca="false">SUM(K1848:Q1848)</f>
        <v>119.972</v>
      </c>
      <c r="S1848" s="11" t="n">
        <f aca="false">R1848/(1-Resumo!$C$6)</f>
        <v>136.331818181818</v>
      </c>
      <c r="T1848" s="11" t="n">
        <f aca="false">S1848-J1848</f>
        <v>23.5818181818182</v>
      </c>
      <c r="U1848" s="12" t="n">
        <f aca="false">IFERROR(S1848/J1848-1,0)</f>
        <v>0.209151380770006</v>
      </c>
      <c r="V1848" s="2" t="str">
        <f aca="false">IF(S1848&lt;J1848,"SIM","NÃO")</f>
        <v>NÃO</v>
      </c>
      <c r="W1848" s="2" t="n">
        <v>5</v>
      </c>
      <c r="X1848" s="2" t="s">
        <v>156</v>
      </c>
    </row>
    <row r="1849" customFormat="false" ht="15" hidden="false" customHeight="false" outlineLevel="0" collapsed="false">
      <c r="A1849" s="2" t="n">
        <v>395499661</v>
      </c>
      <c r="B1849" s="29" t="n">
        <v>46281.6356134259</v>
      </c>
      <c r="C1849" s="2" t="s">
        <v>153</v>
      </c>
      <c r="D1849" s="2" t="s">
        <v>1888</v>
      </c>
      <c r="E1849" s="2" t="s">
        <v>78</v>
      </c>
      <c r="F1849" s="2" t="s">
        <v>106</v>
      </c>
      <c r="G1849" s="30" t="n">
        <v>27</v>
      </c>
      <c r="H1849" s="11" t="n">
        <v>349.99</v>
      </c>
      <c r="I1849" s="11" t="s">
        <v>155</v>
      </c>
      <c r="J1849" s="11" t="n">
        <v>82</v>
      </c>
      <c r="K1849" s="11" t="n">
        <v>82.21</v>
      </c>
      <c r="L1849" s="11" t="n">
        <v>0.35</v>
      </c>
      <c r="M1849" s="11" t="n">
        <v>0.7</v>
      </c>
      <c r="N1849" s="11" t="n">
        <v>1</v>
      </c>
      <c r="O1849" s="11" t="n">
        <v>4.5</v>
      </c>
      <c r="P1849" s="11" t="n">
        <v>1.62</v>
      </c>
      <c r="Q1849" s="11" t="n">
        <v>12.15</v>
      </c>
      <c r="R1849" s="11" t="n">
        <f aca="false">SUM(K1849:Q1849)</f>
        <v>102.53</v>
      </c>
      <c r="S1849" s="11" t="n">
        <f aca="false">R1849/(1-Resumo!$C$6)</f>
        <v>116.511363636364</v>
      </c>
      <c r="T1849" s="11" t="n">
        <f aca="false">S1849-J1849</f>
        <v>34.5113636363636</v>
      </c>
      <c r="U1849" s="12" t="n">
        <f aca="false">IFERROR(S1849/J1849-1,0)</f>
        <v>0.420870288248337</v>
      </c>
      <c r="V1849" s="2" t="str">
        <f aca="false">IF(S1849&lt;J1849,"SIM","NÃO")</f>
        <v>NÃO</v>
      </c>
      <c r="W1849" s="2" t="n">
        <v>5</v>
      </c>
      <c r="X1849" s="2" t="s">
        <v>156</v>
      </c>
    </row>
    <row r="1850" customFormat="false" ht="15" hidden="false" customHeight="false" outlineLevel="0" collapsed="false">
      <c r="A1850" s="2" t="n">
        <v>395501177</v>
      </c>
      <c r="B1850" s="29" t="n">
        <v>46281.6383217593</v>
      </c>
      <c r="C1850" s="2" t="s">
        <v>153</v>
      </c>
      <c r="D1850" s="2" t="s">
        <v>1099</v>
      </c>
      <c r="E1850" s="2" t="s">
        <v>78</v>
      </c>
      <c r="F1850" s="2" t="s">
        <v>106</v>
      </c>
      <c r="G1850" s="30" t="n">
        <v>20.9</v>
      </c>
      <c r="H1850" s="11" t="n">
        <v>440.99</v>
      </c>
      <c r="I1850" s="11" t="s">
        <v>155</v>
      </c>
      <c r="J1850" s="11" t="n">
        <v>82.43</v>
      </c>
      <c r="K1850" s="11" t="n">
        <v>82.21</v>
      </c>
      <c r="L1850" s="11" t="n">
        <v>0.441</v>
      </c>
      <c r="M1850" s="11" t="n">
        <v>0.882</v>
      </c>
      <c r="N1850" s="11" t="n">
        <v>1</v>
      </c>
      <c r="O1850" s="11" t="n">
        <v>4.5</v>
      </c>
      <c r="P1850" s="11" t="n">
        <v>1.26</v>
      </c>
      <c r="Q1850" s="11" t="n">
        <v>9.45</v>
      </c>
      <c r="R1850" s="11" t="n">
        <f aca="false">SUM(K1850:Q1850)</f>
        <v>99.743</v>
      </c>
      <c r="S1850" s="11" t="n">
        <f aca="false">R1850/(1-Resumo!$C$6)</f>
        <v>113.344318181818</v>
      </c>
      <c r="T1850" s="11" t="n">
        <f aca="false">S1850-J1850</f>
        <v>30.9143181818182</v>
      </c>
      <c r="U1850" s="12" t="n">
        <f aca="false">IFERROR(S1850/J1850-1,0)</f>
        <v>0.375037221664663</v>
      </c>
      <c r="V1850" s="2" t="str">
        <f aca="false">IF(S1850&lt;J1850,"SIM","NÃO")</f>
        <v>NÃO</v>
      </c>
      <c r="W1850" s="2" t="n">
        <v>5</v>
      </c>
      <c r="X1850" s="2" t="s">
        <v>156</v>
      </c>
    </row>
    <row r="1851" customFormat="false" ht="15" hidden="false" customHeight="false" outlineLevel="0" collapsed="false">
      <c r="A1851" s="2" t="n">
        <v>395526784</v>
      </c>
      <c r="B1851" s="29" t="n">
        <v>46281.687037037</v>
      </c>
      <c r="C1851" s="2" t="s">
        <v>158</v>
      </c>
      <c r="D1851" s="2" t="s">
        <v>1889</v>
      </c>
      <c r="E1851" s="2" t="s">
        <v>78</v>
      </c>
      <c r="F1851" s="2" t="s">
        <v>106</v>
      </c>
      <c r="G1851" s="30" t="n">
        <v>34.8</v>
      </c>
      <c r="H1851" s="11" t="n">
        <v>425</v>
      </c>
      <c r="I1851" s="11" t="s">
        <v>155</v>
      </c>
      <c r="J1851" s="11" t="n">
        <v>82.36</v>
      </c>
      <c r="K1851" s="11" t="n">
        <v>82.21</v>
      </c>
      <c r="L1851" s="11" t="n">
        <v>0.425</v>
      </c>
      <c r="M1851" s="11" t="n">
        <v>0.85</v>
      </c>
      <c r="N1851" s="11" t="n">
        <v>1</v>
      </c>
      <c r="O1851" s="11" t="n">
        <v>4.5</v>
      </c>
      <c r="P1851" s="11" t="n">
        <v>2.1</v>
      </c>
      <c r="Q1851" s="11" t="n">
        <v>15.75</v>
      </c>
      <c r="R1851" s="11" t="n">
        <f aca="false">SUM(K1851:Q1851)</f>
        <v>106.835</v>
      </c>
      <c r="S1851" s="11" t="n">
        <f aca="false">R1851/(1-Resumo!$C$6)</f>
        <v>121.403409090909</v>
      </c>
      <c r="T1851" s="11" t="n">
        <f aca="false">S1851-J1851</f>
        <v>39.0434090909091</v>
      </c>
      <c r="U1851" s="12" t="n">
        <f aca="false">IFERROR(S1851/J1851-1,0)</f>
        <v>0.474057905426288</v>
      </c>
      <c r="V1851" s="2" t="str">
        <f aca="false">IF(S1851&lt;J1851,"SIM","NÃO")</f>
        <v>NÃO</v>
      </c>
      <c r="W1851" s="2" t="n">
        <v>5</v>
      </c>
      <c r="X1851" s="2" t="s">
        <v>156</v>
      </c>
    </row>
    <row r="1852" customFormat="false" ht="15" hidden="false" customHeight="false" outlineLevel="0" collapsed="false">
      <c r="A1852" s="2" t="n">
        <v>395531108</v>
      </c>
      <c r="B1852" s="29" t="n">
        <v>46281.695462963</v>
      </c>
      <c r="C1852" s="2" t="s">
        <v>153</v>
      </c>
      <c r="D1852" s="2" t="s">
        <v>1890</v>
      </c>
      <c r="E1852" s="2" t="s">
        <v>82</v>
      </c>
      <c r="F1852" s="2" t="s">
        <v>106</v>
      </c>
      <c r="G1852" s="30" t="n">
        <v>34.1</v>
      </c>
      <c r="H1852" s="11" t="n">
        <v>419.6</v>
      </c>
      <c r="I1852" s="11" t="s">
        <v>155</v>
      </c>
      <c r="J1852" s="11" t="n">
        <v>101.4</v>
      </c>
      <c r="K1852" s="11" t="n">
        <v>100.58</v>
      </c>
      <c r="L1852" s="11" t="n">
        <v>0.4196</v>
      </c>
      <c r="M1852" s="11" t="n">
        <v>0.8392</v>
      </c>
      <c r="N1852" s="11" t="n">
        <v>1</v>
      </c>
      <c r="O1852" s="11" t="n">
        <v>4.5</v>
      </c>
      <c r="P1852" s="11" t="n">
        <v>2.1</v>
      </c>
      <c r="Q1852" s="11" t="n">
        <v>15.75</v>
      </c>
      <c r="R1852" s="11" t="n">
        <f aca="false">SUM(K1852:Q1852)</f>
        <v>125.1888</v>
      </c>
      <c r="S1852" s="11" t="n">
        <f aca="false">R1852/(1-Resumo!$C$6)</f>
        <v>142.26</v>
      </c>
      <c r="T1852" s="11" t="n">
        <f aca="false">S1852-J1852</f>
        <v>40.86</v>
      </c>
      <c r="U1852" s="12" t="n">
        <f aca="false">IFERROR(S1852/J1852-1,0)</f>
        <v>0.402958579881657</v>
      </c>
      <c r="V1852" s="2" t="str">
        <f aca="false">IF(S1852&lt;J1852,"SIM","NÃO")</f>
        <v>NÃO</v>
      </c>
      <c r="W1852" s="2" t="n">
        <v>7</v>
      </c>
      <c r="X1852" s="2" t="s">
        <v>156</v>
      </c>
    </row>
    <row r="1853" customFormat="false" ht="15" hidden="false" customHeight="false" outlineLevel="0" collapsed="false">
      <c r="A1853" s="2" t="n">
        <v>395536611</v>
      </c>
      <c r="B1853" s="29" t="n">
        <v>46281.7062268519</v>
      </c>
      <c r="C1853" s="2" t="s">
        <v>153</v>
      </c>
      <c r="D1853" s="2" t="s">
        <v>1891</v>
      </c>
      <c r="E1853" s="2" t="s">
        <v>78</v>
      </c>
      <c r="F1853" s="2" t="s">
        <v>108</v>
      </c>
      <c r="G1853" s="30" t="n">
        <v>48.3</v>
      </c>
      <c r="H1853" s="11" t="n">
        <v>449.65</v>
      </c>
      <c r="I1853" s="11" t="s">
        <v>155</v>
      </c>
      <c r="J1853" s="11" t="n">
        <v>102.74</v>
      </c>
      <c r="K1853" s="11" t="n">
        <v>93.97</v>
      </c>
      <c r="L1853" s="11" t="n">
        <v>0.4496</v>
      </c>
      <c r="M1853" s="11" t="n">
        <v>0.8993</v>
      </c>
      <c r="N1853" s="11" t="n">
        <v>1</v>
      </c>
      <c r="O1853" s="11" t="n">
        <v>4.5</v>
      </c>
      <c r="P1853" s="11" t="n">
        <v>2.94</v>
      </c>
      <c r="Q1853" s="11" t="n">
        <v>22.05</v>
      </c>
      <c r="R1853" s="11" t="n">
        <f aca="false">SUM(K1853:Q1853)</f>
        <v>125.8089</v>
      </c>
      <c r="S1853" s="11" t="n">
        <f aca="false">R1853/(1-Resumo!$C$6)</f>
        <v>142.964659090909</v>
      </c>
      <c r="T1853" s="11" t="n">
        <f aca="false">S1853-J1853</f>
        <v>40.2246590909091</v>
      </c>
      <c r="U1853" s="12" t="n">
        <f aca="false">IFERROR(S1853/J1853-1,0)</f>
        <v>0.391518971100926</v>
      </c>
      <c r="V1853" s="2" t="str">
        <f aca="false">IF(S1853&lt;J1853,"SIM","NÃO")</f>
        <v>NÃO</v>
      </c>
      <c r="W1853" s="2" t="n">
        <v>5</v>
      </c>
      <c r="X1853" s="2" t="s">
        <v>156</v>
      </c>
    </row>
    <row r="1854" customFormat="false" ht="15" hidden="false" customHeight="false" outlineLevel="0" collapsed="false">
      <c r="A1854" s="2" t="n">
        <v>395565951</v>
      </c>
      <c r="B1854" s="29" t="n">
        <v>46281.7634606482</v>
      </c>
      <c r="C1854" s="2" t="s">
        <v>194</v>
      </c>
      <c r="D1854" s="2" t="s">
        <v>1892</v>
      </c>
      <c r="E1854" s="2" t="s">
        <v>80</v>
      </c>
      <c r="F1854" s="2" t="s">
        <v>109</v>
      </c>
      <c r="G1854" s="30" t="n">
        <v>52.3</v>
      </c>
      <c r="H1854" s="11" t="n">
        <v>612.73</v>
      </c>
      <c r="I1854" s="11" t="s">
        <v>155</v>
      </c>
      <c r="J1854" s="11" t="n">
        <v>128.23</v>
      </c>
      <c r="K1854" s="11" t="n">
        <v>112.3</v>
      </c>
      <c r="L1854" s="11" t="n">
        <v>0.6127</v>
      </c>
      <c r="M1854" s="11" t="n">
        <v>1.2255</v>
      </c>
      <c r="N1854" s="11" t="n">
        <v>1</v>
      </c>
      <c r="O1854" s="11" t="n">
        <v>4.5</v>
      </c>
      <c r="P1854" s="11" t="n">
        <v>3.18</v>
      </c>
      <c r="Q1854" s="11" t="n">
        <v>23.85</v>
      </c>
      <c r="R1854" s="11" t="n">
        <f aca="false">SUM(K1854:Q1854)</f>
        <v>146.6682</v>
      </c>
      <c r="S1854" s="11" t="n">
        <f aca="false">R1854/(1-Resumo!$C$6)</f>
        <v>166.668409090909</v>
      </c>
      <c r="T1854" s="11" t="n">
        <f aca="false">S1854-J1854</f>
        <v>38.4384090909091</v>
      </c>
      <c r="U1854" s="12" t="n">
        <f aca="false">IFERROR(S1854/J1854-1,0)</f>
        <v>0.299761437190276</v>
      </c>
      <c r="V1854" s="2" t="str">
        <f aca="false">IF(S1854&lt;J1854,"SIM","NÃO")</f>
        <v>NÃO</v>
      </c>
      <c r="W1854" s="2" t="n">
        <v>5</v>
      </c>
      <c r="X1854" s="2" t="s">
        <v>156</v>
      </c>
    </row>
    <row r="1855" customFormat="false" ht="15" hidden="false" customHeight="false" outlineLevel="0" collapsed="false">
      <c r="A1855" s="2" t="n">
        <v>395568620</v>
      </c>
      <c r="B1855" s="29" t="n">
        <v>46281.7673032407</v>
      </c>
      <c r="C1855" s="2" t="s">
        <v>158</v>
      </c>
      <c r="D1855" s="2" t="s">
        <v>1893</v>
      </c>
      <c r="E1855" s="2" t="s">
        <v>78</v>
      </c>
      <c r="F1855" s="2" t="s">
        <v>110</v>
      </c>
      <c r="G1855" s="30" t="n">
        <v>69.45</v>
      </c>
      <c r="H1855" s="11" t="n">
        <v>761.79</v>
      </c>
      <c r="I1855" s="11" t="s">
        <v>155</v>
      </c>
      <c r="J1855" s="11" t="n">
        <v>124.85</v>
      </c>
      <c r="K1855" s="11" t="n">
        <v>131.02</v>
      </c>
      <c r="L1855" s="11" t="n">
        <v>0.7618</v>
      </c>
      <c r="M1855" s="11" t="n">
        <v>1.5236</v>
      </c>
      <c r="N1855" s="11" t="n">
        <v>1</v>
      </c>
      <c r="O1855" s="11" t="n">
        <v>4.5</v>
      </c>
      <c r="P1855" s="11" t="n">
        <v>4.2</v>
      </c>
      <c r="Q1855" s="11" t="n">
        <v>31.5</v>
      </c>
      <c r="R1855" s="11" t="n">
        <f aca="false">SUM(K1855:Q1855)</f>
        <v>174.5054</v>
      </c>
      <c r="S1855" s="11" t="n">
        <f aca="false">R1855/(1-Resumo!$C$6)</f>
        <v>198.301590909091</v>
      </c>
      <c r="T1855" s="11" t="n">
        <f aca="false">S1855-J1855</f>
        <v>73.4515909090909</v>
      </c>
      <c r="U1855" s="12" t="n">
        <f aca="false">IFERROR(S1855/J1855-1,0)</f>
        <v>0.588318709724397</v>
      </c>
      <c r="V1855" s="2" t="str">
        <f aca="false">IF(S1855&lt;J1855,"SIM","NÃO")</f>
        <v>NÃO</v>
      </c>
      <c r="W1855" s="2" t="n">
        <v>5</v>
      </c>
      <c r="X1855" s="2" t="s">
        <v>156</v>
      </c>
    </row>
    <row r="1856" customFormat="false" ht="15" hidden="false" customHeight="false" outlineLevel="0" collapsed="false">
      <c r="A1856" s="2" t="n">
        <v>395572874</v>
      </c>
      <c r="B1856" s="29" t="n">
        <v>46281.7761805556</v>
      </c>
      <c r="C1856" s="2" t="s">
        <v>153</v>
      </c>
      <c r="D1856" s="2" t="s">
        <v>738</v>
      </c>
      <c r="E1856" s="2" t="s">
        <v>739</v>
      </c>
      <c r="F1856" s="2" t="s">
        <v>108</v>
      </c>
      <c r="G1856" s="30" t="n">
        <v>41.4</v>
      </c>
      <c r="H1856" s="11" t="n">
        <v>413.55</v>
      </c>
      <c r="I1856" s="11" t="s">
        <v>155</v>
      </c>
      <c r="J1856" s="11" t="n">
        <v>130.15</v>
      </c>
      <c r="K1856" s="11" t="n">
        <v>152.54</v>
      </c>
      <c r="L1856" s="11" t="n">
        <v>0.4136</v>
      </c>
      <c r="M1856" s="11" t="n">
        <v>0.8271</v>
      </c>
      <c r="N1856" s="11" t="n">
        <v>1</v>
      </c>
      <c r="O1856" s="11" t="n">
        <v>4.5</v>
      </c>
      <c r="P1856" s="11" t="n">
        <v>2.52</v>
      </c>
      <c r="Q1856" s="11" t="n">
        <v>18.9</v>
      </c>
      <c r="R1856" s="11" t="n">
        <f aca="false">SUM(K1856:Q1856)</f>
        <v>180.7007</v>
      </c>
      <c r="S1856" s="11" t="n">
        <f aca="false">R1856/(1-Resumo!$C$6)</f>
        <v>205.341704545455</v>
      </c>
      <c r="T1856" s="11" t="n">
        <f aca="false">S1856-J1856</f>
        <v>75.1917045454545</v>
      </c>
      <c r="U1856" s="12" t="n">
        <f aca="false">IFERROR(S1856/J1856-1,0)</f>
        <v>0.577731114448364</v>
      </c>
      <c r="V1856" s="2" t="str">
        <f aca="false">IF(S1856&lt;J1856,"SIM","NÃO")</f>
        <v>NÃO</v>
      </c>
      <c r="W1856" s="2" t="n">
        <v>11</v>
      </c>
      <c r="X1856" s="2" t="s">
        <v>161</v>
      </c>
    </row>
    <row r="1857" customFormat="false" ht="15" hidden="false" customHeight="false" outlineLevel="0" collapsed="false">
      <c r="A1857" s="2" t="n">
        <v>395579102</v>
      </c>
      <c r="B1857" s="29" t="n">
        <v>46281.788599537</v>
      </c>
      <c r="C1857" s="2" t="s">
        <v>153</v>
      </c>
      <c r="D1857" s="2" t="s">
        <v>1894</v>
      </c>
      <c r="E1857" s="2" t="s">
        <v>78</v>
      </c>
      <c r="F1857" s="2" t="s">
        <v>109</v>
      </c>
      <c r="G1857" s="30" t="n">
        <v>52.3</v>
      </c>
      <c r="H1857" s="11" t="n">
        <v>645.14</v>
      </c>
      <c r="I1857" s="11" t="s">
        <v>155</v>
      </c>
      <c r="J1857" s="11" t="n">
        <v>114.24</v>
      </c>
      <c r="K1857" s="11" t="n">
        <v>112.3</v>
      </c>
      <c r="L1857" s="11" t="n">
        <v>0.6451</v>
      </c>
      <c r="M1857" s="11" t="n">
        <v>1.2903</v>
      </c>
      <c r="N1857" s="11" t="n">
        <v>1</v>
      </c>
      <c r="O1857" s="11" t="n">
        <v>4.5</v>
      </c>
      <c r="P1857" s="11" t="n">
        <v>3.18</v>
      </c>
      <c r="Q1857" s="11" t="n">
        <v>23.85</v>
      </c>
      <c r="R1857" s="11" t="n">
        <f aca="false">SUM(K1857:Q1857)</f>
        <v>146.7654</v>
      </c>
      <c r="S1857" s="11" t="n">
        <f aca="false">R1857/(1-Resumo!$C$6)</f>
        <v>166.778863636364</v>
      </c>
      <c r="T1857" s="11" t="n">
        <f aca="false">S1857-J1857</f>
        <v>52.5388636363636</v>
      </c>
      <c r="U1857" s="12" t="n">
        <f aca="false">IFERROR(S1857/J1857-1,0)</f>
        <v>0.459899016424752</v>
      </c>
      <c r="V1857" s="2" t="str">
        <f aca="false">IF(S1857&lt;J1857,"SIM","NÃO")</f>
        <v>NÃO</v>
      </c>
      <c r="W1857" s="2" t="n">
        <v>5</v>
      </c>
      <c r="X1857" s="2" t="s">
        <v>156</v>
      </c>
    </row>
    <row r="1858" customFormat="false" ht="15" hidden="false" customHeight="false" outlineLevel="0" collapsed="false">
      <c r="A1858" s="2" t="n">
        <v>395594745</v>
      </c>
      <c r="B1858" s="29" t="n">
        <v>46281.8208333333</v>
      </c>
      <c r="C1858" s="2" t="s">
        <v>153</v>
      </c>
      <c r="D1858" s="2" t="s">
        <v>1895</v>
      </c>
      <c r="E1858" s="2" t="s">
        <v>78</v>
      </c>
      <c r="F1858" s="2" t="s">
        <v>109</v>
      </c>
      <c r="G1858" s="30" t="n">
        <v>52.3</v>
      </c>
      <c r="H1858" s="11" t="n">
        <v>645.14</v>
      </c>
      <c r="I1858" s="11" t="s">
        <v>155</v>
      </c>
      <c r="J1858" s="11" t="n">
        <v>114.24</v>
      </c>
      <c r="K1858" s="11" t="n">
        <v>112.3</v>
      </c>
      <c r="L1858" s="11" t="n">
        <v>0.6451</v>
      </c>
      <c r="M1858" s="11" t="n">
        <v>1.2903</v>
      </c>
      <c r="N1858" s="11" t="n">
        <v>1</v>
      </c>
      <c r="O1858" s="11" t="n">
        <v>4.5</v>
      </c>
      <c r="P1858" s="11" t="n">
        <v>3.18</v>
      </c>
      <c r="Q1858" s="11" t="n">
        <v>23.85</v>
      </c>
      <c r="R1858" s="11" t="n">
        <f aca="false">SUM(K1858:Q1858)</f>
        <v>146.7654</v>
      </c>
      <c r="S1858" s="11" t="n">
        <f aca="false">R1858/(1-Resumo!$C$6)</f>
        <v>166.778863636364</v>
      </c>
      <c r="T1858" s="11" t="n">
        <f aca="false">S1858-J1858</f>
        <v>52.5388636363636</v>
      </c>
      <c r="U1858" s="12" t="n">
        <f aca="false">IFERROR(S1858/J1858-1,0)</f>
        <v>0.459899016424752</v>
      </c>
      <c r="V1858" s="2" t="str">
        <f aca="false">IF(S1858&lt;J1858,"SIM","NÃO")</f>
        <v>NÃO</v>
      </c>
      <c r="W1858" s="2" t="n">
        <v>5</v>
      </c>
      <c r="X1858" s="2" t="s">
        <v>156</v>
      </c>
    </row>
    <row r="1859" customFormat="false" ht="15" hidden="false" customHeight="false" outlineLevel="0" collapsed="false">
      <c r="A1859" s="2" t="n">
        <v>395595689</v>
      </c>
      <c r="B1859" s="29" t="n">
        <v>46281.8217939815</v>
      </c>
      <c r="C1859" s="2" t="s">
        <v>158</v>
      </c>
      <c r="D1859" s="2" t="s">
        <v>1819</v>
      </c>
      <c r="E1859" s="2" t="s">
        <v>78</v>
      </c>
      <c r="F1859" s="2" t="s">
        <v>110</v>
      </c>
      <c r="G1859" s="30" t="n">
        <v>66.8</v>
      </c>
      <c r="H1859" s="11" t="n">
        <v>691.9</v>
      </c>
      <c r="I1859" s="11" t="s">
        <v>155</v>
      </c>
      <c r="J1859" s="11" t="n">
        <v>124.51</v>
      </c>
      <c r="K1859" s="11" t="n">
        <v>131.02</v>
      </c>
      <c r="L1859" s="11" t="n">
        <v>0.6919</v>
      </c>
      <c r="M1859" s="11" t="n">
        <v>1.3838</v>
      </c>
      <c r="N1859" s="11" t="n">
        <v>1</v>
      </c>
      <c r="O1859" s="11" t="n">
        <v>4.5</v>
      </c>
      <c r="P1859" s="11" t="n">
        <v>4.02</v>
      </c>
      <c r="Q1859" s="11" t="n">
        <v>30.15</v>
      </c>
      <c r="R1859" s="11" t="n">
        <f aca="false">SUM(K1859:Q1859)</f>
        <v>172.7657</v>
      </c>
      <c r="S1859" s="11" t="n">
        <f aca="false">R1859/(1-Resumo!$C$6)</f>
        <v>196.324659090909</v>
      </c>
      <c r="T1859" s="11" t="n">
        <f aca="false">S1859-J1859</f>
        <v>71.8146590909091</v>
      </c>
      <c r="U1859" s="12" t="n">
        <f aca="false">IFERROR(S1859/J1859-1,0)</f>
        <v>0.576778243441564</v>
      </c>
      <c r="V1859" s="2" t="str">
        <f aca="false">IF(S1859&lt;J1859,"SIM","NÃO")</f>
        <v>NÃO</v>
      </c>
      <c r="W1859" s="2" t="n">
        <v>5</v>
      </c>
      <c r="X1859" s="2" t="s">
        <v>156</v>
      </c>
    </row>
    <row r="1860" customFormat="false" ht="15" hidden="false" customHeight="false" outlineLevel="0" collapsed="false">
      <c r="A1860" s="2" t="n">
        <v>395603279</v>
      </c>
      <c r="B1860" s="29" t="n">
        <v>46281.8372222222</v>
      </c>
      <c r="C1860" s="2" t="s">
        <v>158</v>
      </c>
      <c r="D1860" s="2" t="s">
        <v>1896</v>
      </c>
      <c r="E1860" s="2" t="s">
        <v>78</v>
      </c>
      <c r="F1860" s="2" t="s">
        <v>110</v>
      </c>
      <c r="G1860" s="30" t="n">
        <v>63</v>
      </c>
      <c r="H1860" s="11" t="n">
        <v>779.95</v>
      </c>
      <c r="I1860" s="11" t="s">
        <v>155</v>
      </c>
      <c r="J1860" s="11" t="n">
        <v>124.94</v>
      </c>
      <c r="K1860" s="11" t="n">
        <v>131.02</v>
      </c>
      <c r="L1860" s="11" t="n">
        <v>0.78</v>
      </c>
      <c r="M1860" s="11" t="n">
        <v>1.5599</v>
      </c>
      <c r="N1860" s="11" t="n">
        <v>1</v>
      </c>
      <c r="O1860" s="11" t="n">
        <v>4.5</v>
      </c>
      <c r="P1860" s="11" t="n">
        <v>3.78</v>
      </c>
      <c r="Q1860" s="11" t="n">
        <v>28.35</v>
      </c>
      <c r="R1860" s="11" t="n">
        <f aca="false">SUM(K1860:Q1860)</f>
        <v>170.9899</v>
      </c>
      <c r="S1860" s="11" t="n">
        <f aca="false">R1860/(1-Resumo!$C$6)</f>
        <v>194.306704545455</v>
      </c>
      <c r="T1860" s="11" t="n">
        <f aca="false">S1860-J1860</f>
        <v>69.3667045454546</v>
      </c>
      <c r="U1860" s="12" t="n">
        <f aca="false">IFERROR(S1860/J1860-1,0)</f>
        <v>0.555200132427202</v>
      </c>
      <c r="V1860" s="2" t="str">
        <f aca="false">IF(S1860&lt;J1860,"SIM","NÃO")</f>
        <v>NÃO</v>
      </c>
      <c r="W1860" s="2" t="n">
        <v>5</v>
      </c>
      <c r="X1860" s="2" t="s">
        <v>156</v>
      </c>
    </row>
    <row r="1861" customFormat="false" ht="15" hidden="false" customHeight="false" outlineLevel="0" collapsed="false">
      <c r="A1861" s="2" t="n">
        <v>395603339</v>
      </c>
      <c r="B1861" s="29" t="n">
        <v>46281.8375925926</v>
      </c>
      <c r="C1861" s="2" t="s">
        <v>153</v>
      </c>
      <c r="D1861" s="2" t="s">
        <v>1848</v>
      </c>
      <c r="E1861" s="2" t="s">
        <v>78</v>
      </c>
      <c r="F1861" s="2" t="s">
        <v>108</v>
      </c>
      <c r="G1861" s="30" t="n">
        <v>46.8</v>
      </c>
      <c r="H1861" s="11" t="n">
        <v>492.2</v>
      </c>
      <c r="I1861" s="11" t="s">
        <v>155</v>
      </c>
      <c r="J1861" s="11" t="n">
        <v>102.93</v>
      </c>
      <c r="K1861" s="11" t="n">
        <v>93.97</v>
      </c>
      <c r="L1861" s="11" t="n">
        <v>0.4922</v>
      </c>
      <c r="M1861" s="11" t="n">
        <v>0.9844</v>
      </c>
      <c r="N1861" s="11" t="n">
        <v>1</v>
      </c>
      <c r="O1861" s="11" t="n">
        <v>4.5</v>
      </c>
      <c r="P1861" s="11" t="n">
        <v>2.82</v>
      </c>
      <c r="Q1861" s="11" t="n">
        <v>21.15</v>
      </c>
      <c r="R1861" s="11" t="n">
        <f aca="false">SUM(K1861:Q1861)</f>
        <v>124.9166</v>
      </c>
      <c r="S1861" s="11" t="n">
        <f aca="false">R1861/(1-Resumo!$C$6)</f>
        <v>141.950681818182</v>
      </c>
      <c r="T1861" s="11" t="n">
        <f aca="false">S1861-J1861</f>
        <v>39.0206818181818</v>
      </c>
      <c r="U1861" s="12" t="n">
        <f aca="false">IFERROR(S1861/J1861-1,0)</f>
        <v>0.379099211290992</v>
      </c>
      <c r="V1861" s="2" t="str">
        <f aca="false">IF(S1861&lt;J1861,"SIM","NÃO")</f>
        <v>NÃO</v>
      </c>
      <c r="W1861" s="2" t="n">
        <v>5</v>
      </c>
      <c r="X1861" s="2" t="s">
        <v>156</v>
      </c>
    </row>
    <row r="1862" customFormat="false" ht="15" hidden="false" customHeight="false" outlineLevel="0" collapsed="false">
      <c r="A1862" s="2" t="n">
        <v>395611996</v>
      </c>
      <c r="B1862" s="29" t="n">
        <v>46281.8533912037</v>
      </c>
      <c r="C1862" s="2" t="s">
        <v>153</v>
      </c>
      <c r="D1862" s="2" t="s">
        <v>1564</v>
      </c>
      <c r="E1862" s="2" t="s">
        <v>1565</v>
      </c>
      <c r="F1862" s="2" t="s">
        <v>110</v>
      </c>
      <c r="G1862" s="30" t="n">
        <v>66.8</v>
      </c>
      <c r="H1862" s="11" t="n">
        <v>666.23</v>
      </c>
      <c r="I1862" s="11" t="s">
        <v>1646</v>
      </c>
      <c r="J1862" s="11" t="n">
        <v>165.98</v>
      </c>
      <c r="K1862" s="11" t="n">
        <v>171.54</v>
      </c>
      <c r="L1862" s="11" t="n">
        <v>0.6662</v>
      </c>
      <c r="M1862" s="11" t="n">
        <v>1.3325</v>
      </c>
      <c r="N1862" s="11" t="n">
        <v>1</v>
      </c>
      <c r="O1862" s="11" t="n">
        <v>4.5</v>
      </c>
      <c r="P1862" s="11" t="n">
        <v>4.02</v>
      </c>
      <c r="Q1862" s="11" t="n">
        <v>30.15</v>
      </c>
      <c r="R1862" s="11" t="n">
        <f aca="false">SUM(K1862:Q1862)</f>
        <v>213.2087</v>
      </c>
      <c r="S1862" s="11" t="n">
        <f aca="false">R1862/(1-Resumo!$C$6)</f>
        <v>242.282613636364</v>
      </c>
      <c r="T1862" s="11" t="n">
        <f aca="false">S1862-J1862</f>
        <v>76.3026136363637</v>
      </c>
      <c r="U1862" s="12" t="n">
        <f aca="false">IFERROR(S1862/J1862-1,0)</f>
        <v>0.459709685723362</v>
      </c>
      <c r="V1862" s="2" t="str">
        <f aca="false">IF(S1862&lt;J1862,"SIM","NÃO")</f>
        <v>NÃO</v>
      </c>
      <c r="W1862" s="2" t="n">
        <v>11</v>
      </c>
      <c r="X1862" s="2" t="s">
        <v>161</v>
      </c>
    </row>
    <row r="1863" customFormat="false" ht="15" hidden="false" customHeight="false" outlineLevel="0" collapsed="false">
      <c r="A1863" s="2" t="n">
        <v>395631224</v>
      </c>
      <c r="B1863" s="29" t="n">
        <v>46281.8899305556</v>
      </c>
      <c r="C1863" s="2" t="s">
        <v>153</v>
      </c>
      <c r="D1863" s="2" t="s">
        <v>1035</v>
      </c>
      <c r="E1863" s="2" t="s">
        <v>78</v>
      </c>
      <c r="F1863" s="2" t="s">
        <v>106</v>
      </c>
      <c r="G1863" s="30" t="n">
        <v>26.4</v>
      </c>
      <c r="H1863" s="11" t="n">
        <v>399.99</v>
      </c>
      <c r="I1863" s="11" t="s">
        <v>155</v>
      </c>
      <c r="J1863" s="11" t="n">
        <v>82.24</v>
      </c>
      <c r="K1863" s="11" t="n">
        <v>82.21</v>
      </c>
      <c r="L1863" s="11" t="n">
        <v>0.4</v>
      </c>
      <c r="M1863" s="11" t="n">
        <v>0.8</v>
      </c>
      <c r="N1863" s="11" t="n">
        <v>1</v>
      </c>
      <c r="O1863" s="11" t="n">
        <v>4.5</v>
      </c>
      <c r="P1863" s="11" t="n">
        <v>1.62</v>
      </c>
      <c r="Q1863" s="11" t="n">
        <v>12.15</v>
      </c>
      <c r="R1863" s="11" t="n">
        <f aca="false">SUM(K1863:Q1863)</f>
        <v>102.68</v>
      </c>
      <c r="S1863" s="11" t="n">
        <f aca="false">R1863/(1-Resumo!$C$6)</f>
        <v>116.681818181818</v>
      </c>
      <c r="T1863" s="11" t="n">
        <f aca="false">S1863-J1863</f>
        <v>34.4418181818182</v>
      </c>
      <c r="U1863" s="12" t="n">
        <f aca="false">IFERROR(S1863/J1863-1,0)</f>
        <v>0.4187964273081</v>
      </c>
      <c r="V1863" s="2" t="str">
        <f aca="false">IF(S1863&lt;J1863,"SIM","NÃO")</f>
        <v>NÃO</v>
      </c>
      <c r="W1863" s="2" t="n">
        <v>5</v>
      </c>
      <c r="X1863" s="2" t="s">
        <v>156</v>
      </c>
    </row>
    <row r="1864" customFormat="false" ht="15" hidden="false" customHeight="false" outlineLevel="0" collapsed="false">
      <c r="A1864" s="2" t="n">
        <v>395650935</v>
      </c>
      <c r="B1864" s="29" t="n">
        <v>46281.8965740741</v>
      </c>
      <c r="C1864" s="2" t="s">
        <v>191</v>
      </c>
      <c r="D1864" s="2" t="s">
        <v>1897</v>
      </c>
      <c r="E1864" s="2" t="s">
        <v>78</v>
      </c>
      <c r="F1864" s="2" t="s">
        <v>110</v>
      </c>
      <c r="G1864" s="30" t="n">
        <v>66.8</v>
      </c>
      <c r="H1864" s="11" t="n">
        <v>823.52</v>
      </c>
      <c r="I1864" s="11" t="s">
        <v>155</v>
      </c>
      <c r="J1864" s="11" t="n">
        <v>125.16</v>
      </c>
      <c r="K1864" s="11" t="n">
        <v>131.02</v>
      </c>
      <c r="L1864" s="11" t="n">
        <v>0.8235</v>
      </c>
      <c r="M1864" s="11" t="n">
        <v>1.647</v>
      </c>
      <c r="N1864" s="11" t="n">
        <v>1</v>
      </c>
      <c r="O1864" s="11" t="n">
        <v>4.5</v>
      </c>
      <c r="P1864" s="11" t="n">
        <v>4.02</v>
      </c>
      <c r="Q1864" s="11" t="n">
        <v>30.15</v>
      </c>
      <c r="R1864" s="11" t="n">
        <f aca="false">SUM(K1864:Q1864)</f>
        <v>173.1605</v>
      </c>
      <c r="S1864" s="11" t="n">
        <f aca="false">R1864/(1-Resumo!$C$6)</f>
        <v>196.773295454545</v>
      </c>
      <c r="T1864" s="11" t="n">
        <f aca="false">S1864-J1864</f>
        <v>71.6132954545455</v>
      </c>
      <c r="U1864" s="12" t="n">
        <f aca="false">IFERROR(S1864/J1864-1,0)</f>
        <v>0.57217398094076</v>
      </c>
      <c r="V1864" s="2" t="str">
        <f aca="false">IF(S1864&lt;J1864,"SIM","NÃO")</f>
        <v>NÃO</v>
      </c>
      <c r="W1864" s="2" t="n">
        <v>5</v>
      </c>
      <c r="X1864" s="2" t="s">
        <v>156</v>
      </c>
    </row>
    <row r="1865" customFormat="false" ht="15" hidden="false" customHeight="false" outlineLevel="0" collapsed="false">
      <c r="A1865" s="2" t="n">
        <v>395640483</v>
      </c>
      <c r="B1865" s="29" t="n">
        <v>46281.9081712963</v>
      </c>
      <c r="C1865" s="2" t="s">
        <v>153</v>
      </c>
      <c r="D1865" s="2" t="s">
        <v>1898</v>
      </c>
      <c r="E1865" s="2" t="s">
        <v>79</v>
      </c>
      <c r="F1865" s="2" t="s">
        <v>109</v>
      </c>
      <c r="G1865" s="30" t="n">
        <v>52.3</v>
      </c>
      <c r="H1865" s="11" t="n">
        <v>645.14</v>
      </c>
      <c r="I1865" s="11" t="s">
        <v>155</v>
      </c>
      <c r="J1865" s="11" t="n">
        <v>128.38</v>
      </c>
      <c r="K1865" s="11" t="n">
        <v>128.14</v>
      </c>
      <c r="L1865" s="11" t="n">
        <v>0.6451</v>
      </c>
      <c r="M1865" s="11" t="n">
        <v>1.2903</v>
      </c>
      <c r="N1865" s="11" t="n">
        <v>1</v>
      </c>
      <c r="O1865" s="11" t="n">
        <v>4.5</v>
      </c>
      <c r="P1865" s="11" t="n">
        <v>3.18</v>
      </c>
      <c r="Q1865" s="11" t="n">
        <v>23.85</v>
      </c>
      <c r="R1865" s="11" t="n">
        <f aca="false">SUM(K1865:Q1865)</f>
        <v>162.6054</v>
      </c>
      <c r="S1865" s="11" t="n">
        <f aca="false">R1865/(1-Resumo!$C$6)</f>
        <v>184.778863636364</v>
      </c>
      <c r="T1865" s="11" t="n">
        <f aca="false">S1865-J1865</f>
        <v>56.3988636363636</v>
      </c>
      <c r="U1865" s="12" t="n">
        <f aca="false">IFERROR(S1865/J1865-1,0)</f>
        <v>0.439311914911697</v>
      </c>
      <c r="V1865" s="2" t="str">
        <f aca="false">IF(S1865&lt;J1865,"SIM","NÃO")</f>
        <v>NÃO</v>
      </c>
      <c r="W1865" s="2" t="n">
        <v>7</v>
      </c>
      <c r="X1865" s="2" t="s">
        <v>156</v>
      </c>
    </row>
    <row r="1866" customFormat="false" ht="15" hidden="false" customHeight="false" outlineLevel="0" collapsed="false">
      <c r="A1866" s="2" t="n">
        <v>395640734</v>
      </c>
      <c r="B1866" s="29" t="n">
        <v>46281.908599537</v>
      </c>
      <c r="C1866" s="2" t="s">
        <v>158</v>
      </c>
      <c r="D1866" s="2" t="s">
        <v>1899</v>
      </c>
      <c r="E1866" s="2" t="s">
        <v>85</v>
      </c>
      <c r="F1866" s="2" t="s">
        <v>112</v>
      </c>
      <c r="G1866" s="30" t="n">
        <v>81.7</v>
      </c>
      <c r="H1866" s="11" t="n">
        <v>645.99</v>
      </c>
      <c r="I1866" s="11" t="s">
        <v>155</v>
      </c>
      <c r="J1866" s="11" t="n">
        <v>191.68</v>
      </c>
      <c r="K1866" s="11" t="n">
        <v>200.04</v>
      </c>
      <c r="L1866" s="11" t="n">
        <v>0.646</v>
      </c>
      <c r="M1866" s="11" t="n">
        <v>1.292</v>
      </c>
      <c r="N1866" s="11" t="n">
        <v>1</v>
      </c>
      <c r="O1866" s="11" t="n">
        <v>4.5</v>
      </c>
      <c r="P1866" s="11" t="n">
        <v>4.92</v>
      </c>
      <c r="Q1866" s="11" t="n">
        <v>36.9</v>
      </c>
      <c r="R1866" s="11" t="n">
        <f aca="false">SUM(K1866:Q1866)</f>
        <v>249.298</v>
      </c>
      <c r="S1866" s="11" t="n">
        <f aca="false">R1866/(1-Resumo!$C$6)</f>
        <v>283.293181818182</v>
      </c>
      <c r="T1866" s="11" t="n">
        <f aca="false">S1866-J1866</f>
        <v>91.6131818181818</v>
      </c>
      <c r="U1866" s="12" t="n">
        <f aca="false">IFERROR(S1866/J1866-1,0)</f>
        <v>0.477948569585673</v>
      </c>
      <c r="V1866" s="2" t="str">
        <f aca="false">IF(S1866&lt;J1866,"SIM","NÃO")</f>
        <v>NÃO</v>
      </c>
      <c r="W1866" s="2" t="n">
        <v>11</v>
      </c>
      <c r="X1866" s="2" t="s">
        <v>156</v>
      </c>
    </row>
    <row r="1867" customFormat="false" ht="15" hidden="false" customHeight="false" outlineLevel="0" collapsed="false">
      <c r="A1867" s="2" t="n">
        <v>395640983</v>
      </c>
      <c r="B1867" s="29" t="n">
        <v>46281.9095717593</v>
      </c>
      <c r="C1867" s="2" t="s">
        <v>198</v>
      </c>
      <c r="D1867" s="2" t="s">
        <v>1900</v>
      </c>
      <c r="E1867" s="2" t="s">
        <v>79</v>
      </c>
      <c r="F1867" s="2" t="s">
        <v>112</v>
      </c>
      <c r="G1867" s="30" t="n">
        <v>81.7</v>
      </c>
      <c r="H1867" s="11" t="n">
        <v>879.99</v>
      </c>
      <c r="I1867" s="11" t="s">
        <v>155</v>
      </c>
      <c r="J1867" s="11" t="n">
        <v>173.05</v>
      </c>
      <c r="K1867" s="11" t="n">
        <v>178.42</v>
      </c>
      <c r="L1867" s="11" t="n">
        <v>0.88</v>
      </c>
      <c r="M1867" s="11" t="n">
        <v>1.76</v>
      </c>
      <c r="N1867" s="11" t="n">
        <v>1</v>
      </c>
      <c r="O1867" s="11" t="n">
        <v>4.5</v>
      </c>
      <c r="P1867" s="11" t="n">
        <v>4.92</v>
      </c>
      <c r="Q1867" s="11" t="n">
        <v>36.9</v>
      </c>
      <c r="R1867" s="11" t="n">
        <f aca="false">SUM(K1867:Q1867)</f>
        <v>228.38</v>
      </c>
      <c r="S1867" s="11" t="n">
        <f aca="false">R1867/(1-Resumo!$C$6)</f>
        <v>259.522727272727</v>
      </c>
      <c r="T1867" s="11" t="n">
        <f aca="false">S1867-J1867</f>
        <v>86.4727272727272</v>
      </c>
      <c r="U1867" s="12" t="n">
        <f aca="false">IFERROR(S1867/J1867-1,0)</f>
        <v>0.49969793280975</v>
      </c>
      <c r="V1867" s="2" t="str">
        <f aca="false">IF(S1867&lt;J1867,"SIM","NÃO")</f>
        <v>NÃO</v>
      </c>
      <c r="W1867" s="2" t="n">
        <v>7</v>
      </c>
      <c r="X1867" s="2" t="s">
        <v>156</v>
      </c>
    </row>
    <row r="1868" customFormat="false" ht="15" hidden="false" customHeight="false" outlineLevel="0" collapsed="false">
      <c r="A1868" s="2" t="n">
        <v>395645540</v>
      </c>
      <c r="B1868" s="29" t="n">
        <v>46281.9181018519</v>
      </c>
      <c r="C1868" s="2" t="s">
        <v>153</v>
      </c>
      <c r="D1868" s="2" t="s">
        <v>1901</v>
      </c>
      <c r="E1868" s="2" t="s">
        <v>78</v>
      </c>
      <c r="F1868" s="2" t="s">
        <v>106</v>
      </c>
      <c r="G1868" s="30" t="n">
        <v>21.3</v>
      </c>
      <c r="H1868" s="11" t="n">
        <v>299.99</v>
      </c>
      <c r="I1868" s="11" t="s">
        <v>155</v>
      </c>
      <c r="J1868" s="11" t="n">
        <v>81.76</v>
      </c>
      <c r="K1868" s="11" t="n">
        <v>82.21</v>
      </c>
      <c r="L1868" s="11" t="n">
        <v>0.3</v>
      </c>
      <c r="M1868" s="11" t="n">
        <v>0.6</v>
      </c>
      <c r="N1868" s="11" t="n">
        <v>1</v>
      </c>
      <c r="O1868" s="11" t="n">
        <v>4.5</v>
      </c>
      <c r="P1868" s="11" t="n">
        <v>1.32</v>
      </c>
      <c r="Q1868" s="11" t="n">
        <v>9.9</v>
      </c>
      <c r="R1868" s="11" t="n">
        <f aca="false">SUM(K1868:Q1868)</f>
        <v>99.83</v>
      </c>
      <c r="S1868" s="11" t="n">
        <f aca="false">R1868/(1-Resumo!$C$6)</f>
        <v>113.443181818182</v>
      </c>
      <c r="T1868" s="11" t="n">
        <f aca="false">S1868-J1868</f>
        <v>31.6831818181818</v>
      </c>
      <c r="U1868" s="12" t="n">
        <f aca="false">IFERROR(S1868/J1868-1,0)</f>
        <v>0.387514454723359</v>
      </c>
      <c r="V1868" s="2" t="str">
        <f aca="false">IF(S1868&lt;J1868,"SIM","NÃO")</f>
        <v>NÃO</v>
      </c>
      <c r="W1868" s="2" t="n">
        <v>5</v>
      </c>
      <c r="X1868" s="2" t="s">
        <v>156</v>
      </c>
    </row>
    <row r="1869" customFormat="false" ht="15" hidden="false" customHeight="false" outlineLevel="0" collapsed="false">
      <c r="A1869" s="2" t="n">
        <v>395654553</v>
      </c>
      <c r="B1869" s="29" t="n">
        <v>46281.9363657407</v>
      </c>
      <c r="C1869" s="2" t="s">
        <v>153</v>
      </c>
      <c r="D1869" s="2" t="s">
        <v>1902</v>
      </c>
      <c r="E1869" s="2" t="s">
        <v>78</v>
      </c>
      <c r="F1869" s="2" t="s">
        <v>106</v>
      </c>
      <c r="G1869" s="30" t="n">
        <v>34</v>
      </c>
      <c r="H1869" s="11" t="n">
        <v>529.32</v>
      </c>
      <c r="I1869" s="11" t="s">
        <v>155</v>
      </c>
      <c r="J1869" s="11" t="n">
        <v>82.86</v>
      </c>
      <c r="K1869" s="11" t="n">
        <v>82.21</v>
      </c>
      <c r="L1869" s="11" t="n">
        <v>0.5293</v>
      </c>
      <c r="M1869" s="11" t="n">
        <v>1.0586</v>
      </c>
      <c r="N1869" s="11" t="n">
        <v>1</v>
      </c>
      <c r="O1869" s="11" t="n">
        <v>4.5</v>
      </c>
      <c r="P1869" s="11" t="n">
        <v>2.04</v>
      </c>
      <c r="Q1869" s="11" t="n">
        <v>15.3</v>
      </c>
      <c r="R1869" s="11" t="n">
        <f aca="false">SUM(K1869:Q1869)</f>
        <v>106.6379</v>
      </c>
      <c r="S1869" s="11" t="n">
        <f aca="false">R1869/(1-Resumo!$C$6)</f>
        <v>121.179431818182</v>
      </c>
      <c r="T1869" s="11" t="n">
        <f aca="false">S1869-J1869</f>
        <v>38.3194318181818</v>
      </c>
      <c r="U1869" s="12" t="n">
        <f aca="false">IFERROR(S1869/J1869-1,0)</f>
        <v>0.46245995435894</v>
      </c>
      <c r="V1869" s="2" t="str">
        <f aca="false">IF(S1869&lt;J1869,"SIM","NÃO")</f>
        <v>NÃO</v>
      </c>
      <c r="W1869" s="2" t="n">
        <v>5</v>
      </c>
      <c r="X1869" s="2" t="s">
        <v>156</v>
      </c>
    </row>
    <row r="1870" customFormat="false" ht="15" hidden="false" customHeight="false" outlineLevel="0" collapsed="false">
      <c r="A1870" s="2" t="n">
        <v>395665084</v>
      </c>
      <c r="B1870" s="29" t="n">
        <v>46281.9581597222</v>
      </c>
      <c r="C1870" s="2" t="s">
        <v>158</v>
      </c>
      <c r="D1870" s="2" t="s">
        <v>1903</v>
      </c>
      <c r="E1870" s="2" t="s">
        <v>78</v>
      </c>
      <c r="F1870" s="2" t="s">
        <v>109</v>
      </c>
      <c r="G1870" s="30" t="n">
        <v>58.6</v>
      </c>
      <c r="H1870" s="11" t="n">
        <v>669.2</v>
      </c>
      <c r="I1870" s="11" t="s">
        <v>155</v>
      </c>
      <c r="J1870" s="11" t="n">
        <v>114.36</v>
      </c>
      <c r="K1870" s="11" t="n">
        <v>112.3</v>
      </c>
      <c r="L1870" s="11" t="n">
        <v>0.6692</v>
      </c>
      <c r="M1870" s="11" t="n">
        <v>1.3384</v>
      </c>
      <c r="N1870" s="11" t="n">
        <v>1</v>
      </c>
      <c r="O1870" s="11" t="n">
        <v>4.5</v>
      </c>
      <c r="P1870" s="11" t="n">
        <v>3.54</v>
      </c>
      <c r="Q1870" s="11" t="n">
        <v>26.55</v>
      </c>
      <c r="R1870" s="11" t="n">
        <f aca="false">SUM(K1870:Q1870)</f>
        <v>149.8976</v>
      </c>
      <c r="S1870" s="11" t="n">
        <f aca="false">R1870/(1-Resumo!$C$6)</f>
        <v>170.338181818182</v>
      </c>
      <c r="T1870" s="11" t="n">
        <f aca="false">S1870-J1870</f>
        <v>55.9781818181818</v>
      </c>
      <c r="U1870" s="12" t="n">
        <f aca="false">IFERROR(S1870/J1870-1,0)</f>
        <v>0.489490921809915</v>
      </c>
      <c r="V1870" s="2" t="str">
        <f aca="false">IF(S1870&lt;J1870,"SIM","NÃO")</f>
        <v>NÃO</v>
      </c>
      <c r="W1870" s="2" t="n">
        <v>5</v>
      </c>
      <c r="X1870" s="2" t="s">
        <v>156</v>
      </c>
    </row>
    <row r="1871" customFormat="false" ht="15" hidden="false" customHeight="false" outlineLevel="0" collapsed="false">
      <c r="A1871" s="2" t="n">
        <v>395668545</v>
      </c>
      <c r="B1871" s="29" t="n">
        <v>46281.9659606482</v>
      </c>
      <c r="C1871" s="2" t="s">
        <v>153</v>
      </c>
      <c r="D1871" s="2" t="s">
        <v>1904</v>
      </c>
      <c r="E1871" s="2" t="s">
        <v>89</v>
      </c>
      <c r="F1871" s="2" t="s">
        <v>107</v>
      </c>
      <c r="G1871" s="30" t="n">
        <v>37.2</v>
      </c>
      <c r="H1871" s="11" t="n">
        <v>399.99</v>
      </c>
      <c r="I1871" s="11" t="s">
        <v>155</v>
      </c>
      <c r="J1871" s="11" t="n">
        <v>122.16</v>
      </c>
      <c r="K1871" s="11" t="n">
        <v>124.38</v>
      </c>
      <c r="L1871" s="11" t="n">
        <v>0.4</v>
      </c>
      <c r="M1871" s="11" t="n">
        <v>0.8</v>
      </c>
      <c r="N1871" s="11" t="n">
        <v>1</v>
      </c>
      <c r="O1871" s="11" t="n">
        <v>4.5</v>
      </c>
      <c r="P1871" s="11" t="n">
        <v>2.28</v>
      </c>
      <c r="Q1871" s="11" t="n">
        <v>17.1</v>
      </c>
      <c r="R1871" s="11" t="n">
        <f aca="false">SUM(K1871:Q1871)</f>
        <v>150.46</v>
      </c>
      <c r="S1871" s="11" t="n">
        <f aca="false">R1871/(1-Resumo!$C$6)</f>
        <v>170.977272727273</v>
      </c>
      <c r="T1871" s="11" t="n">
        <f aca="false">S1871-J1871</f>
        <v>48.8172727272727</v>
      </c>
      <c r="U1871" s="12" t="n">
        <f aca="false">IFERROR(S1871/J1871-1,0)</f>
        <v>0.39961749121867</v>
      </c>
      <c r="V1871" s="2" t="str">
        <f aca="false">IF(S1871&lt;J1871,"SIM","NÃO")</f>
        <v>NÃO</v>
      </c>
      <c r="W1871" s="2" t="n">
        <v>8</v>
      </c>
      <c r="X1871" s="2" t="s">
        <v>156</v>
      </c>
    </row>
    <row r="1872" customFormat="false" ht="15" hidden="false" customHeight="false" outlineLevel="0" collapsed="false">
      <c r="A1872" s="2" t="n">
        <v>395680133</v>
      </c>
      <c r="B1872" s="29" t="n">
        <v>46281.9907060185</v>
      </c>
      <c r="C1872" s="2" t="s">
        <v>153</v>
      </c>
      <c r="D1872" s="2" t="s">
        <v>1905</v>
      </c>
      <c r="E1872" s="2" t="s">
        <v>78</v>
      </c>
      <c r="F1872" s="2" t="s">
        <v>107</v>
      </c>
      <c r="G1872" s="30" t="n">
        <v>39</v>
      </c>
      <c r="H1872" s="11" t="n">
        <v>819.99</v>
      </c>
      <c r="I1872" s="11" t="s">
        <v>155</v>
      </c>
      <c r="J1872" s="11" t="n">
        <v>93.78</v>
      </c>
      <c r="K1872" s="11" t="n">
        <v>93.97</v>
      </c>
      <c r="L1872" s="11" t="n">
        <v>0.82</v>
      </c>
      <c r="M1872" s="11" t="n">
        <v>1.64</v>
      </c>
      <c r="N1872" s="11" t="n">
        <v>1</v>
      </c>
      <c r="O1872" s="11" t="n">
        <v>4.5</v>
      </c>
      <c r="P1872" s="11" t="n">
        <v>2.34</v>
      </c>
      <c r="Q1872" s="11" t="n">
        <v>17.55</v>
      </c>
      <c r="R1872" s="11" t="n">
        <f aca="false">SUM(K1872:Q1872)</f>
        <v>121.82</v>
      </c>
      <c r="S1872" s="11" t="n">
        <f aca="false">R1872/(1-Resumo!$C$6)</f>
        <v>138.431818181818</v>
      </c>
      <c r="T1872" s="11" t="n">
        <f aca="false">S1872-J1872</f>
        <v>44.6518181818182</v>
      </c>
      <c r="U1872" s="12" t="n">
        <f aca="false">IFERROR(S1872/J1872-1,0)</f>
        <v>0.476133697822757</v>
      </c>
      <c r="V1872" s="2" t="str">
        <f aca="false">IF(S1872&lt;J1872,"SIM","NÃO")</f>
        <v>NÃO</v>
      </c>
      <c r="W1872" s="2" t="n">
        <v>5</v>
      </c>
      <c r="X1872" s="2" t="s">
        <v>156</v>
      </c>
    </row>
    <row r="1873" customFormat="false" ht="15" hidden="false" customHeight="false" outlineLevel="0" collapsed="false">
      <c r="A1873" s="2" t="n">
        <v>395688188</v>
      </c>
      <c r="B1873" s="29" t="n">
        <v>46282.0111342593</v>
      </c>
      <c r="C1873" s="2" t="s">
        <v>153</v>
      </c>
      <c r="D1873" s="2" t="s">
        <v>1906</v>
      </c>
      <c r="E1873" s="2" t="s">
        <v>84</v>
      </c>
      <c r="F1873" s="2" t="s">
        <v>110</v>
      </c>
      <c r="G1873" s="30" t="n">
        <v>63</v>
      </c>
      <c r="H1873" s="11" t="n">
        <v>702.57</v>
      </c>
      <c r="I1873" s="11" t="s">
        <v>155</v>
      </c>
      <c r="J1873" s="11" t="n">
        <v>139.81</v>
      </c>
      <c r="K1873" s="11" t="n">
        <v>131.02</v>
      </c>
      <c r="L1873" s="11" t="n">
        <v>0.7026</v>
      </c>
      <c r="M1873" s="11" t="n">
        <v>1.4051</v>
      </c>
      <c r="N1873" s="11" t="n">
        <v>1</v>
      </c>
      <c r="O1873" s="11" t="n">
        <v>4.5</v>
      </c>
      <c r="P1873" s="11" t="n">
        <v>3.78</v>
      </c>
      <c r="Q1873" s="11" t="n">
        <v>28.35</v>
      </c>
      <c r="R1873" s="11" t="n">
        <f aca="false">SUM(K1873:Q1873)</f>
        <v>170.7577</v>
      </c>
      <c r="S1873" s="11" t="n">
        <f aca="false">R1873/(1-Resumo!$C$6)</f>
        <v>194.042840909091</v>
      </c>
      <c r="T1873" s="11" t="n">
        <f aca="false">S1873-J1873</f>
        <v>54.2328409090909</v>
      </c>
      <c r="U1873" s="12" t="n">
        <f aca="false">IFERROR(S1873/J1873-1,0)</f>
        <v>0.38790387603956</v>
      </c>
      <c r="V1873" s="2" t="str">
        <f aca="false">IF(S1873&lt;J1873,"SIM","NÃO")</f>
        <v>NÃO</v>
      </c>
      <c r="W1873" s="2" t="n">
        <v>5</v>
      </c>
      <c r="X1873" s="2" t="s">
        <v>156</v>
      </c>
    </row>
    <row r="1874" customFormat="false" ht="15" hidden="false" customHeight="false" outlineLevel="0" collapsed="false">
      <c r="A1874" s="2" t="n">
        <v>395710154</v>
      </c>
      <c r="B1874" s="29" t="n">
        <v>46282.0831481482</v>
      </c>
      <c r="C1874" s="2" t="s">
        <v>198</v>
      </c>
      <c r="D1874" s="2" t="s">
        <v>1907</v>
      </c>
      <c r="E1874" s="2" t="s">
        <v>82</v>
      </c>
      <c r="F1874" s="2" t="s">
        <v>106</v>
      </c>
      <c r="G1874" s="30" t="n">
        <v>24.4</v>
      </c>
      <c r="H1874" s="11" t="n">
        <v>297.49</v>
      </c>
      <c r="I1874" s="11" t="s">
        <v>155</v>
      </c>
      <c r="J1874" s="11" t="n">
        <v>100.8</v>
      </c>
      <c r="K1874" s="11" t="n">
        <v>100.58</v>
      </c>
      <c r="L1874" s="11" t="n">
        <v>0.2975</v>
      </c>
      <c r="M1874" s="11" t="n">
        <v>0.595</v>
      </c>
      <c r="N1874" s="11" t="n">
        <v>1</v>
      </c>
      <c r="O1874" s="11" t="n">
        <v>4.5</v>
      </c>
      <c r="P1874" s="11" t="n">
        <v>1.5</v>
      </c>
      <c r="Q1874" s="11" t="n">
        <v>11.25</v>
      </c>
      <c r="R1874" s="11" t="n">
        <f aca="false">SUM(K1874:Q1874)</f>
        <v>119.7225</v>
      </c>
      <c r="S1874" s="11" t="n">
        <f aca="false">R1874/(1-Resumo!$C$6)</f>
        <v>136.048295454545</v>
      </c>
      <c r="T1874" s="11" t="n">
        <f aca="false">S1874-J1874</f>
        <v>35.2482954545454</v>
      </c>
      <c r="U1874" s="12" t="n">
        <f aca="false">IFERROR(S1874/J1874-1,0)</f>
        <v>0.349685470779221</v>
      </c>
      <c r="V1874" s="2" t="str">
        <f aca="false">IF(S1874&lt;J1874,"SIM","NÃO")</f>
        <v>NÃO</v>
      </c>
      <c r="W1874" s="2" t="n">
        <v>7</v>
      </c>
      <c r="X1874" s="2" t="s">
        <v>156</v>
      </c>
    </row>
    <row r="1875" customFormat="false" ht="15" hidden="false" customHeight="false" outlineLevel="0" collapsed="false">
      <c r="A1875" s="2" t="n">
        <v>395714575</v>
      </c>
      <c r="B1875" s="29" t="n">
        <v>46282.1010763889</v>
      </c>
      <c r="C1875" s="2" t="s">
        <v>153</v>
      </c>
      <c r="D1875" s="2" t="s">
        <v>1908</v>
      </c>
      <c r="E1875" s="2" t="s">
        <v>91</v>
      </c>
      <c r="F1875" s="2" t="s">
        <v>106</v>
      </c>
      <c r="G1875" s="30" t="n">
        <v>27.4</v>
      </c>
      <c r="H1875" s="11" t="n">
        <v>329.99</v>
      </c>
      <c r="I1875" s="11" t="s">
        <v>155</v>
      </c>
      <c r="J1875" s="11" t="n">
        <v>108.76</v>
      </c>
      <c r="K1875" s="11" t="n">
        <v>114.95</v>
      </c>
      <c r="L1875" s="11" t="n">
        <v>0.33</v>
      </c>
      <c r="M1875" s="11" t="n">
        <v>0.66</v>
      </c>
      <c r="N1875" s="11" t="n">
        <v>1</v>
      </c>
      <c r="O1875" s="11" t="n">
        <v>4.5</v>
      </c>
      <c r="P1875" s="11" t="n">
        <v>1.68</v>
      </c>
      <c r="Q1875" s="11" t="n">
        <v>12.6</v>
      </c>
      <c r="R1875" s="11" t="n">
        <f aca="false">SUM(K1875:Q1875)</f>
        <v>135.72</v>
      </c>
      <c r="S1875" s="11" t="n">
        <f aca="false">R1875/(1-Resumo!$C$6)</f>
        <v>154.227272727273</v>
      </c>
      <c r="T1875" s="11" t="n">
        <f aca="false">S1875-J1875</f>
        <v>45.4672727272727</v>
      </c>
      <c r="U1875" s="12" t="n">
        <f aca="false">IFERROR(S1875/J1875-1,0)</f>
        <v>0.418051422648701</v>
      </c>
      <c r="V1875" s="2" t="str">
        <f aca="false">IF(S1875&lt;J1875,"SIM","NÃO")</f>
        <v>NÃO</v>
      </c>
      <c r="W1875" s="2" t="n">
        <v>10</v>
      </c>
      <c r="X1875" s="2" t="s">
        <v>156</v>
      </c>
    </row>
    <row r="1876" customFormat="false" ht="15" hidden="false" customHeight="false" outlineLevel="0" collapsed="false">
      <c r="A1876" s="2" t="n">
        <v>395744090</v>
      </c>
      <c r="B1876" s="29" t="n">
        <v>46282.2219791667</v>
      </c>
      <c r="C1876" s="2" t="s">
        <v>153</v>
      </c>
      <c r="D1876" s="2" t="s">
        <v>1166</v>
      </c>
      <c r="E1876" s="2" t="s">
        <v>78</v>
      </c>
      <c r="F1876" s="2" t="s">
        <v>107</v>
      </c>
      <c r="G1876" s="30" t="n">
        <v>37.2</v>
      </c>
      <c r="H1876" s="11" t="n">
        <v>399.99</v>
      </c>
      <c r="I1876" s="11" t="s">
        <v>155</v>
      </c>
      <c r="J1876" s="11" t="n">
        <v>91.77</v>
      </c>
      <c r="K1876" s="11" t="n">
        <v>93.97</v>
      </c>
      <c r="L1876" s="11" t="n">
        <v>0.4</v>
      </c>
      <c r="M1876" s="11" t="n">
        <v>0.8</v>
      </c>
      <c r="N1876" s="11" t="n">
        <v>1</v>
      </c>
      <c r="O1876" s="11" t="n">
        <v>4.5</v>
      </c>
      <c r="P1876" s="11" t="n">
        <v>2.28</v>
      </c>
      <c r="Q1876" s="11" t="n">
        <v>17.1</v>
      </c>
      <c r="R1876" s="11" t="n">
        <f aca="false">SUM(K1876:Q1876)</f>
        <v>120.05</v>
      </c>
      <c r="S1876" s="11" t="n">
        <f aca="false">R1876/(1-Resumo!$C$6)</f>
        <v>136.420454545455</v>
      </c>
      <c r="T1876" s="11" t="n">
        <f aca="false">S1876-J1876</f>
        <v>44.6504545454546</v>
      </c>
      <c r="U1876" s="12" t="n">
        <f aca="false">IFERROR(S1876/J1876-1,0)</f>
        <v>0.48654739615838</v>
      </c>
      <c r="V1876" s="2" t="str">
        <f aca="false">IF(S1876&lt;J1876,"SIM","NÃO")</f>
        <v>NÃO</v>
      </c>
      <c r="W1876" s="2" t="n">
        <v>5</v>
      </c>
      <c r="X1876" s="2" t="s">
        <v>156</v>
      </c>
    </row>
    <row r="1877" customFormat="false" ht="15" hidden="false" customHeight="false" outlineLevel="0" collapsed="false">
      <c r="A1877" s="2" t="n">
        <v>395771362</v>
      </c>
      <c r="B1877" s="29" t="n">
        <v>46282.3222106482</v>
      </c>
      <c r="C1877" s="2" t="s">
        <v>153</v>
      </c>
      <c r="D1877" s="2" t="s">
        <v>1909</v>
      </c>
      <c r="E1877" s="2" t="s">
        <v>800</v>
      </c>
      <c r="F1877" s="2" t="s">
        <v>109</v>
      </c>
      <c r="G1877" s="30" t="n">
        <v>52.3</v>
      </c>
      <c r="H1877" s="11" t="n">
        <v>645.14</v>
      </c>
      <c r="I1877" s="11" t="s">
        <v>155</v>
      </c>
      <c r="J1877" s="11" t="n">
        <v>142.76</v>
      </c>
      <c r="K1877" s="11" t="n">
        <v>142.32</v>
      </c>
      <c r="L1877" s="11" t="n">
        <v>0.6451</v>
      </c>
      <c r="M1877" s="11" t="n">
        <v>1.2903</v>
      </c>
      <c r="N1877" s="11" t="n">
        <v>1</v>
      </c>
      <c r="O1877" s="11" t="n">
        <v>4.5</v>
      </c>
      <c r="P1877" s="11" t="n">
        <v>3.18</v>
      </c>
      <c r="Q1877" s="11" t="n">
        <v>23.85</v>
      </c>
      <c r="R1877" s="11" t="n">
        <f aca="false">SUM(K1877:Q1877)</f>
        <v>176.7854</v>
      </c>
      <c r="S1877" s="11" t="n">
        <f aca="false">R1877/(1-Resumo!$C$6)</f>
        <v>200.8925</v>
      </c>
      <c r="T1877" s="11" t="n">
        <f aca="false">S1877-J1877</f>
        <v>58.1325</v>
      </c>
      <c r="U1877" s="12" t="n">
        <f aca="false">IFERROR(S1877/J1877-1,0)</f>
        <v>0.407204398991314</v>
      </c>
      <c r="V1877" s="2" t="str">
        <f aca="false">IF(S1877&lt;J1877,"SIM","NÃO")</f>
        <v>NÃO</v>
      </c>
      <c r="W1877" s="2" t="n">
        <v>10</v>
      </c>
      <c r="X1877" s="2" t="s">
        <v>161</v>
      </c>
    </row>
    <row r="1878" customFormat="false" ht="15" hidden="false" customHeight="false" outlineLevel="0" collapsed="false">
      <c r="A1878" s="2" t="n">
        <v>395774633</v>
      </c>
      <c r="B1878" s="29" t="n">
        <v>46282.3348263889</v>
      </c>
      <c r="C1878" s="2" t="s">
        <v>191</v>
      </c>
      <c r="D1878" s="2" t="s">
        <v>1140</v>
      </c>
      <c r="E1878" s="2" t="s">
        <v>78</v>
      </c>
      <c r="F1878" s="2" t="s">
        <v>109</v>
      </c>
      <c r="G1878" s="30" t="n">
        <v>58.6</v>
      </c>
      <c r="H1878" s="11" t="n">
        <v>692.99</v>
      </c>
      <c r="I1878" s="11" t="s">
        <v>155</v>
      </c>
      <c r="J1878" s="11" t="n">
        <v>114.48</v>
      </c>
      <c r="K1878" s="11" t="n">
        <v>112.3</v>
      </c>
      <c r="L1878" s="11" t="n">
        <v>0.693</v>
      </c>
      <c r="M1878" s="11" t="n">
        <v>1.386</v>
      </c>
      <c r="N1878" s="11" t="n">
        <v>1</v>
      </c>
      <c r="O1878" s="11" t="n">
        <v>4.5</v>
      </c>
      <c r="P1878" s="11" t="n">
        <v>3.54</v>
      </c>
      <c r="Q1878" s="11" t="n">
        <v>26.55</v>
      </c>
      <c r="R1878" s="11" t="n">
        <f aca="false">SUM(K1878:Q1878)</f>
        <v>149.969</v>
      </c>
      <c r="S1878" s="11" t="n">
        <f aca="false">R1878/(1-Resumo!$C$6)</f>
        <v>170.419318181818</v>
      </c>
      <c r="T1878" s="11" t="n">
        <f aca="false">S1878-J1878</f>
        <v>55.9393181818182</v>
      </c>
      <c r="U1878" s="12" t="n">
        <f aca="false">IFERROR(S1878/J1878-1,0)</f>
        <v>0.488638348897783</v>
      </c>
      <c r="V1878" s="2" t="str">
        <f aca="false">IF(S1878&lt;J1878,"SIM","NÃO")</f>
        <v>NÃO</v>
      </c>
      <c r="W1878" s="2" t="n">
        <v>5</v>
      </c>
      <c r="X1878" s="2" t="s">
        <v>156</v>
      </c>
    </row>
    <row r="1879" customFormat="false" ht="15" hidden="false" customHeight="false" outlineLevel="0" collapsed="false">
      <c r="A1879" s="2" t="n">
        <v>395786580</v>
      </c>
      <c r="B1879" s="29" t="n">
        <v>46282.3651967593</v>
      </c>
      <c r="C1879" s="2" t="s">
        <v>153</v>
      </c>
      <c r="D1879" s="2" t="s">
        <v>1910</v>
      </c>
      <c r="E1879" s="2" t="s">
        <v>83</v>
      </c>
      <c r="F1879" s="2" t="s">
        <v>109</v>
      </c>
      <c r="G1879" s="30" t="n">
        <v>56.7</v>
      </c>
      <c r="H1879" s="11" t="n">
        <v>799.99</v>
      </c>
      <c r="I1879" s="11" t="s">
        <v>155</v>
      </c>
      <c r="J1879" s="11" t="n">
        <v>143.5</v>
      </c>
      <c r="K1879" s="11" t="n">
        <v>162.04</v>
      </c>
      <c r="L1879" s="11" t="n">
        <v>0.8</v>
      </c>
      <c r="M1879" s="11" t="n">
        <v>1.6</v>
      </c>
      <c r="N1879" s="11" t="n">
        <v>1</v>
      </c>
      <c r="O1879" s="11" t="n">
        <v>4.5</v>
      </c>
      <c r="P1879" s="11" t="n">
        <v>3.42</v>
      </c>
      <c r="Q1879" s="11" t="n">
        <v>25.65</v>
      </c>
      <c r="R1879" s="11" t="n">
        <f aca="false">SUM(K1879:Q1879)</f>
        <v>199.01</v>
      </c>
      <c r="S1879" s="11" t="n">
        <f aca="false">R1879/(1-Resumo!$C$6)</f>
        <v>226.147727272727</v>
      </c>
      <c r="T1879" s="11" t="n">
        <f aca="false">S1879-J1879</f>
        <v>82.6477272727273</v>
      </c>
      <c r="U1879" s="12" t="n">
        <f aca="false">IFERROR(S1879/J1879-1,0)</f>
        <v>0.575942350332594</v>
      </c>
      <c r="V1879" s="2" t="str">
        <f aca="false">IF(S1879&lt;J1879,"SIM","NÃO")</f>
        <v>NÃO</v>
      </c>
      <c r="W1879" s="2" t="n">
        <v>11</v>
      </c>
      <c r="X1879" s="2" t="s">
        <v>156</v>
      </c>
    </row>
    <row r="1880" customFormat="false" ht="15" hidden="false" customHeight="false" outlineLevel="0" collapsed="false">
      <c r="A1880" s="2" t="n">
        <v>395800048</v>
      </c>
      <c r="B1880" s="29" t="n">
        <v>46282.3974652778</v>
      </c>
      <c r="C1880" s="2" t="s">
        <v>153</v>
      </c>
      <c r="D1880" s="2" t="s">
        <v>1911</v>
      </c>
      <c r="E1880" s="2" t="s">
        <v>81</v>
      </c>
      <c r="F1880" s="2" t="s">
        <v>109</v>
      </c>
      <c r="G1880" s="30" t="n">
        <v>52.3</v>
      </c>
      <c r="H1880" s="11" t="n">
        <v>699.99</v>
      </c>
      <c r="I1880" s="11" t="s">
        <v>155</v>
      </c>
      <c r="J1880" s="11" t="n">
        <v>128.64</v>
      </c>
      <c r="K1880" s="11" t="n">
        <v>112.3</v>
      </c>
      <c r="L1880" s="11" t="n">
        <v>0.7</v>
      </c>
      <c r="M1880" s="11" t="n">
        <v>1.4</v>
      </c>
      <c r="N1880" s="11" t="n">
        <v>1</v>
      </c>
      <c r="O1880" s="11" t="n">
        <v>4.5</v>
      </c>
      <c r="P1880" s="11" t="n">
        <v>3.18</v>
      </c>
      <c r="Q1880" s="11" t="n">
        <v>23.85</v>
      </c>
      <c r="R1880" s="11" t="n">
        <f aca="false">SUM(K1880:Q1880)</f>
        <v>146.93</v>
      </c>
      <c r="S1880" s="11" t="n">
        <f aca="false">R1880/(1-Resumo!$C$6)</f>
        <v>166.965909090909</v>
      </c>
      <c r="T1880" s="11" t="n">
        <f aca="false">S1880-J1880</f>
        <v>38.3259090909091</v>
      </c>
      <c r="U1880" s="12" t="n">
        <f aca="false">IFERROR(S1880/J1880-1,0)</f>
        <v>0.297931507236545</v>
      </c>
      <c r="V1880" s="2" t="str">
        <f aca="false">IF(S1880&lt;J1880,"SIM","NÃO")</f>
        <v>NÃO</v>
      </c>
      <c r="W1880" s="2" t="n">
        <v>5</v>
      </c>
      <c r="X1880" s="2" t="s">
        <v>156</v>
      </c>
    </row>
    <row r="1881" customFormat="false" ht="15" hidden="false" customHeight="false" outlineLevel="0" collapsed="false">
      <c r="A1881" s="2" t="n">
        <v>395808305</v>
      </c>
      <c r="B1881" s="29" t="n">
        <v>46282.4158449074</v>
      </c>
      <c r="C1881" s="2" t="s">
        <v>153</v>
      </c>
      <c r="D1881" s="2" t="s">
        <v>1912</v>
      </c>
      <c r="E1881" s="2" t="s">
        <v>650</v>
      </c>
      <c r="F1881" s="2" t="s">
        <v>105</v>
      </c>
      <c r="G1881" s="30" t="n">
        <v>19.5</v>
      </c>
      <c r="H1881" s="11" t="n">
        <v>450.7</v>
      </c>
      <c r="I1881" s="11" t="s">
        <v>155</v>
      </c>
      <c r="J1881" s="11" t="n">
        <v>80.82</v>
      </c>
      <c r="K1881" s="11" t="n">
        <v>100.7</v>
      </c>
      <c r="L1881" s="11" t="n">
        <v>0.4507</v>
      </c>
      <c r="M1881" s="11" t="n">
        <v>0.9014</v>
      </c>
      <c r="N1881" s="11" t="n">
        <v>1</v>
      </c>
      <c r="O1881" s="11" t="n">
        <v>4.5</v>
      </c>
      <c r="P1881" s="11" t="n">
        <v>1.2</v>
      </c>
      <c r="Q1881" s="11" t="n">
        <v>9</v>
      </c>
      <c r="R1881" s="11" t="n">
        <f aca="false">SUM(K1881:Q1881)</f>
        <v>117.7521</v>
      </c>
      <c r="S1881" s="11" t="n">
        <f aca="false">R1881/(1-Resumo!$C$6)</f>
        <v>133.809204545455</v>
      </c>
      <c r="T1881" s="11" t="n">
        <f aca="false">S1881-J1881</f>
        <v>52.9892045454546</v>
      </c>
      <c r="U1881" s="12" t="n">
        <f aca="false">IFERROR(S1881/J1881-1,0)</f>
        <v>0.655644698656948</v>
      </c>
      <c r="V1881" s="2" t="str">
        <f aca="false">IF(S1881&lt;J1881,"SIM","NÃO")</f>
        <v>NÃO</v>
      </c>
      <c r="W1881" s="2" t="n">
        <v>10</v>
      </c>
      <c r="X1881" s="2" t="s">
        <v>161</v>
      </c>
    </row>
    <row r="1882" customFormat="false" ht="15" hidden="false" customHeight="false" outlineLevel="0" collapsed="false">
      <c r="A1882" s="2" t="n">
        <v>395809443</v>
      </c>
      <c r="B1882" s="29" t="n">
        <v>46282.4192361111</v>
      </c>
      <c r="C1882" s="2" t="s">
        <v>153</v>
      </c>
      <c r="D1882" s="2" t="s">
        <v>1913</v>
      </c>
      <c r="E1882" s="2" t="s">
        <v>96</v>
      </c>
      <c r="F1882" s="2" t="s">
        <v>109</v>
      </c>
      <c r="G1882" s="30" t="n">
        <v>52.3</v>
      </c>
      <c r="H1882" s="11" t="n">
        <v>645.14</v>
      </c>
      <c r="I1882" s="11" t="s">
        <v>155</v>
      </c>
      <c r="J1882" s="11" t="n">
        <v>142.76</v>
      </c>
      <c r="K1882" s="11" t="n">
        <v>144.53</v>
      </c>
      <c r="L1882" s="11" t="n">
        <v>0.6451</v>
      </c>
      <c r="M1882" s="11" t="n">
        <v>1.2903</v>
      </c>
      <c r="N1882" s="11" t="n">
        <v>1</v>
      </c>
      <c r="O1882" s="11" t="n">
        <v>4.5</v>
      </c>
      <c r="P1882" s="11" t="n">
        <v>3.18</v>
      </c>
      <c r="Q1882" s="11" t="n">
        <v>23.85</v>
      </c>
      <c r="R1882" s="11" t="n">
        <f aca="false">SUM(K1882:Q1882)</f>
        <v>178.9954</v>
      </c>
      <c r="S1882" s="11" t="n">
        <f aca="false">R1882/(1-Resumo!$C$6)</f>
        <v>203.403863636364</v>
      </c>
      <c r="T1882" s="11" t="n">
        <f aca="false">S1882-J1882</f>
        <v>60.6438636363636</v>
      </c>
      <c r="U1882" s="12" t="n">
        <f aca="false">IFERROR(S1882/J1882-1,0)</f>
        <v>0.424795906671082</v>
      </c>
      <c r="V1882" s="2" t="str">
        <f aca="false">IF(S1882&lt;J1882,"SIM","NÃO")</f>
        <v>NÃO</v>
      </c>
      <c r="W1882" s="2" t="n">
        <v>10</v>
      </c>
      <c r="X1882" s="2" t="s">
        <v>156</v>
      </c>
    </row>
    <row r="1883" customFormat="false" ht="15" hidden="false" customHeight="false" outlineLevel="0" collapsed="false">
      <c r="A1883" s="2" t="n">
        <v>395828342</v>
      </c>
      <c r="B1883" s="29" t="n">
        <v>46282.4647222222</v>
      </c>
      <c r="C1883" s="2" t="s">
        <v>153</v>
      </c>
      <c r="D1883" s="2" t="s">
        <v>1232</v>
      </c>
      <c r="E1883" s="2" t="s">
        <v>79</v>
      </c>
      <c r="F1883" s="2" t="s">
        <v>109</v>
      </c>
      <c r="G1883" s="30" t="n">
        <v>60</v>
      </c>
      <c r="H1883" s="11" t="n">
        <v>823.09</v>
      </c>
      <c r="I1883" s="11" t="s">
        <v>155</v>
      </c>
      <c r="J1883" s="11" t="n">
        <v>129.24</v>
      </c>
      <c r="K1883" s="11" t="n">
        <v>128.14</v>
      </c>
      <c r="L1883" s="11" t="n">
        <v>0.8231</v>
      </c>
      <c r="M1883" s="11" t="n">
        <v>1.6462</v>
      </c>
      <c r="N1883" s="11" t="n">
        <v>1</v>
      </c>
      <c r="O1883" s="11" t="n">
        <v>4.5</v>
      </c>
      <c r="P1883" s="11" t="n">
        <v>3.6</v>
      </c>
      <c r="Q1883" s="11" t="n">
        <v>27</v>
      </c>
      <c r="R1883" s="11" t="n">
        <f aca="false">SUM(K1883:Q1883)</f>
        <v>166.7093</v>
      </c>
      <c r="S1883" s="11" t="n">
        <f aca="false">R1883/(1-Resumo!$C$6)</f>
        <v>189.442386363636</v>
      </c>
      <c r="T1883" s="11" t="n">
        <f aca="false">S1883-J1883</f>
        <v>60.2023863636364</v>
      </c>
      <c r="U1883" s="12" t="n">
        <f aca="false">IFERROR(S1883/J1883-1,0)</f>
        <v>0.465818526490532</v>
      </c>
      <c r="V1883" s="2" t="str">
        <f aca="false">IF(S1883&lt;J1883,"SIM","NÃO")</f>
        <v>NÃO</v>
      </c>
      <c r="W1883" s="2" t="n">
        <v>7</v>
      </c>
      <c r="X1883" s="2" t="s">
        <v>156</v>
      </c>
    </row>
    <row r="1884" customFormat="false" ht="15" hidden="false" customHeight="false" outlineLevel="0" collapsed="false">
      <c r="A1884" s="2" t="n">
        <v>395837545</v>
      </c>
      <c r="B1884" s="29" t="n">
        <v>46282.4882175926</v>
      </c>
      <c r="C1884" s="2" t="s">
        <v>153</v>
      </c>
      <c r="D1884" s="2" t="s">
        <v>1914</v>
      </c>
      <c r="E1884" s="2" t="s">
        <v>78</v>
      </c>
      <c r="F1884" s="2" t="s">
        <v>107</v>
      </c>
      <c r="G1884" s="30" t="n">
        <v>40</v>
      </c>
      <c r="H1884" s="11" t="n">
        <v>562.42</v>
      </c>
      <c r="I1884" s="11" t="s">
        <v>155</v>
      </c>
      <c r="J1884" s="11" t="n">
        <v>92.55</v>
      </c>
      <c r="K1884" s="11" t="n">
        <v>93.97</v>
      </c>
      <c r="L1884" s="11" t="n">
        <v>0.5624</v>
      </c>
      <c r="M1884" s="11" t="n">
        <v>1.1248</v>
      </c>
      <c r="N1884" s="11" t="n">
        <v>1</v>
      </c>
      <c r="O1884" s="11" t="n">
        <v>4.5</v>
      </c>
      <c r="P1884" s="11" t="n">
        <v>2.4</v>
      </c>
      <c r="Q1884" s="11" t="n">
        <v>18</v>
      </c>
      <c r="R1884" s="11" t="n">
        <f aca="false">SUM(K1884:Q1884)</f>
        <v>121.5572</v>
      </c>
      <c r="S1884" s="11" t="n">
        <f aca="false">R1884/(1-Resumo!$C$6)</f>
        <v>138.133181818182</v>
      </c>
      <c r="T1884" s="11" t="n">
        <f aca="false">S1884-J1884</f>
        <v>45.5831818181818</v>
      </c>
      <c r="U1884" s="12" t="n">
        <f aca="false">IFERROR(S1884/J1884-1,0)</f>
        <v>0.49252492510191</v>
      </c>
      <c r="V1884" s="2" t="str">
        <f aca="false">IF(S1884&lt;J1884,"SIM","NÃO")</f>
        <v>NÃO</v>
      </c>
      <c r="W1884" s="2" t="n">
        <v>5</v>
      </c>
      <c r="X1884" s="2" t="s">
        <v>156</v>
      </c>
    </row>
    <row r="1885" customFormat="false" ht="15" hidden="false" customHeight="false" outlineLevel="0" collapsed="false">
      <c r="A1885" s="2" t="n">
        <v>395859493</v>
      </c>
      <c r="B1885" s="29" t="n">
        <v>46282.5369444444</v>
      </c>
      <c r="C1885" s="2" t="s">
        <v>158</v>
      </c>
      <c r="D1885" s="2" t="s">
        <v>1915</v>
      </c>
      <c r="E1885" s="2" t="s">
        <v>78</v>
      </c>
      <c r="F1885" s="2" t="s">
        <v>109</v>
      </c>
      <c r="G1885" s="30" t="n">
        <v>52.3</v>
      </c>
      <c r="H1885" s="11" t="n">
        <v>649.99</v>
      </c>
      <c r="I1885" s="11" t="s">
        <v>155</v>
      </c>
      <c r="J1885" s="11" t="n">
        <v>114.26</v>
      </c>
      <c r="K1885" s="11" t="n">
        <v>112.3</v>
      </c>
      <c r="L1885" s="11" t="n">
        <v>0.65</v>
      </c>
      <c r="M1885" s="11" t="n">
        <v>1.3</v>
      </c>
      <c r="N1885" s="11" t="n">
        <v>1</v>
      </c>
      <c r="O1885" s="11" t="n">
        <v>4.5</v>
      </c>
      <c r="P1885" s="11" t="n">
        <v>3.18</v>
      </c>
      <c r="Q1885" s="11" t="n">
        <v>23.85</v>
      </c>
      <c r="R1885" s="11" t="n">
        <f aca="false">SUM(K1885:Q1885)</f>
        <v>146.78</v>
      </c>
      <c r="S1885" s="11" t="n">
        <f aca="false">R1885/(1-Resumo!$C$6)</f>
        <v>166.795454545455</v>
      </c>
      <c r="T1885" s="11" t="n">
        <f aca="false">S1885-J1885</f>
        <v>52.5354545454545</v>
      </c>
      <c r="U1885" s="12" t="n">
        <f aca="false">IFERROR(S1885/J1885-1,0)</f>
        <v>0.459788679725665</v>
      </c>
      <c r="V1885" s="2" t="str">
        <f aca="false">IF(S1885&lt;J1885,"SIM","NÃO")</f>
        <v>NÃO</v>
      </c>
      <c r="W1885" s="2" t="n">
        <v>5</v>
      </c>
      <c r="X1885" s="2" t="s">
        <v>156</v>
      </c>
    </row>
    <row r="1886" customFormat="false" ht="15" hidden="false" customHeight="false" outlineLevel="0" collapsed="false">
      <c r="A1886" s="2" t="n">
        <v>395895631</v>
      </c>
      <c r="B1886" s="29" t="n">
        <v>46282.6074768519</v>
      </c>
      <c r="C1886" s="2" t="s">
        <v>153</v>
      </c>
      <c r="D1886" s="2" t="s">
        <v>282</v>
      </c>
      <c r="E1886" s="2" t="s">
        <v>283</v>
      </c>
      <c r="F1886" s="2" t="s">
        <v>109</v>
      </c>
      <c r="G1886" s="30" t="n">
        <v>58.9</v>
      </c>
      <c r="H1886" s="11" t="n">
        <v>759.99</v>
      </c>
      <c r="I1886" s="11" t="s">
        <v>155</v>
      </c>
      <c r="J1886" s="11" t="n">
        <v>143.31</v>
      </c>
      <c r="K1886" s="11" t="n">
        <v>162.04</v>
      </c>
      <c r="L1886" s="11" t="n">
        <v>0.76</v>
      </c>
      <c r="M1886" s="11" t="n">
        <v>1.52</v>
      </c>
      <c r="N1886" s="11" t="n">
        <v>1</v>
      </c>
      <c r="O1886" s="11" t="n">
        <v>4.5</v>
      </c>
      <c r="P1886" s="11" t="n">
        <v>3.54</v>
      </c>
      <c r="Q1886" s="11" t="n">
        <v>26.55</v>
      </c>
      <c r="R1886" s="11" t="n">
        <f aca="false">SUM(K1886:Q1886)</f>
        <v>199.91</v>
      </c>
      <c r="S1886" s="11" t="n">
        <f aca="false">R1886/(1-Resumo!$C$6)</f>
        <v>227.170454545455</v>
      </c>
      <c r="T1886" s="11" t="n">
        <f aca="false">S1886-J1886</f>
        <v>83.8604545454545</v>
      </c>
      <c r="U1886" s="12" t="n">
        <f aca="false">IFERROR(S1886/J1886-1,0)</f>
        <v>0.585168198628529</v>
      </c>
      <c r="V1886" s="2" t="str">
        <f aca="false">IF(S1886&lt;J1886,"SIM","NÃO")</f>
        <v>NÃO</v>
      </c>
      <c r="W1886" s="2" t="n">
        <v>11</v>
      </c>
      <c r="X1886" s="2" t="s">
        <v>161</v>
      </c>
    </row>
    <row r="1887" customFormat="false" ht="15" hidden="false" customHeight="false" outlineLevel="0" collapsed="false">
      <c r="A1887" s="2" t="n">
        <v>395896388</v>
      </c>
      <c r="B1887" s="29" t="n">
        <v>46282.6089236111</v>
      </c>
      <c r="C1887" s="2" t="s">
        <v>153</v>
      </c>
      <c r="D1887" s="2" t="s">
        <v>282</v>
      </c>
      <c r="E1887" s="2" t="s">
        <v>283</v>
      </c>
      <c r="F1887" s="2" t="s">
        <v>106</v>
      </c>
      <c r="G1887" s="30" t="n">
        <v>31.3</v>
      </c>
      <c r="H1887" s="11" t="n">
        <v>399.99</v>
      </c>
      <c r="I1887" s="11" t="s">
        <v>155</v>
      </c>
      <c r="J1887" s="11" t="n">
        <v>109.1</v>
      </c>
      <c r="K1887" s="11" t="n">
        <v>138.29</v>
      </c>
      <c r="L1887" s="11" t="n">
        <v>0.4</v>
      </c>
      <c r="M1887" s="11" t="n">
        <v>0.8</v>
      </c>
      <c r="N1887" s="11" t="n">
        <v>1</v>
      </c>
      <c r="O1887" s="11" t="n">
        <v>4.5</v>
      </c>
      <c r="P1887" s="11" t="n">
        <v>1.92</v>
      </c>
      <c r="Q1887" s="11" t="n">
        <v>14.4</v>
      </c>
      <c r="R1887" s="11" t="n">
        <f aca="false">SUM(K1887:Q1887)</f>
        <v>161.31</v>
      </c>
      <c r="S1887" s="11" t="n">
        <f aca="false">R1887/(1-Resumo!$C$6)</f>
        <v>183.306818181818</v>
      </c>
      <c r="T1887" s="11" t="n">
        <f aca="false">S1887-J1887</f>
        <v>74.2068181818182</v>
      </c>
      <c r="U1887" s="12" t="n">
        <f aca="false">IFERROR(S1887/J1887-1,0)</f>
        <v>0.680172485626198</v>
      </c>
      <c r="V1887" s="2" t="str">
        <f aca="false">IF(S1887&lt;J1887,"SIM","NÃO")</f>
        <v>NÃO</v>
      </c>
      <c r="W1887" s="2" t="n">
        <v>11</v>
      </c>
      <c r="X1887" s="2" t="s">
        <v>161</v>
      </c>
    </row>
    <row r="1888" customFormat="false" ht="15" hidden="false" customHeight="false" outlineLevel="0" collapsed="false">
      <c r="A1888" s="2" t="n">
        <v>395903306</v>
      </c>
      <c r="B1888" s="29" t="n">
        <v>46282.6327546296</v>
      </c>
      <c r="C1888" s="2" t="s">
        <v>194</v>
      </c>
      <c r="D1888" s="2" t="s">
        <v>630</v>
      </c>
      <c r="E1888" s="2" t="s">
        <v>78</v>
      </c>
      <c r="F1888" s="2" t="s">
        <v>106</v>
      </c>
      <c r="G1888" s="30" t="n">
        <v>24.8</v>
      </c>
      <c r="H1888" s="11" t="n">
        <v>399.99</v>
      </c>
      <c r="I1888" s="11" t="s">
        <v>155</v>
      </c>
      <c r="J1888" s="11" t="n">
        <v>82.24</v>
      </c>
      <c r="K1888" s="11" t="n">
        <v>82.21</v>
      </c>
      <c r="L1888" s="11" t="n">
        <v>0.4</v>
      </c>
      <c r="M1888" s="11" t="n">
        <v>0.8</v>
      </c>
      <c r="N1888" s="11" t="n">
        <v>1</v>
      </c>
      <c r="O1888" s="11" t="n">
        <v>4.5</v>
      </c>
      <c r="P1888" s="11" t="n">
        <v>1.5</v>
      </c>
      <c r="Q1888" s="11" t="n">
        <v>11.25</v>
      </c>
      <c r="R1888" s="11" t="n">
        <f aca="false">SUM(K1888:Q1888)</f>
        <v>101.66</v>
      </c>
      <c r="S1888" s="11" t="n">
        <f aca="false">R1888/(1-Resumo!$C$6)</f>
        <v>115.522727272727</v>
      </c>
      <c r="T1888" s="11" t="n">
        <f aca="false">S1888-J1888</f>
        <v>33.2827272727273</v>
      </c>
      <c r="U1888" s="12" t="n">
        <f aca="false">IFERROR(S1888/J1888-1,0)</f>
        <v>0.404702423063318</v>
      </c>
      <c r="V1888" s="2" t="str">
        <f aca="false">IF(S1888&lt;J1888,"SIM","NÃO")</f>
        <v>NÃO</v>
      </c>
      <c r="W1888" s="2" t="n">
        <v>5</v>
      </c>
      <c r="X1888" s="2" t="s">
        <v>156</v>
      </c>
    </row>
    <row r="1889" customFormat="false" ht="15" hidden="false" customHeight="false" outlineLevel="0" collapsed="false">
      <c r="A1889" s="2" t="n">
        <v>395922080</v>
      </c>
      <c r="B1889" s="29" t="n">
        <v>46282.6438425926</v>
      </c>
      <c r="C1889" s="2" t="s">
        <v>369</v>
      </c>
      <c r="D1889" s="2" t="s">
        <v>1916</v>
      </c>
      <c r="E1889" s="2" t="s">
        <v>78</v>
      </c>
      <c r="F1889" s="2" t="s">
        <v>107</v>
      </c>
      <c r="G1889" s="30" t="n">
        <v>40</v>
      </c>
      <c r="H1889" s="11" t="n">
        <v>579.99</v>
      </c>
      <c r="I1889" s="11" t="s">
        <v>155</v>
      </c>
      <c r="J1889" s="11" t="n">
        <v>92.64</v>
      </c>
      <c r="K1889" s="11" t="n">
        <v>93.97</v>
      </c>
      <c r="L1889" s="11" t="n">
        <v>0.58</v>
      </c>
      <c r="M1889" s="11" t="n">
        <v>1.16</v>
      </c>
      <c r="N1889" s="11" t="n">
        <v>1</v>
      </c>
      <c r="O1889" s="11" t="n">
        <v>4.5</v>
      </c>
      <c r="P1889" s="11" t="n">
        <v>2.4</v>
      </c>
      <c r="Q1889" s="11" t="n">
        <v>18</v>
      </c>
      <c r="R1889" s="11" t="n">
        <f aca="false">SUM(K1889:Q1889)</f>
        <v>121.61</v>
      </c>
      <c r="S1889" s="11" t="n">
        <f aca="false">R1889/(1-Resumo!$C$6)</f>
        <v>138.193181818182</v>
      </c>
      <c r="T1889" s="11" t="n">
        <f aca="false">S1889-J1889</f>
        <v>45.5531818181818</v>
      </c>
      <c r="U1889" s="12" t="n">
        <f aca="false">IFERROR(S1889/J1889-1,0)</f>
        <v>0.491722601664312</v>
      </c>
      <c r="V1889" s="2" t="str">
        <f aca="false">IF(S1889&lt;J1889,"SIM","NÃO")</f>
        <v>NÃO</v>
      </c>
      <c r="W1889" s="2" t="n">
        <v>5</v>
      </c>
      <c r="X1889" s="2" t="s">
        <v>156</v>
      </c>
    </row>
    <row r="1890" customFormat="false" ht="15" hidden="false" customHeight="false" outlineLevel="0" collapsed="false">
      <c r="A1890" s="2" t="n">
        <v>395948335</v>
      </c>
      <c r="B1890" s="29" t="n">
        <v>46282.7233217593</v>
      </c>
      <c r="C1890" s="2" t="s">
        <v>153</v>
      </c>
      <c r="D1890" s="2" t="s">
        <v>1917</v>
      </c>
      <c r="E1890" s="2" t="s">
        <v>82</v>
      </c>
      <c r="F1890" s="2" t="s">
        <v>106</v>
      </c>
      <c r="G1890" s="30" t="n">
        <v>27</v>
      </c>
      <c r="H1890" s="11" t="n">
        <v>339.99</v>
      </c>
      <c r="I1890" s="11" t="s">
        <v>155</v>
      </c>
      <c r="J1890" s="11" t="n">
        <v>101.01</v>
      </c>
      <c r="K1890" s="11" t="n">
        <v>100.58</v>
      </c>
      <c r="L1890" s="11" t="n">
        <v>0.34</v>
      </c>
      <c r="M1890" s="11" t="n">
        <v>0.68</v>
      </c>
      <c r="N1890" s="11" t="n">
        <v>1</v>
      </c>
      <c r="O1890" s="11" t="n">
        <v>4.5</v>
      </c>
      <c r="P1890" s="11" t="n">
        <v>1.62</v>
      </c>
      <c r="Q1890" s="11" t="n">
        <v>12.15</v>
      </c>
      <c r="R1890" s="11" t="n">
        <f aca="false">SUM(K1890:Q1890)</f>
        <v>120.87</v>
      </c>
      <c r="S1890" s="11" t="n">
        <f aca="false">R1890/(1-Resumo!$C$6)</f>
        <v>137.352272727273</v>
      </c>
      <c r="T1890" s="11" t="n">
        <f aca="false">S1890-J1890</f>
        <v>36.3422727272727</v>
      </c>
      <c r="U1890" s="12" t="n">
        <f aca="false">IFERROR(S1890/J1890-1,0)</f>
        <v>0.35978885978886</v>
      </c>
      <c r="V1890" s="2" t="str">
        <f aca="false">IF(S1890&lt;J1890,"SIM","NÃO")</f>
        <v>NÃO</v>
      </c>
      <c r="W1890" s="2" t="n">
        <v>7</v>
      </c>
      <c r="X1890" s="2" t="s">
        <v>156</v>
      </c>
    </row>
    <row r="1891" customFormat="false" ht="15" hidden="false" customHeight="false" outlineLevel="0" collapsed="false">
      <c r="A1891" s="2" t="n">
        <v>395956377</v>
      </c>
      <c r="B1891" s="29" t="n">
        <v>46282.7409722222</v>
      </c>
      <c r="C1891" s="2" t="s">
        <v>153</v>
      </c>
      <c r="D1891" s="2" t="s">
        <v>1918</v>
      </c>
      <c r="E1891" s="2" t="s">
        <v>78</v>
      </c>
      <c r="F1891" s="2" t="s">
        <v>106</v>
      </c>
      <c r="G1891" s="30" t="n">
        <v>23</v>
      </c>
      <c r="H1891" s="11" t="n">
        <v>349.99</v>
      </c>
      <c r="I1891" s="11" t="s">
        <v>155</v>
      </c>
      <c r="J1891" s="11" t="n">
        <v>82</v>
      </c>
      <c r="K1891" s="11" t="n">
        <v>82.21</v>
      </c>
      <c r="L1891" s="11" t="n">
        <v>0.35</v>
      </c>
      <c r="M1891" s="11" t="n">
        <v>0.7</v>
      </c>
      <c r="N1891" s="11" t="n">
        <v>1</v>
      </c>
      <c r="O1891" s="11" t="n">
        <v>4.5</v>
      </c>
      <c r="P1891" s="11" t="n">
        <v>1.38</v>
      </c>
      <c r="Q1891" s="11" t="n">
        <v>10.35</v>
      </c>
      <c r="R1891" s="11" t="n">
        <f aca="false">SUM(K1891:Q1891)</f>
        <v>100.49</v>
      </c>
      <c r="S1891" s="11" t="n">
        <f aca="false">R1891/(1-Resumo!$C$6)</f>
        <v>114.193181818182</v>
      </c>
      <c r="T1891" s="11" t="n">
        <f aca="false">S1891-J1891</f>
        <v>32.1931818181818</v>
      </c>
      <c r="U1891" s="12" t="n">
        <f aca="false">IFERROR(S1891/J1891-1,0)</f>
        <v>0.39259977827051</v>
      </c>
      <c r="V1891" s="2" t="str">
        <f aca="false">IF(S1891&lt;J1891,"SIM","NÃO")</f>
        <v>NÃO</v>
      </c>
      <c r="W1891" s="2" t="n">
        <v>5</v>
      </c>
      <c r="X1891" s="2" t="s">
        <v>156</v>
      </c>
    </row>
    <row r="1892" customFormat="false" ht="15" hidden="false" customHeight="false" outlineLevel="0" collapsed="false">
      <c r="A1892" s="2" t="n">
        <v>395959912</v>
      </c>
      <c r="B1892" s="29" t="n">
        <v>46282.7503125</v>
      </c>
      <c r="C1892" s="2" t="s">
        <v>153</v>
      </c>
      <c r="D1892" s="2" t="s">
        <v>754</v>
      </c>
      <c r="E1892" s="2" t="s">
        <v>755</v>
      </c>
      <c r="F1892" s="2" t="s">
        <v>109</v>
      </c>
      <c r="G1892" s="30" t="n">
        <v>56.7</v>
      </c>
      <c r="H1892" s="11" t="n">
        <v>769.91</v>
      </c>
      <c r="I1892" s="11" t="s">
        <v>155</v>
      </c>
      <c r="J1892" s="11" t="n">
        <v>143.36</v>
      </c>
      <c r="K1892" s="11" t="n">
        <v>142.32</v>
      </c>
      <c r="L1892" s="11" t="n">
        <v>0.7699</v>
      </c>
      <c r="M1892" s="11" t="n">
        <v>1.5398</v>
      </c>
      <c r="N1892" s="11" t="n">
        <v>1</v>
      </c>
      <c r="O1892" s="11" t="n">
        <v>4.5</v>
      </c>
      <c r="P1892" s="11" t="n">
        <v>3.42</v>
      </c>
      <c r="Q1892" s="11" t="n">
        <v>25.65</v>
      </c>
      <c r="R1892" s="11" t="n">
        <f aca="false">SUM(K1892:Q1892)</f>
        <v>179.1997</v>
      </c>
      <c r="S1892" s="11" t="n">
        <f aca="false">R1892/(1-Resumo!$C$6)</f>
        <v>203.636022727273</v>
      </c>
      <c r="T1892" s="11" t="n">
        <f aca="false">S1892-J1892</f>
        <v>60.2760227272727</v>
      </c>
      <c r="U1892" s="12" t="n">
        <f aca="false">IFERROR(S1892/J1892-1,0)</f>
        <v>0.420452167461445</v>
      </c>
      <c r="V1892" s="2" t="str">
        <f aca="false">IF(S1892&lt;J1892,"SIM","NÃO")</f>
        <v>NÃO</v>
      </c>
      <c r="W1892" s="2" t="n">
        <v>10</v>
      </c>
      <c r="X1892" s="2" t="s">
        <v>161</v>
      </c>
    </row>
    <row r="1893" customFormat="false" ht="15" hidden="false" customHeight="false" outlineLevel="0" collapsed="false">
      <c r="A1893" s="2" t="n">
        <v>395979164</v>
      </c>
      <c r="B1893" s="29" t="n">
        <v>46282.7926041667</v>
      </c>
      <c r="C1893" s="2" t="s">
        <v>153</v>
      </c>
      <c r="D1893" s="2" t="s">
        <v>1919</v>
      </c>
      <c r="E1893" s="2" t="s">
        <v>78</v>
      </c>
      <c r="F1893" s="2" t="s">
        <v>106</v>
      </c>
      <c r="G1893" s="30" t="n">
        <v>21.5</v>
      </c>
      <c r="H1893" s="11" t="n">
        <v>299.99</v>
      </c>
      <c r="I1893" s="11" t="s">
        <v>155</v>
      </c>
      <c r="J1893" s="11" t="n">
        <v>81.76</v>
      </c>
      <c r="K1893" s="11" t="n">
        <v>82.21</v>
      </c>
      <c r="L1893" s="11" t="n">
        <v>0.3</v>
      </c>
      <c r="M1893" s="11" t="n">
        <v>0.6</v>
      </c>
      <c r="N1893" s="11" t="n">
        <v>1</v>
      </c>
      <c r="O1893" s="11" t="n">
        <v>4.5</v>
      </c>
      <c r="P1893" s="11" t="n">
        <v>1.32</v>
      </c>
      <c r="Q1893" s="11" t="n">
        <v>9.9</v>
      </c>
      <c r="R1893" s="11" t="n">
        <f aca="false">SUM(K1893:Q1893)</f>
        <v>99.83</v>
      </c>
      <c r="S1893" s="11" t="n">
        <f aca="false">R1893/(1-Resumo!$C$6)</f>
        <v>113.443181818182</v>
      </c>
      <c r="T1893" s="11" t="n">
        <f aca="false">S1893-J1893</f>
        <v>31.6831818181818</v>
      </c>
      <c r="U1893" s="12" t="n">
        <f aca="false">IFERROR(S1893/J1893-1,0)</f>
        <v>0.387514454723359</v>
      </c>
      <c r="V1893" s="2" t="str">
        <f aca="false">IF(S1893&lt;J1893,"SIM","NÃO")</f>
        <v>NÃO</v>
      </c>
      <c r="W1893" s="2" t="n">
        <v>5</v>
      </c>
      <c r="X1893" s="2" t="s">
        <v>156</v>
      </c>
    </row>
    <row r="1894" customFormat="false" ht="15" hidden="false" customHeight="false" outlineLevel="0" collapsed="false">
      <c r="A1894" s="2" t="n">
        <v>395995280</v>
      </c>
      <c r="B1894" s="29" t="n">
        <v>46282.8268171296</v>
      </c>
      <c r="C1894" s="2" t="s">
        <v>158</v>
      </c>
      <c r="D1894" s="2" t="s">
        <v>1920</v>
      </c>
      <c r="E1894" s="2" t="s">
        <v>78</v>
      </c>
      <c r="F1894" s="2" t="s">
        <v>106</v>
      </c>
      <c r="G1894" s="30" t="n">
        <v>31.9</v>
      </c>
      <c r="H1894" s="11" t="n">
        <v>494.99</v>
      </c>
      <c r="I1894" s="11" t="s">
        <v>155</v>
      </c>
      <c r="J1894" s="11" t="n">
        <v>82.69</v>
      </c>
      <c r="K1894" s="11" t="n">
        <v>82.21</v>
      </c>
      <c r="L1894" s="11" t="n">
        <v>0.495</v>
      </c>
      <c r="M1894" s="11" t="n">
        <v>0.99</v>
      </c>
      <c r="N1894" s="11" t="n">
        <v>1</v>
      </c>
      <c r="O1894" s="11" t="n">
        <v>4.5</v>
      </c>
      <c r="P1894" s="11" t="n">
        <v>1.92</v>
      </c>
      <c r="Q1894" s="11" t="n">
        <v>14.4</v>
      </c>
      <c r="R1894" s="11" t="n">
        <f aca="false">SUM(K1894:Q1894)</f>
        <v>105.515</v>
      </c>
      <c r="S1894" s="11" t="n">
        <f aca="false">R1894/(1-Resumo!$C$6)</f>
        <v>119.903409090909</v>
      </c>
      <c r="T1894" s="11" t="n">
        <f aca="false">S1894-J1894</f>
        <v>37.2134090909091</v>
      </c>
      <c r="U1894" s="12" t="n">
        <f aca="false">IFERROR(S1894/J1894-1,0)</f>
        <v>0.450035180685804</v>
      </c>
      <c r="V1894" s="2" t="str">
        <f aca="false">IF(S1894&lt;J1894,"SIM","NÃO")</f>
        <v>NÃO</v>
      </c>
      <c r="W1894" s="2" t="n">
        <v>5</v>
      </c>
      <c r="X1894" s="2" t="s">
        <v>156</v>
      </c>
    </row>
    <row r="1895" customFormat="false" ht="15" hidden="false" customHeight="false" outlineLevel="0" collapsed="false">
      <c r="A1895" s="2" t="n">
        <v>395998407</v>
      </c>
      <c r="B1895" s="29" t="n">
        <v>46282.8336689815</v>
      </c>
      <c r="C1895" s="2" t="s">
        <v>153</v>
      </c>
      <c r="D1895" s="2" t="s">
        <v>1921</v>
      </c>
      <c r="E1895" s="2" t="s">
        <v>91</v>
      </c>
      <c r="F1895" s="2" t="s">
        <v>110</v>
      </c>
      <c r="G1895" s="30" t="n">
        <v>66.8</v>
      </c>
      <c r="H1895" s="11" t="n">
        <v>643.99</v>
      </c>
      <c r="I1895" s="11" t="s">
        <v>155</v>
      </c>
      <c r="J1895" s="11" t="n">
        <v>155.11</v>
      </c>
      <c r="K1895" s="11" t="n">
        <v>166.05</v>
      </c>
      <c r="L1895" s="11" t="n">
        <v>0.644</v>
      </c>
      <c r="M1895" s="11" t="n">
        <v>1.288</v>
      </c>
      <c r="N1895" s="11" t="n">
        <v>1</v>
      </c>
      <c r="O1895" s="11" t="n">
        <v>4.5</v>
      </c>
      <c r="P1895" s="11" t="n">
        <v>4.02</v>
      </c>
      <c r="Q1895" s="11" t="n">
        <v>30.15</v>
      </c>
      <c r="R1895" s="11" t="n">
        <f aca="false">SUM(K1895:Q1895)</f>
        <v>207.652</v>
      </c>
      <c r="S1895" s="11" t="n">
        <f aca="false">R1895/(1-Resumo!$C$6)</f>
        <v>235.968181818182</v>
      </c>
      <c r="T1895" s="11" t="n">
        <f aca="false">S1895-J1895</f>
        <v>80.8581818181818</v>
      </c>
      <c r="U1895" s="12" t="n">
        <f aca="false">IFERROR(S1895/J1895-1,0)</f>
        <v>0.521295737335967</v>
      </c>
      <c r="V1895" s="2" t="str">
        <f aca="false">IF(S1895&lt;J1895,"SIM","NÃO")</f>
        <v>NÃO</v>
      </c>
      <c r="W1895" s="2" t="n">
        <v>10</v>
      </c>
      <c r="X1895" s="2" t="s">
        <v>156</v>
      </c>
    </row>
    <row r="1896" customFormat="false" ht="15" hidden="false" customHeight="false" outlineLevel="0" collapsed="false">
      <c r="A1896" s="2" t="n">
        <v>396002204</v>
      </c>
      <c r="B1896" s="29" t="n">
        <v>46282.8422337963</v>
      </c>
      <c r="C1896" s="2" t="s">
        <v>153</v>
      </c>
      <c r="D1896" s="2" t="s">
        <v>1922</v>
      </c>
      <c r="E1896" s="2" t="s">
        <v>79</v>
      </c>
      <c r="F1896" s="2" t="s">
        <v>106</v>
      </c>
      <c r="G1896" s="30" t="n">
        <v>34.1</v>
      </c>
      <c r="H1896" s="11" t="n">
        <v>399.99</v>
      </c>
      <c r="I1896" s="11" t="s">
        <v>155</v>
      </c>
      <c r="J1896" s="11" t="n">
        <v>101.31</v>
      </c>
      <c r="K1896" s="11" t="n">
        <v>100.58</v>
      </c>
      <c r="L1896" s="11" t="n">
        <v>0.4</v>
      </c>
      <c r="M1896" s="11" t="n">
        <v>0.8</v>
      </c>
      <c r="N1896" s="11" t="n">
        <v>1</v>
      </c>
      <c r="O1896" s="11" t="n">
        <v>4.5</v>
      </c>
      <c r="P1896" s="11" t="n">
        <v>2.1</v>
      </c>
      <c r="Q1896" s="11" t="n">
        <v>15.75</v>
      </c>
      <c r="R1896" s="11" t="n">
        <f aca="false">SUM(K1896:Q1896)</f>
        <v>125.13</v>
      </c>
      <c r="S1896" s="11" t="n">
        <f aca="false">R1896/(1-Resumo!$C$6)</f>
        <v>142.193181818182</v>
      </c>
      <c r="T1896" s="11" t="n">
        <f aca="false">S1896-J1896</f>
        <v>40.8831818181818</v>
      </c>
      <c r="U1896" s="12" t="n">
        <f aca="false">IFERROR(S1896/J1896-1,0)</f>
        <v>0.403545373785232</v>
      </c>
      <c r="V1896" s="2" t="str">
        <f aca="false">IF(S1896&lt;J1896,"SIM","NÃO")</f>
        <v>NÃO</v>
      </c>
      <c r="W1896" s="2" t="n">
        <v>7</v>
      </c>
      <c r="X1896" s="2" t="s">
        <v>156</v>
      </c>
    </row>
    <row r="1897" customFormat="false" ht="15" hidden="false" customHeight="false" outlineLevel="0" collapsed="false">
      <c r="A1897" s="2" t="n">
        <v>396011699</v>
      </c>
      <c r="B1897" s="29" t="n">
        <v>46282.8624421296</v>
      </c>
      <c r="C1897" s="2" t="s">
        <v>153</v>
      </c>
      <c r="D1897" s="2" t="s">
        <v>1923</v>
      </c>
      <c r="E1897" s="2" t="s">
        <v>78</v>
      </c>
      <c r="F1897" s="2" t="s">
        <v>106</v>
      </c>
      <c r="G1897" s="30" t="n">
        <v>31</v>
      </c>
      <c r="H1897" s="11" t="n">
        <v>323.94</v>
      </c>
      <c r="I1897" s="11" t="s">
        <v>155</v>
      </c>
      <c r="J1897" s="11" t="n">
        <v>81.89</v>
      </c>
      <c r="K1897" s="11" t="n">
        <v>82.21</v>
      </c>
      <c r="L1897" s="11" t="n">
        <v>0.3239</v>
      </c>
      <c r="M1897" s="11" t="n">
        <v>0.6479</v>
      </c>
      <c r="N1897" s="11" t="n">
        <v>1</v>
      </c>
      <c r="O1897" s="11" t="n">
        <v>4.5</v>
      </c>
      <c r="P1897" s="11" t="n">
        <v>1.86</v>
      </c>
      <c r="Q1897" s="11" t="n">
        <v>13.95</v>
      </c>
      <c r="R1897" s="11" t="n">
        <f aca="false">SUM(K1897:Q1897)</f>
        <v>104.4918</v>
      </c>
      <c r="S1897" s="11" t="n">
        <f aca="false">R1897/(1-Resumo!$C$6)</f>
        <v>118.740681818182</v>
      </c>
      <c r="T1897" s="11" t="n">
        <f aca="false">S1897-J1897</f>
        <v>36.8506818181818</v>
      </c>
      <c r="U1897" s="12" t="n">
        <f aca="false">IFERROR(S1897/J1897-1,0)</f>
        <v>0.450002220273316</v>
      </c>
      <c r="V1897" s="2" t="str">
        <f aca="false">IF(S1897&lt;J1897,"SIM","NÃO")</f>
        <v>NÃO</v>
      </c>
      <c r="W1897" s="2" t="n">
        <v>5</v>
      </c>
      <c r="X1897" s="2" t="s">
        <v>156</v>
      </c>
    </row>
    <row r="1898" customFormat="false" ht="15" hidden="false" customHeight="false" outlineLevel="0" collapsed="false">
      <c r="A1898" s="2" t="n">
        <v>396015371</v>
      </c>
      <c r="B1898" s="29" t="n">
        <v>46282.8701157407</v>
      </c>
      <c r="C1898" s="2" t="s">
        <v>153</v>
      </c>
      <c r="D1898" s="2" t="s">
        <v>1924</v>
      </c>
      <c r="E1898" s="2" t="s">
        <v>82</v>
      </c>
      <c r="F1898" s="2" t="s">
        <v>109</v>
      </c>
      <c r="G1898" s="30" t="n">
        <v>52.3</v>
      </c>
      <c r="H1898" s="11" t="n">
        <v>645.14</v>
      </c>
      <c r="I1898" s="11" t="s">
        <v>155</v>
      </c>
      <c r="J1898" s="11" t="n">
        <v>128.38</v>
      </c>
      <c r="K1898" s="11" t="n">
        <v>128.14</v>
      </c>
      <c r="L1898" s="11" t="n">
        <v>0.6451</v>
      </c>
      <c r="M1898" s="11" t="n">
        <v>1.2903</v>
      </c>
      <c r="N1898" s="11" t="n">
        <v>1</v>
      </c>
      <c r="O1898" s="11" t="n">
        <v>4.5</v>
      </c>
      <c r="P1898" s="11" t="n">
        <v>3.18</v>
      </c>
      <c r="Q1898" s="11" t="n">
        <v>23.85</v>
      </c>
      <c r="R1898" s="11" t="n">
        <f aca="false">SUM(K1898:Q1898)</f>
        <v>162.6054</v>
      </c>
      <c r="S1898" s="11" t="n">
        <f aca="false">R1898/(1-Resumo!$C$6)</f>
        <v>184.778863636364</v>
      </c>
      <c r="T1898" s="11" t="n">
        <f aca="false">S1898-J1898</f>
        <v>56.3988636363636</v>
      </c>
      <c r="U1898" s="12" t="n">
        <f aca="false">IFERROR(S1898/J1898-1,0)</f>
        <v>0.439311914911697</v>
      </c>
      <c r="V1898" s="2" t="str">
        <f aca="false">IF(S1898&lt;J1898,"SIM","NÃO")</f>
        <v>NÃO</v>
      </c>
      <c r="W1898" s="2" t="n">
        <v>7</v>
      </c>
      <c r="X1898" s="2" t="s">
        <v>156</v>
      </c>
    </row>
    <row r="1899" customFormat="false" ht="15" hidden="false" customHeight="false" outlineLevel="0" collapsed="false">
      <c r="A1899" s="2" t="n">
        <v>396019865</v>
      </c>
      <c r="B1899" s="29" t="n">
        <v>46282.8803935185</v>
      </c>
      <c r="C1899" s="2" t="s">
        <v>158</v>
      </c>
      <c r="D1899" s="2" t="s">
        <v>1925</v>
      </c>
      <c r="E1899" s="2" t="s">
        <v>78</v>
      </c>
      <c r="F1899" s="2" t="s">
        <v>107</v>
      </c>
      <c r="G1899" s="30" t="n">
        <v>36.8</v>
      </c>
      <c r="H1899" s="11" t="n">
        <v>439.95</v>
      </c>
      <c r="I1899" s="11" t="s">
        <v>155</v>
      </c>
      <c r="J1899" s="11" t="n">
        <v>91.97</v>
      </c>
      <c r="K1899" s="11" t="n">
        <v>93.97</v>
      </c>
      <c r="L1899" s="11" t="n">
        <v>0.44</v>
      </c>
      <c r="M1899" s="11" t="n">
        <v>0.8799</v>
      </c>
      <c r="N1899" s="11" t="n">
        <v>1</v>
      </c>
      <c r="O1899" s="11" t="n">
        <v>4.5</v>
      </c>
      <c r="P1899" s="11" t="n">
        <v>2.22</v>
      </c>
      <c r="Q1899" s="11" t="n">
        <v>16.65</v>
      </c>
      <c r="R1899" s="11" t="n">
        <f aca="false">SUM(K1899:Q1899)</f>
        <v>119.6599</v>
      </c>
      <c r="S1899" s="11" t="n">
        <f aca="false">R1899/(1-Resumo!$C$6)</f>
        <v>135.977159090909</v>
      </c>
      <c r="T1899" s="11" t="n">
        <f aca="false">S1899-J1899</f>
        <v>44.0071590909091</v>
      </c>
      <c r="U1899" s="12" t="n">
        <f aca="false">IFERROR(S1899/J1899-1,0)</f>
        <v>0.478494716656617</v>
      </c>
      <c r="V1899" s="2" t="str">
        <f aca="false">IF(S1899&lt;J1899,"SIM","NÃO")</f>
        <v>NÃO</v>
      </c>
      <c r="W1899" s="2" t="n">
        <v>5</v>
      </c>
      <c r="X1899" s="2" t="s">
        <v>156</v>
      </c>
    </row>
    <row r="1900" customFormat="false" ht="15" hidden="false" customHeight="false" outlineLevel="0" collapsed="false">
      <c r="A1900" s="2" t="n">
        <v>396026937</v>
      </c>
      <c r="B1900" s="29" t="n">
        <v>46282.8964583333</v>
      </c>
      <c r="C1900" s="2" t="s">
        <v>153</v>
      </c>
      <c r="D1900" s="2" t="s">
        <v>361</v>
      </c>
      <c r="E1900" s="2" t="s">
        <v>78</v>
      </c>
      <c r="F1900" s="2" t="s">
        <v>106</v>
      </c>
      <c r="G1900" s="30" t="n">
        <v>33</v>
      </c>
      <c r="H1900" s="11" t="n">
        <v>458.3</v>
      </c>
      <c r="I1900" s="11" t="s">
        <v>155</v>
      </c>
      <c r="J1900" s="11" t="n">
        <v>82.53</v>
      </c>
      <c r="K1900" s="11" t="n">
        <v>82.21</v>
      </c>
      <c r="L1900" s="11" t="n">
        <v>0.4583</v>
      </c>
      <c r="M1900" s="11" t="n">
        <v>0.9166</v>
      </c>
      <c r="N1900" s="11" t="n">
        <v>1</v>
      </c>
      <c r="O1900" s="11" t="n">
        <v>4.5</v>
      </c>
      <c r="P1900" s="11" t="n">
        <v>1.98</v>
      </c>
      <c r="Q1900" s="11" t="n">
        <v>14.85</v>
      </c>
      <c r="R1900" s="11" t="n">
        <f aca="false">SUM(K1900:Q1900)</f>
        <v>105.9149</v>
      </c>
      <c r="S1900" s="11" t="n">
        <f aca="false">R1900/(1-Resumo!$C$6)</f>
        <v>120.357840909091</v>
      </c>
      <c r="T1900" s="11" t="n">
        <f aca="false">S1900-J1900</f>
        <v>37.8278409090909</v>
      </c>
      <c r="U1900" s="12" t="n">
        <f aca="false">IFERROR(S1900/J1900-1,0)</f>
        <v>0.458352610070167</v>
      </c>
      <c r="V1900" s="2" t="str">
        <f aca="false">IF(S1900&lt;J1900,"SIM","NÃO")</f>
        <v>NÃO</v>
      </c>
      <c r="W1900" s="2" t="n">
        <v>5</v>
      </c>
      <c r="X1900" s="2" t="s">
        <v>156</v>
      </c>
    </row>
    <row r="1901" customFormat="false" ht="15" hidden="false" customHeight="false" outlineLevel="0" collapsed="false">
      <c r="A1901" s="2" t="n">
        <v>396038496</v>
      </c>
      <c r="B1901" s="29" t="n">
        <v>46282.9242708333</v>
      </c>
      <c r="C1901" s="2" t="s">
        <v>153</v>
      </c>
      <c r="D1901" s="2" t="s">
        <v>1926</v>
      </c>
      <c r="E1901" s="2" t="s">
        <v>85</v>
      </c>
      <c r="F1901" s="2" t="s">
        <v>110</v>
      </c>
      <c r="G1901" s="30" t="n">
        <v>69.45</v>
      </c>
      <c r="H1901" s="11" t="n">
        <v>859.99</v>
      </c>
      <c r="I1901" s="11" t="s">
        <v>155</v>
      </c>
      <c r="J1901" s="11" t="n">
        <v>156.14</v>
      </c>
      <c r="K1901" s="11" t="n">
        <v>171.54</v>
      </c>
      <c r="L1901" s="11" t="n">
        <v>0.86</v>
      </c>
      <c r="M1901" s="11" t="n">
        <v>1.72</v>
      </c>
      <c r="N1901" s="11" t="n">
        <v>1</v>
      </c>
      <c r="O1901" s="11" t="n">
        <v>4.5</v>
      </c>
      <c r="P1901" s="11" t="n">
        <v>4.2</v>
      </c>
      <c r="Q1901" s="11" t="n">
        <v>31.5</v>
      </c>
      <c r="R1901" s="11" t="n">
        <f aca="false">SUM(K1901:Q1901)</f>
        <v>215.32</v>
      </c>
      <c r="S1901" s="11" t="n">
        <f aca="false">R1901/(1-Resumo!$C$6)</f>
        <v>244.681818181818</v>
      </c>
      <c r="T1901" s="11" t="n">
        <f aca="false">S1901-J1901</f>
        <v>88.5418181818182</v>
      </c>
      <c r="U1901" s="12" t="n">
        <f aca="false">IFERROR(S1901/J1901-1,0)</f>
        <v>0.567066851427041</v>
      </c>
      <c r="V1901" s="2" t="str">
        <f aca="false">IF(S1901&lt;J1901,"SIM","NÃO")</f>
        <v>NÃO</v>
      </c>
      <c r="W1901" s="2" t="n">
        <v>11</v>
      </c>
      <c r="X1901" s="2" t="s">
        <v>156</v>
      </c>
    </row>
    <row r="1902" customFormat="false" ht="15" hidden="false" customHeight="false" outlineLevel="0" collapsed="false">
      <c r="A1902" s="2" t="n">
        <v>396039640</v>
      </c>
      <c r="B1902" s="29" t="n">
        <v>46282.9270949074</v>
      </c>
      <c r="C1902" s="2" t="s">
        <v>153</v>
      </c>
      <c r="D1902" s="2" t="s">
        <v>1927</v>
      </c>
      <c r="E1902" s="2" t="s">
        <v>83</v>
      </c>
      <c r="F1902" s="2" t="s">
        <v>106</v>
      </c>
      <c r="G1902" s="30" t="n">
        <v>27.4</v>
      </c>
      <c r="H1902" s="11" t="n">
        <v>329.99</v>
      </c>
      <c r="I1902" s="11" t="s">
        <v>155</v>
      </c>
      <c r="J1902" s="11" t="n">
        <v>108.76</v>
      </c>
      <c r="K1902" s="11" t="n">
        <v>138.29</v>
      </c>
      <c r="L1902" s="11" t="n">
        <v>0.33</v>
      </c>
      <c r="M1902" s="11" t="n">
        <v>0.66</v>
      </c>
      <c r="N1902" s="11" t="n">
        <v>1</v>
      </c>
      <c r="O1902" s="11" t="n">
        <v>4.5</v>
      </c>
      <c r="P1902" s="11" t="n">
        <v>1.68</v>
      </c>
      <c r="Q1902" s="11" t="n">
        <v>12.6</v>
      </c>
      <c r="R1902" s="11" t="n">
        <f aca="false">SUM(K1902:Q1902)</f>
        <v>159.06</v>
      </c>
      <c r="S1902" s="11" t="n">
        <f aca="false">R1902/(1-Resumo!$C$6)</f>
        <v>180.75</v>
      </c>
      <c r="T1902" s="11" t="n">
        <f aca="false">S1902-J1902</f>
        <v>71.99</v>
      </c>
      <c r="U1902" s="12" t="n">
        <f aca="false">IFERROR(S1902/J1902-1,0)</f>
        <v>0.66191614564178</v>
      </c>
      <c r="V1902" s="2" t="str">
        <f aca="false">IF(S1902&lt;J1902,"SIM","NÃO")</f>
        <v>NÃO</v>
      </c>
      <c r="W1902" s="2" t="n">
        <v>11</v>
      </c>
      <c r="X1902" s="2" t="s">
        <v>156</v>
      </c>
    </row>
    <row r="1903" customFormat="false" ht="15" hidden="false" customHeight="false" outlineLevel="0" collapsed="false">
      <c r="A1903" s="2" t="n">
        <v>396126034</v>
      </c>
      <c r="B1903" s="29" t="n">
        <v>46283.2787731482</v>
      </c>
      <c r="C1903" s="2" t="s">
        <v>178</v>
      </c>
      <c r="D1903" s="2" t="s">
        <v>1928</v>
      </c>
      <c r="E1903" s="2" t="s">
        <v>78</v>
      </c>
      <c r="F1903" s="2" t="s">
        <v>107</v>
      </c>
      <c r="G1903" s="30" t="n">
        <v>36.8</v>
      </c>
      <c r="H1903" s="11" t="n">
        <v>549.99</v>
      </c>
      <c r="I1903" s="11" t="s">
        <v>155</v>
      </c>
      <c r="J1903" s="11" t="n">
        <v>92.49</v>
      </c>
      <c r="K1903" s="11" t="n">
        <v>93.97</v>
      </c>
      <c r="L1903" s="11" t="n">
        <v>0.55</v>
      </c>
      <c r="M1903" s="11" t="n">
        <v>1.1</v>
      </c>
      <c r="N1903" s="11" t="n">
        <v>1</v>
      </c>
      <c r="O1903" s="11" t="n">
        <v>4.5</v>
      </c>
      <c r="P1903" s="11" t="n">
        <v>2.22</v>
      </c>
      <c r="Q1903" s="11" t="n">
        <v>16.65</v>
      </c>
      <c r="R1903" s="11" t="n">
        <f aca="false">SUM(K1903:Q1903)</f>
        <v>119.99</v>
      </c>
      <c r="S1903" s="11" t="n">
        <f aca="false">R1903/(1-Resumo!$C$6)</f>
        <v>136.352272727273</v>
      </c>
      <c r="T1903" s="11" t="n">
        <f aca="false">S1903-J1903</f>
        <v>43.8622727272728</v>
      </c>
      <c r="U1903" s="12" t="n">
        <f aca="false">IFERROR(S1903/J1903-1,0)</f>
        <v>0.474238001159831</v>
      </c>
      <c r="V1903" s="2" t="str">
        <f aca="false">IF(S1903&lt;J1903,"SIM","NÃO")</f>
        <v>NÃO</v>
      </c>
      <c r="W1903" s="2" t="n">
        <v>5</v>
      </c>
      <c r="X1903" s="2" t="s">
        <v>156</v>
      </c>
    </row>
    <row r="1904" customFormat="false" ht="15" hidden="false" customHeight="false" outlineLevel="0" collapsed="false">
      <c r="A1904" s="2" t="n">
        <v>396164984</v>
      </c>
      <c r="B1904" s="29" t="n">
        <v>46283.3938425926</v>
      </c>
      <c r="C1904" s="2" t="s">
        <v>198</v>
      </c>
      <c r="D1904" s="2" t="s">
        <v>1929</v>
      </c>
      <c r="E1904" s="2" t="s">
        <v>78</v>
      </c>
      <c r="F1904" s="2" t="s">
        <v>108</v>
      </c>
      <c r="G1904" s="30" t="n">
        <v>49.6</v>
      </c>
      <c r="H1904" s="11" t="n">
        <v>799.99</v>
      </c>
      <c r="I1904" s="11" t="s">
        <v>155</v>
      </c>
      <c r="J1904" s="11" t="n">
        <v>104.42</v>
      </c>
      <c r="K1904" s="11" t="n">
        <v>93.97</v>
      </c>
      <c r="L1904" s="11" t="n">
        <v>0.8</v>
      </c>
      <c r="M1904" s="11" t="n">
        <v>1.6</v>
      </c>
      <c r="N1904" s="11" t="n">
        <v>1</v>
      </c>
      <c r="O1904" s="11" t="n">
        <v>4.5</v>
      </c>
      <c r="P1904" s="11" t="n">
        <v>3</v>
      </c>
      <c r="Q1904" s="11" t="n">
        <v>22.5</v>
      </c>
      <c r="R1904" s="11" t="n">
        <f aca="false">SUM(K1904:Q1904)</f>
        <v>127.37</v>
      </c>
      <c r="S1904" s="11" t="n">
        <f aca="false">R1904/(1-Resumo!$C$6)</f>
        <v>144.738636363636</v>
      </c>
      <c r="T1904" s="11" t="n">
        <f aca="false">S1904-J1904</f>
        <v>40.3186363636364</v>
      </c>
      <c r="U1904" s="12" t="n">
        <f aca="false">IFERROR(S1904/J1904-1,0)</f>
        <v>0.386119865577824</v>
      </c>
      <c r="V1904" s="2" t="str">
        <f aca="false">IF(S1904&lt;J1904,"SIM","NÃO")</f>
        <v>NÃO</v>
      </c>
      <c r="W1904" s="2" t="n">
        <v>5</v>
      </c>
      <c r="X1904" s="2" t="s">
        <v>156</v>
      </c>
    </row>
    <row r="1905" customFormat="false" ht="15" hidden="false" customHeight="false" outlineLevel="0" collapsed="false">
      <c r="A1905" s="2" t="n">
        <v>396174944</v>
      </c>
      <c r="B1905" s="29" t="n">
        <v>46283.417025463</v>
      </c>
      <c r="C1905" s="2" t="s">
        <v>153</v>
      </c>
      <c r="D1905" s="2" t="s">
        <v>1930</v>
      </c>
      <c r="E1905" s="2" t="s">
        <v>78</v>
      </c>
      <c r="F1905" s="2" t="s">
        <v>108</v>
      </c>
      <c r="G1905" s="30" t="n">
        <v>48</v>
      </c>
      <c r="H1905" s="11" t="n">
        <v>725.1</v>
      </c>
      <c r="I1905" s="11" t="s">
        <v>155</v>
      </c>
      <c r="J1905" s="11" t="n">
        <v>104.06</v>
      </c>
      <c r="K1905" s="11" t="n">
        <v>93.97</v>
      </c>
      <c r="L1905" s="11" t="n">
        <v>0.7251</v>
      </c>
      <c r="M1905" s="11" t="n">
        <v>1.4502</v>
      </c>
      <c r="N1905" s="11" t="n">
        <v>1</v>
      </c>
      <c r="O1905" s="11" t="n">
        <v>4.5</v>
      </c>
      <c r="P1905" s="11" t="n">
        <v>2.88</v>
      </c>
      <c r="Q1905" s="11" t="n">
        <v>21.6</v>
      </c>
      <c r="R1905" s="11" t="n">
        <f aca="false">SUM(K1905:Q1905)</f>
        <v>126.1253</v>
      </c>
      <c r="S1905" s="11" t="n">
        <f aca="false">R1905/(1-Resumo!$C$6)</f>
        <v>143.324204545455</v>
      </c>
      <c r="T1905" s="11" t="n">
        <f aca="false">S1905-J1905</f>
        <v>39.2642045454546</v>
      </c>
      <c r="U1905" s="12" t="n">
        <f aca="false">IFERROR(S1905/J1905-1,0)</f>
        <v>0.377322742124299</v>
      </c>
      <c r="V1905" s="2" t="str">
        <f aca="false">IF(S1905&lt;J1905,"SIM","NÃO")</f>
        <v>NÃO</v>
      </c>
      <c r="W1905" s="2" t="n">
        <v>5</v>
      </c>
      <c r="X1905" s="2" t="s">
        <v>156</v>
      </c>
    </row>
    <row r="1906" customFormat="false" ht="15" hidden="false" customHeight="false" outlineLevel="0" collapsed="false">
      <c r="A1906" s="2" t="n">
        <v>396197357</v>
      </c>
      <c r="B1906" s="29" t="n">
        <v>46283.4628819445</v>
      </c>
      <c r="C1906" s="2" t="s">
        <v>153</v>
      </c>
      <c r="D1906" s="2" t="s">
        <v>1393</v>
      </c>
      <c r="E1906" s="2" t="s">
        <v>78</v>
      </c>
      <c r="F1906" s="2" t="s">
        <v>106</v>
      </c>
      <c r="G1906" s="30" t="n">
        <v>25.8</v>
      </c>
      <c r="H1906" s="11" t="n">
        <v>309.58</v>
      </c>
      <c r="I1906" s="11" t="s">
        <v>155</v>
      </c>
      <c r="J1906" s="11" t="n">
        <v>81.81</v>
      </c>
      <c r="K1906" s="11" t="n">
        <v>82.21</v>
      </c>
      <c r="L1906" s="11" t="n">
        <v>0.3096</v>
      </c>
      <c r="M1906" s="11" t="n">
        <v>0.6192</v>
      </c>
      <c r="N1906" s="11" t="n">
        <v>1</v>
      </c>
      <c r="O1906" s="11" t="n">
        <v>4.5</v>
      </c>
      <c r="P1906" s="11" t="n">
        <v>1.56</v>
      </c>
      <c r="Q1906" s="11" t="n">
        <v>11.7</v>
      </c>
      <c r="R1906" s="11" t="n">
        <f aca="false">SUM(K1906:Q1906)</f>
        <v>101.8988</v>
      </c>
      <c r="S1906" s="11" t="n">
        <f aca="false">R1906/(1-Resumo!$C$6)</f>
        <v>115.794090909091</v>
      </c>
      <c r="T1906" s="11" t="n">
        <f aca="false">S1906-J1906</f>
        <v>33.9840909090909</v>
      </c>
      <c r="U1906" s="12" t="n">
        <f aca="false">IFERROR(S1906/J1906-1,0)</f>
        <v>0.415402651376249</v>
      </c>
      <c r="V1906" s="2" t="str">
        <f aca="false">IF(S1906&lt;J1906,"SIM","NÃO")</f>
        <v>NÃO</v>
      </c>
      <c r="W1906" s="2" t="n">
        <v>5</v>
      </c>
      <c r="X1906" s="2" t="s">
        <v>156</v>
      </c>
    </row>
    <row r="1907" customFormat="false" ht="15" hidden="false" customHeight="false" outlineLevel="0" collapsed="false">
      <c r="A1907" s="2" t="n">
        <v>396206956</v>
      </c>
      <c r="B1907" s="29" t="n">
        <v>46283.487025463</v>
      </c>
      <c r="C1907" s="2" t="s">
        <v>178</v>
      </c>
      <c r="D1907" s="2" t="s">
        <v>569</v>
      </c>
      <c r="E1907" s="2" t="s">
        <v>78</v>
      </c>
      <c r="F1907" s="2" t="s">
        <v>106</v>
      </c>
      <c r="G1907" s="30" t="n">
        <v>22.4</v>
      </c>
      <c r="H1907" s="11" t="n">
        <v>599.99</v>
      </c>
      <c r="I1907" s="11" t="s">
        <v>155</v>
      </c>
      <c r="J1907" s="11" t="n">
        <v>83.2</v>
      </c>
      <c r="K1907" s="11" t="n">
        <v>82.21</v>
      </c>
      <c r="L1907" s="11" t="n">
        <v>0.6</v>
      </c>
      <c r="M1907" s="11" t="n">
        <v>1.2</v>
      </c>
      <c r="N1907" s="11" t="n">
        <v>1</v>
      </c>
      <c r="O1907" s="11" t="n">
        <v>4.5</v>
      </c>
      <c r="P1907" s="11" t="n">
        <v>1.38</v>
      </c>
      <c r="Q1907" s="11" t="n">
        <v>10.35</v>
      </c>
      <c r="R1907" s="11" t="n">
        <f aca="false">SUM(K1907:Q1907)</f>
        <v>101.24</v>
      </c>
      <c r="S1907" s="11" t="n">
        <f aca="false">R1907/(1-Resumo!$C$6)</f>
        <v>115.045454545455</v>
      </c>
      <c r="T1907" s="11" t="n">
        <f aca="false">S1907-J1907</f>
        <v>31.8454545454545</v>
      </c>
      <c r="U1907" s="12" t="n">
        <f aca="false">IFERROR(S1907/J1907-1,0)</f>
        <v>0.382757867132867</v>
      </c>
      <c r="V1907" s="2" t="str">
        <f aca="false">IF(S1907&lt;J1907,"SIM","NÃO")</f>
        <v>NÃO</v>
      </c>
      <c r="W1907" s="2" t="n">
        <v>5</v>
      </c>
      <c r="X1907" s="2" t="s">
        <v>156</v>
      </c>
    </row>
    <row r="1908" customFormat="false" ht="15" hidden="false" customHeight="false" outlineLevel="0" collapsed="false">
      <c r="A1908" s="2" t="n">
        <v>396209617</v>
      </c>
      <c r="B1908" s="29" t="n">
        <v>46283.4874768519</v>
      </c>
      <c r="C1908" s="2" t="s">
        <v>153</v>
      </c>
      <c r="D1908" s="2" t="s">
        <v>1931</v>
      </c>
      <c r="E1908" s="2" t="s">
        <v>92</v>
      </c>
      <c r="F1908" s="2" t="s">
        <v>106</v>
      </c>
      <c r="G1908" s="30" t="n">
        <v>20.8</v>
      </c>
      <c r="H1908" s="11" t="n">
        <v>339.99</v>
      </c>
      <c r="I1908" s="11" t="s">
        <v>155</v>
      </c>
      <c r="J1908" s="11" t="n">
        <v>108.81</v>
      </c>
      <c r="K1908" s="11" t="n">
        <v>114.95</v>
      </c>
      <c r="L1908" s="11" t="n">
        <v>0.34</v>
      </c>
      <c r="M1908" s="11" t="n">
        <v>0.68</v>
      </c>
      <c r="N1908" s="11" t="n">
        <v>1</v>
      </c>
      <c r="O1908" s="11" t="n">
        <v>4.5</v>
      </c>
      <c r="P1908" s="11" t="n">
        <v>1.26</v>
      </c>
      <c r="Q1908" s="11" t="n">
        <v>9.45</v>
      </c>
      <c r="R1908" s="11" t="n">
        <f aca="false">SUM(K1908:Q1908)</f>
        <v>132.18</v>
      </c>
      <c r="S1908" s="11" t="n">
        <f aca="false">R1908/(1-Resumo!$C$6)</f>
        <v>150.204545454545</v>
      </c>
      <c r="T1908" s="11" t="n">
        <f aca="false">S1908-J1908</f>
        <v>41.3945454545455</v>
      </c>
      <c r="U1908" s="12" t="n">
        <f aca="false">IFERROR(S1908/J1908-1,0)</f>
        <v>0.380429606236058</v>
      </c>
      <c r="V1908" s="2" t="str">
        <f aca="false">IF(S1908&lt;J1908,"SIM","NÃO")</f>
        <v>NÃO</v>
      </c>
      <c r="W1908" s="2" t="n">
        <v>10</v>
      </c>
      <c r="X1908" s="2" t="s">
        <v>156</v>
      </c>
    </row>
    <row r="1909" customFormat="false" ht="15" hidden="false" customHeight="false" outlineLevel="0" collapsed="false">
      <c r="A1909" s="2" t="n">
        <v>396231856</v>
      </c>
      <c r="B1909" s="29" t="n">
        <v>46283.5308564815</v>
      </c>
      <c r="C1909" s="2" t="s">
        <v>153</v>
      </c>
      <c r="D1909" s="2" t="s">
        <v>1932</v>
      </c>
      <c r="E1909" s="2" t="s">
        <v>78</v>
      </c>
      <c r="F1909" s="2" t="s">
        <v>109</v>
      </c>
      <c r="G1909" s="30" t="n">
        <v>52.3</v>
      </c>
      <c r="H1909" s="11" t="n">
        <v>614.63</v>
      </c>
      <c r="I1909" s="11" t="s">
        <v>155</v>
      </c>
      <c r="J1909" s="11" t="n">
        <v>114.09</v>
      </c>
      <c r="K1909" s="11" t="n">
        <v>112.3</v>
      </c>
      <c r="L1909" s="11" t="n">
        <v>0.6146</v>
      </c>
      <c r="M1909" s="11" t="n">
        <v>1.2293</v>
      </c>
      <c r="N1909" s="11" t="n">
        <v>1</v>
      </c>
      <c r="O1909" s="11" t="n">
        <v>4.5</v>
      </c>
      <c r="P1909" s="11" t="n">
        <v>3.18</v>
      </c>
      <c r="Q1909" s="11" t="n">
        <v>23.85</v>
      </c>
      <c r="R1909" s="11" t="n">
        <f aca="false">SUM(K1909:Q1909)</f>
        <v>146.6739</v>
      </c>
      <c r="S1909" s="11" t="n">
        <f aca="false">R1909/(1-Resumo!$C$6)</f>
        <v>166.674886363636</v>
      </c>
      <c r="T1909" s="11" t="n">
        <f aca="false">S1909-J1909</f>
        <v>52.5848863636364</v>
      </c>
      <c r="U1909" s="12" t="n">
        <f aca="false">IFERROR(S1909/J1909-1,0)</f>
        <v>0.460907059020391</v>
      </c>
      <c r="V1909" s="2" t="str">
        <f aca="false">IF(S1909&lt;J1909,"SIM","NÃO")</f>
        <v>NÃO</v>
      </c>
      <c r="W1909" s="2" t="n">
        <v>5</v>
      </c>
      <c r="X1909" s="2" t="s">
        <v>156</v>
      </c>
    </row>
    <row r="1910" customFormat="false" ht="15" hidden="false" customHeight="false" outlineLevel="0" collapsed="false">
      <c r="A1910" s="2" t="n">
        <v>396260048</v>
      </c>
      <c r="B1910" s="29" t="n">
        <v>46283.5845023148</v>
      </c>
      <c r="C1910" s="2" t="s">
        <v>153</v>
      </c>
      <c r="D1910" s="2" t="s">
        <v>1933</v>
      </c>
      <c r="E1910" s="2" t="s">
        <v>78</v>
      </c>
      <c r="F1910" s="2" t="s">
        <v>107</v>
      </c>
      <c r="G1910" s="30" t="n">
        <v>39.9</v>
      </c>
      <c r="H1910" s="11" t="n">
        <v>599.99</v>
      </c>
      <c r="I1910" s="11" t="s">
        <v>155</v>
      </c>
      <c r="J1910" s="11" t="n">
        <v>92.73</v>
      </c>
      <c r="K1910" s="11" t="n">
        <v>93.97</v>
      </c>
      <c r="L1910" s="11" t="n">
        <v>0.6</v>
      </c>
      <c r="M1910" s="11" t="n">
        <v>1.2</v>
      </c>
      <c r="N1910" s="11" t="n">
        <v>1</v>
      </c>
      <c r="O1910" s="11" t="n">
        <v>4.5</v>
      </c>
      <c r="P1910" s="11" t="n">
        <v>2.4</v>
      </c>
      <c r="Q1910" s="11" t="n">
        <v>18</v>
      </c>
      <c r="R1910" s="11" t="n">
        <f aca="false">SUM(K1910:Q1910)</f>
        <v>121.67</v>
      </c>
      <c r="S1910" s="11" t="n">
        <f aca="false">R1910/(1-Resumo!$C$6)</f>
        <v>138.261363636364</v>
      </c>
      <c r="T1910" s="11" t="n">
        <f aca="false">S1910-J1910</f>
        <v>45.5313636363636</v>
      </c>
      <c r="U1910" s="12" t="n">
        <f aca="false">IFERROR(S1910/J1910-1,0)</f>
        <v>0.491010068331323</v>
      </c>
      <c r="V1910" s="2" t="str">
        <f aca="false">IF(S1910&lt;J1910,"SIM","NÃO")</f>
        <v>NÃO</v>
      </c>
      <c r="W1910" s="2" t="n">
        <v>5</v>
      </c>
      <c r="X1910" s="2" t="s">
        <v>156</v>
      </c>
    </row>
    <row r="1911" customFormat="false" ht="15" hidden="false" customHeight="false" outlineLevel="0" collapsed="false">
      <c r="A1911" s="2" t="n">
        <v>396262102</v>
      </c>
      <c r="B1911" s="29" t="n">
        <v>46283.5879282407</v>
      </c>
      <c r="C1911" s="2" t="s">
        <v>153</v>
      </c>
      <c r="D1911" s="2" t="s">
        <v>1484</v>
      </c>
      <c r="E1911" s="2" t="s">
        <v>78</v>
      </c>
      <c r="F1911" s="2" t="s">
        <v>106</v>
      </c>
      <c r="G1911" s="30" t="n">
        <v>34.1</v>
      </c>
      <c r="H1911" s="11" t="n">
        <v>419.3</v>
      </c>
      <c r="I1911" s="11" t="s">
        <v>155</v>
      </c>
      <c r="J1911" s="11" t="n">
        <v>82.34</v>
      </c>
      <c r="K1911" s="11" t="n">
        <v>82.21</v>
      </c>
      <c r="L1911" s="11" t="n">
        <v>0.4193</v>
      </c>
      <c r="M1911" s="11" t="n">
        <v>0.8386</v>
      </c>
      <c r="N1911" s="11" t="n">
        <v>1</v>
      </c>
      <c r="O1911" s="11" t="n">
        <v>4.5</v>
      </c>
      <c r="P1911" s="11" t="n">
        <v>2.1</v>
      </c>
      <c r="Q1911" s="11" t="n">
        <v>15.75</v>
      </c>
      <c r="R1911" s="11" t="n">
        <f aca="false">SUM(K1911:Q1911)</f>
        <v>106.8179</v>
      </c>
      <c r="S1911" s="11" t="n">
        <f aca="false">R1911/(1-Resumo!$C$6)</f>
        <v>121.383977272727</v>
      </c>
      <c r="T1911" s="11" t="n">
        <f aca="false">S1911-J1911</f>
        <v>39.0439772727273</v>
      </c>
      <c r="U1911" s="12" t="n">
        <f aca="false">IFERROR(S1911/J1911-1,0)</f>
        <v>0.474179952304193</v>
      </c>
      <c r="V1911" s="2" t="str">
        <f aca="false">IF(S1911&lt;J1911,"SIM","NÃO")</f>
        <v>NÃO</v>
      </c>
      <c r="W1911" s="2" t="n">
        <v>5</v>
      </c>
      <c r="X1911" s="2" t="s">
        <v>156</v>
      </c>
    </row>
    <row r="1912" customFormat="false" ht="15" hidden="false" customHeight="false" outlineLevel="0" collapsed="false">
      <c r="A1912" s="2" t="n">
        <v>396262194</v>
      </c>
      <c r="B1912" s="29" t="n">
        <v>46283.5882175926</v>
      </c>
      <c r="C1912" s="2" t="s">
        <v>158</v>
      </c>
      <c r="D1912" s="2" t="s">
        <v>1934</v>
      </c>
      <c r="E1912" s="2" t="s">
        <v>97</v>
      </c>
      <c r="F1912" s="2" t="s">
        <v>110</v>
      </c>
      <c r="G1912" s="30" t="n">
        <v>67.3</v>
      </c>
      <c r="H1912" s="11" t="n">
        <v>720</v>
      </c>
      <c r="I1912" s="11" t="s">
        <v>155</v>
      </c>
      <c r="J1912" s="11" t="n">
        <v>155.47</v>
      </c>
      <c r="K1912" s="11" t="n">
        <v>166.05</v>
      </c>
      <c r="L1912" s="11" t="n">
        <v>0.72</v>
      </c>
      <c r="M1912" s="11" t="n">
        <v>1.44</v>
      </c>
      <c r="N1912" s="11" t="n">
        <v>1</v>
      </c>
      <c r="O1912" s="11" t="n">
        <v>4.5</v>
      </c>
      <c r="P1912" s="11" t="n">
        <v>4.08</v>
      </c>
      <c r="Q1912" s="11" t="n">
        <v>30.6</v>
      </c>
      <c r="R1912" s="11" t="n">
        <f aca="false">SUM(K1912:Q1912)</f>
        <v>208.39</v>
      </c>
      <c r="S1912" s="11" t="n">
        <f aca="false">R1912/(1-Resumo!$C$6)</f>
        <v>236.806818181818</v>
      </c>
      <c r="T1912" s="11" t="n">
        <f aca="false">S1912-J1912</f>
        <v>81.3368181818182</v>
      </c>
      <c r="U1912" s="12" t="n">
        <f aca="false">IFERROR(S1912/J1912-1,0)</f>
        <v>0.52316728746265</v>
      </c>
      <c r="V1912" s="2" t="str">
        <f aca="false">IF(S1912&lt;J1912,"SIM","NÃO")</f>
        <v>NÃO</v>
      </c>
      <c r="W1912" s="2" t="n">
        <v>10</v>
      </c>
      <c r="X1912" s="2" t="s">
        <v>156</v>
      </c>
    </row>
    <row r="1913" customFormat="false" ht="15" hidden="false" customHeight="false" outlineLevel="0" collapsed="false">
      <c r="A1913" s="2" t="n">
        <v>396290456</v>
      </c>
      <c r="B1913" s="29" t="n">
        <v>46283.6419560185</v>
      </c>
      <c r="C1913" s="2" t="s">
        <v>153</v>
      </c>
      <c r="D1913" s="2" t="s">
        <v>1935</v>
      </c>
      <c r="E1913" s="2" t="s">
        <v>78</v>
      </c>
      <c r="F1913" s="2" t="s">
        <v>106</v>
      </c>
      <c r="G1913" s="30" t="n">
        <v>29.2</v>
      </c>
      <c r="H1913" s="11" t="n">
        <v>429.99</v>
      </c>
      <c r="I1913" s="11" t="s">
        <v>155</v>
      </c>
      <c r="J1913" s="11" t="n">
        <v>82.39</v>
      </c>
      <c r="K1913" s="11" t="n">
        <v>82.21</v>
      </c>
      <c r="L1913" s="11" t="n">
        <v>0.43</v>
      </c>
      <c r="M1913" s="11" t="n">
        <v>0.86</v>
      </c>
      <c r="N1913" s="11" t="n">
        <v>1</v>
      </c>
      <c r="O1913" s="11" t="n">
        <v>4.5</v>
      </c>
      <c r="P1913" s="11" t="n">
        <v>1.8</v>
      </c>
      <c r="Q1913" s="11" t="n">
        <v>13.5</v>
      </c>
      <c r="R1913" s="11" t="n">
        <f aca="false">SUM(K1913:Q1913)</f>
        <v>104.3</v>
      </c>
      <c r="S1913" s="11" t="n">
        <f aca="false">R1913/(1-Resumo!$C$6)</f>
        <v>118.522727272727</v>
      </c>
      <c r="T1913" s="11" t="n">
        <f aca="false">S1913-J1913</f>
        <v>36.1327272727273</v>
      </c>
      <c r="U1913" s="12" t="n">
        <f aca="false">IFERROR(S1913/J1913-1,0)</f>
        <v>0.438557194716923</v>
      </c>
      <c r="V1913" s="2" t="str">
        <f aca="false">IF(S1913&lt;J1913,"SIM","NÃO")</f>
        <v>NÃO</v>
      </c>
      <c r="W1913" s="2" t="n">
        <v>5</v>
      </c>
      <c r="X1913" s="2" t="s">
        <v>156</v>
      </c>
    </row>
    <row r="1914" customFormat="false" ht="15" hidden="false" customHeight="false" outlineLevel="0" collapsed="false">
      <c r="A1914" s="2" t="n">
        <v>396324931</v>
      </c>
      <c r="B1914" s="29" t="n">
        <v>46283.7087962963</v>
      </c>
      <c r="C1914" s="2" t="s">
        <v>158</v>
      </c>
      <c r="D1914" s="2" t="s">
        <v>1936</v>
      </c>
      <c r="E1914" s="2" t="s">
        <v>78</v>
      </c>
      <c r="F1914" s="2" t="s">
        <v>110</v>
      </c>
      <c r="G1914" s="30" t="n">
        <v>66.8</v>
      </c>
      <c r="H1914" s="11" t="n">
        <v>691.9</v>
      </c>
      <c r="I1914" s="11" t="s">
        <v>155</v>
      </c>
      <c r="J1914" s="11" t="n">
        <v>124.51</v>
      </c>
      <c r="K1914" s="11" t="n">
        <v>131.02</v>
      </c>
      <c r="L1914" s="11" t="n">
        <v>0.6919</v>
      </c>
      <c r="M1914" s="11" t="n">
        <v>1.3838</v>
      </c>
      <c r="N1914" s="11" t="n">
        <v>1</v>
      </c>
      <c r="O1914" s="11" t="n">
        <v>4.5</v>
      </c>
      <c r="P1914" s="11" t="n">
        <v>4.02</v>
      </c>
      <c r="Q1914" s="11" t="n">
        <v>30.15</v>
      </c>
      <c r="R1914" s="11" t="n">
        <f aca="false">SUM(K1914:Q1914)</f>
        <v>172.7657</v>
      </c>
      <c r="S1914" s="11" t="n">
        <f aca="false">R1914/(1-Resumo!$C$6)</f>
        <v>196.324659090909</v>
      </c>
      <c r="T1914" s="11" t="n">
        <f aca="false">S1914-J1914</f>
        <v>71.8146590909091</v>
      </c>
      <c r="U1914" s="12" t="n">
        <f aca="false">IFERROR(S1914/J1914-1,0)</f>
        <v>0.576778243441564</v>
      </c>
      <c r="V1914" s="2" t="str">
        <f aca="false">IF(S1914&lt;J1914,"SIM","NÃO")</f>
        <v>NÃO</v>
      </c>
      <c r="W1914" s="2" t="n">
        <v>5</v>
      </c>
      <c r="X1914" s="2" t="s">
        <v>156</v>
      </c>
    </row>
    <row r="1915" customFormat="false" ht="15" hidden="false" customHeight="false" outlineLevel="0" collapsed="false">
      <c r="A1915" s="2" t="n">
        <v>396359410</v>
      </c>
      <c r="B1915" s="29" t="n">
        <v>46283.7637615741</v>
      </c>
      <c r="C1915" s="2" t="s">
        <v>153</v>
      </c>
      <c r="D1915" s="2" t="s">
        <v>1937</v>
      </c>
      <c r="E1915" s="2" t="s">
        <v>412</v>
      </c>
      <c r="F1915" s="2" t="s">
        <v>109</v>
      </c>
      <c r="G1915" s="30" t="n">
        <v>60</v>
      </c>
      <c r="H1915" s="11" t="n">
        <v>762.34</v>
      </c>
      <c r="I1915" s="11" t="s">
        <v>155</v>
      </c>
      <c r="J1915" s="11" t="n">
        <v>143.31</v>
      </c>
      <c r="K1915" s="11" t="n">
        <v>142.32</v>
      </c>
      <c r="L1915" s="11" t="n">
        <v>0.7623</v>
      </c>
      <c r="M1915" s="11" t="n">
        <v>1.5247</v>
      </c>
      <c r="N1915" s="11" t="n">
        <v>1</v>
      </c>
      <c r="O1915" s="11" t="n">
        <v>4.5</v>
      </c>
      <c r="P1915" s="11" t="n">
        <v>3.6</v>
      </c>
      <c r="Q1915" s="11" t="n">
        <v>27</v>
      </c>
      <c r="R1915" s="11" t="n">
        <f aca="false">SUM(K1915:Q1915)</f>
        <v>180.707</v>
      </c>
      <c r="S1915" s="11" t="n">
        <f aca="false">R1915/(1-Resumo!$C$6)</f>
        <v>205.348863636364</v>
      </c>
      <c r="T1915" s="11" t="n">
        <f aca="false">S1915-J1915</f>
        <v>62.0388636363636</v>
      </c>
      <c r="U1915" s="12" t="n">
        <f aca="false">IFERROR(S1915/J1915-1,0)</f>
        <v>0.432899753236785</v>
      </c>
      <c r="V1915" s="2" t="str">
        <f aca="false">IF(S1915&lt;J1915,"SIM","NÃO")</f>
        <v>NÃO</v>
      </c>
      <c r="W1915" s="2" t="n">
        <v>10</v>
      </c>
      <c r="X1915" s="2" t="s">
        <v>161</v>
      </c>
    </row>
    <row r="1916" customFormat="false" ht="15" hidden="false" customHeight="false" outlineLevel="0" collapsed="false">
      <c r="A1916" s="2" t="n">
        <v>396369019</v>
      </c>
      <c r="B1916" s="29" t="n">
        <v>46283.781724537</v>
      </c>
      <c r="C1916" s="2" t="s">
        <v>153</v>
      </c>
      <c r="D1916" s="2" t="s">
        <v>1938</v>
      </c>
      <c r="E1916" s="2" t="s">
        <v>78</v>
      </c>
      <c r="F1916" s="2" t="s">
        <v>106</v>
      </c>
      <c r="G1916" s="30" t="n">
        <v>27.5</v>
      </c>
      <c r="H1916" s="11" t="n">
        <v>332.86</v>
      </c>
      <c r="I1916" s="11" t="s">
        <v>155</v>
      </c>
      <c r="J1916" s="11" t="n">
        <v>81.93</v>
      </c>
      <c r="K1916" s="11" t="n">
        <v>82.21</v>
      </c>
      <c r="L1916" s="11" t="n">
        <v>0.3329</v>
      </c>
      <c r="M1916" s="11" t="n">
        <v>0.6657</v>
      </c>
      <c r="N1916" s="11" t="n">
        <v>1</v>
      </c>
      <c r="O1916" s="11" t="n">
        <v>4.5</v>
      </c>
      <c r="P1916" s="11" t="n">
        <v>1.68</v>
      </c>
      <c r="Q1916" s="11" t="n">
        <v>12.6</v>
      </c>
      <c r="R1916" s="11" t="n">
        <f aca="false">SUM(K1916:Q1916)</f>
        <v>102.9886</v>
      </c>
      <c r="S1916" s="11" t="n">
        <f aca="false">R1916/(1-Resumo!$C$6)</f>
        <v>117.0325</v>
      </c>
      <c r="T1916" s="11" t="n">
        <f aca="false">S1916-J1916</f>
        <v>35.1025</v>
      </c>
      <c r="U1916" s="12" t="n">
        <f aca="false">IFERROR(S1916/J1916-1,0)</f>
        <v>0.428445014036372</v>
      </c>
      <c r="V1916" s="2" t="str">
        <f aca="false">IF(S1916&lt;J1916,"SIM","NÃO")</f>
        <v>NÃO</v>
      </c>
      <c r="W1916" s="2" t="n">
        <v>5</v>
      </c>
      <c r="X1916" s="2" t="s">
        <v>156</v>
      </c>
    </row>
    <row r="1917" customFormat="false" ht="15" hidden="false" customHeight="false" outlineLevel="0" collapsed="false">
      <c r="A1917" s="2" t="n">
        <v>396406947</v>
      </c>
      <c r="B1917" s="29" t="n">
        <v>46283.8301388889</v>
      </c>
      <c r="C1917" s="2" t="s">
        <v>369</v>
      </c>
      <c r="D1917" s="2" t="s">
        <v>1939</v>
      </c>
      <c r="E1917" s="2" t="s">
        <v>81</v>
      </c>
      <c r="F1917" s="2" t="s">
        <v>109</v>
      </c>
      <c r="G1917" s="30" t="n">
        <v>52.3</v>
      </c>
      <c r="H1917" s="11" t="n">
        <v>620.49</v>
      </c>
      <c r="I1917" s="11" t="s">
        <v>155</v>
      </c>
      <c r="J1917" s="11" t="n">
        <v>128.25</v>
      </c>
      <c r="K1917" s="11" t="n">
        <v>112.3</v>
      </c>
      <c r="L1917" s="11" t="n">
        <v>0.6205</v>
      </c>
      <c r="M1917" s="11" t="n">
        <v>1.241</v>
      </c>
      <c r="N1917" s="11" t="n">
        <v>1</v>
      </c>
      <c r="O1917" s="11" t="n">
        <v>4.5</v>
      </c>
      <c r="P1917" s="11" t="n">
        <v>3.18</v>
      </c>
      <c r="Q1917" s="11" t="n">
        <v>23.85</v>
      </c>
      <c r="R1917" s="11" t="n">
        <f aca="false">SUM(K1917:Q1917)</f>
        <v>146.6915</v>
      </c>
      <c r="S1917" s="11" t="n">
        <f aca="false">R1917/(1-Resumo!$C$6)</f>
        <v>166.694886363636</v>
      </c>
      <c r="T1917" s="11" t="n">
        <f aca="false">S1917-J1917</f>
        <v>38.4448863636364</v>
      </c>
      <c r="U1917" s="12" t="n">
        <f aca="false">IFERROR(S1917/J1917-1,0)</f>
        <v>0.299765195817827</v>
      </c>
      <c r="V1917" s="2" t="str">
        <f aca="false">IF(S1917&lt;J1917,"SIM","NÃO")</f>
        <v>NÃO</v>
      </c>
      <c r="W1917" s="2" t="n">
        <v>5</v>
      </c>
      <c r="X1917" s="2" t="s">
        <v>156</v>
      </c>
    </row>
    <row r="1918" customFormat="false" ht="15" hidden="false" customHeight="false" outlineLevel="0" collapsed="false">
      <c r="A1918" s="2" t="n">
        <v>396421064</v>
      </c>
      <c r="B1918" s="29" t="n">
        <v>46283.8767476852</v>
      </c>
      <c r="C1918" s="2" t="s">
        <v>153</v>
      </c>
      <c r="D1918" s="2" t="s">
        <v>1940</v>
      </c>
      <c r="E1918" s="2" t="s">
        <v>88</v>
      </c>
      <c r="F1918" s="2" t="s">
        <v>107</v>
      </c>
      <c r="G1918" s="30" t="n">
        <v>40</v>
      </c>
      <c r="H1918" s="11" t="n">
        <v>562.42</v>
      </c>
      <c r="I1918" s="11" t="s">
        <v>155</v>
      </c>
      <c r="J1918" s="11" t="n">
        <v>122.93</v>
      </c>
      <c r="K1918" s="11" t="n">
        <v>124.38</v>
      </c>
      <c r="L1918" s="11" t="n">
        <v>0.5624</v>
      </c>
      <c r="M1918" s="11" t="n">
        <v>1.1248</v>
      </c>
      <c r="N1918" s="11" t="n">
        <v>1</v>
      </c>
      <c r="O1918" s="11" t="n">
        <v>4.5</v>
      </c>
      <c r="P1918" s="11" t="n">
        <v>2.4</v>
      </c>
      <c r="Q1918" s="11" t="n">
        <v>18</v>
      </c>
      <c r="R1918" s="11" t="n">
        <f aca="false">SUM(K1918:Q1918)</f>
        <v>151.9672</v>
      </c>
      <c r="S1918" s="11" t="n">
        <f aca="false">R1918/(1-Resumo!$C$6)</f>
        <v>172.69</v>
      </c>
      <c r="T1918" s="11" t="n">
        <f aca="false">S1918-J1918</f>
        <v>49.76</v>
      </c>
      <c r="U1918" s="12" t="n">
        <f aca="false">IFERROR(S1918/J1918-1,0)</f>
        <v>0.404783209956886</v>
      </c>
      <c r="V1918" s="2" t="str">
        <f aca="false">IF(S1918&lt;J1918,"SIM","NÃO")</f>
        <v>NÃO</v>
      </c>
      <c r="W1918" s="2" t="n">
        <v>10</v>
      </c>
      <c r="X1918" s="2" t="s">
        <v>156</v>
      </c>
    </row>
    <row r="1919" customFormat="false" ht="15" hidden="false" customHeight="false" outlineLevel="0" collapsed="false">
      <c r="A1919" s="2" t="n">
        <v>396429267</v>
      </c>
      <c r="B1919" s="29" t="n">
        <v>46283.8917824074</v>
      </c>
      <c r="C1919" s="2" t="s">
        <v>153</v>
      </c>
      <c r="D1919" s="2" t="s">
        <v>578</v>
      </c>
      <c r="E1919" s="2" t="s">
        <v>78</v>
      </c>
      <c r="F1919" s="2" t="s">
        <v>109</v>
      </c>
      <c r="G1919" s="30" t="n">
        <v>52.3</v>
      </c>
      <c r="H1919" s="11" t="n">
        <v>614.63</v>
      </c>
      <c r="I1919" s="11" t="s">
        <v>155</v>
      </c>
      <c r="J1919" s="11" t="n">
        <v>114.09</v>
      </c>
      <c r="K1919" s="11" t="n">
        <v>112.3</v>
      </c>
      <c r="L1919" s="11" t="n">
        <v>0.6146</v>
      </c>
      <c r="M1919" s="11" t="n">
        <v>1.2293</v>
      </c>
      <c r="N1919" s="11" t="n">
        <v>1</v>
      </c>
      <c r="O1919" s="11" t="n">
        <v>4.5</v>
      </c>
      <c r="P1919" s="11" t="n">
        <v>3.18</v>
      </c>
      <c r="Q1919" s="11" t="n">
        <v>23.85</v>
      </c>
      <c r="R1919" s="11" t="n">
        <f aca="false">SUM(K1919:Q1919)</f>
        <v>146.6739</v>
      </c>
      <c r="S1919" s="11" t="n">
        <f aca="false">R1919/(1-Resumo!$C$6)</f>
        <v>166.674886363636</v>
      </c>
      <c r="T1919" s="11" t="n">
        <f aca="false">S1919-J1919</f>
        <v>52.5848863636364</v>
      </c>
      <c r="U1919" s="12" t="n">
        <f aca="false">IFERROR(S1919/J1919-1,0)</f>
        <v>0.460907059020391</v>
      </c>
      <c r="V1919" s="2" t="str">
        <f aca="false">IF(S1919&lt;J1919,"SIM","NÃO")</f>
        <v>NÃO</v>
      </c>
      <c r="W1919" s="2" t="n">
        <v>5</v>
      </c>
      <c r="X1919" s="2" t="s">
        <v>156</v>
      </c>
    </row>
    <row r="1920" customFormat="false" ht="15" hidden="false" customHeight="false" outlineLevel="0" collapsed="false">
      <c r="A1920" s="2" t="n">
        <v>396445921</v>
      </c>
      <c r="B1920" s="29" t="n">
        <v>46283.906087963</v>
      </c>
      <c r="C1920" s="2" t="s">
        <v>369</v>
      </c>
      <c r="D1920" s="2" t="s">
        <v>1941</v>
      </c>
      <c r="E1920" s="2" t="s">
        <v>78</v>
      </c>
      <c r="F1920" s="2" t="s">
        <v>106</v>
      </c>
      <c r="G1920" s="30" t="n">
        <v>21.75</v>
      </c>
      <c r="H1920" s="11" t="n">
        <v>329.99</v>
      </c>
      <c r="I1920" s="11" t="s">
        <v>155</v>
      </c>
      <c r="J1920" s="11" t="n">
        <v>81.91</v>
      </c>
      <c r="K1920" s="11" t="n">
        <v>82.21</v>
      </c>
      <c r="L1920" s="11" t="n">
        <v>0.33</v>
      </c>
      <c r="M1920" s="11" t="n">
        <v>0.66</v>
      </c>
      <c r="N1920" s="11" t="n">
        <v>1</v>
      </c>
      <c r="O1920" s="11" t="n">
        <v>4.5</v>
      </c>
      <c r="P1920" s="11" t="n">
        <v>1.32</v>
      </c>
      <c r="Q1920" s="11" t="n">
        <v>9.9</v>
      </c>
      <c r="R1920" s="11" t="n">
        <f aca="false">SUM(K1920:Q1920)</f>
        <v>99.92</v>
      </c>
      <c r="S1920" s="11" t="n">
        <f aca="false">R1920/(1-Resumo!$C$6)</f>
        <v>113.545454545455</v>
      </c>
      <c r="T1920" s="11" t="n">
        <f aca="false">S1920-J1920</f>
        <v>31.6354545454546</v>
      </c>
      <c r="U1920" s="12" t="n">
        <f aca="false">IFERROR(S1920/J1920-1,0)</f>
        <v>0.386222128500239</v>
      </c>
      <c r="V1920" s="2" t="str">
        <f aca="false">IF(S1920&lt;J1920,"SIM","NÃO")</f>
        <v>NÃO</v>
      </c>
      <c r="W1920" s="2" t="n">
        <v>5</v>
      </c>
      <c r="X1920" s="2" t="s">
        <v>156</v>
      </c>
    </row>
    <row r="1921" customFormat="false" ht="15" hidden="false" customHeight="false" outlineLevel="0" collapsed="false">
      <c r="A1921" s="2" t="n">
        <v>396438599</v>
      </c>
      <c r="B1921" s="29" t="n">
        <v>46283.9089930556</v>
      </c>
      <c r="C1921" s="2" t="s">
        <v>158</v>
      </c>
      <c r="D1921" s="2" t="s">
        <v>1942</v>
      </c>
      <c r="E1921" s="2" t="s">
        <v>94</v>
      </c>
      <c r="F1921" s="2" t="s">
        <v>108</v>
      </c>
      <c r="G1921" s="30" t="n">
        <v>48</v>
      </c>
      <c r="H1921" s="11" t="n">
        <v>828.99</v>
      </c>
      <c r="I1921" s="11" t="s">
        <v>155</v>
      </c>
      <c r="J1921" s="11" t="n">
        <v>118.06</v>
      </c>
      <c r="K1921" s="11" t="n">
        <v>93.97</v>
      </c>
      <c r="L1921" s="11" t="n">
        <v>0.829</v>
      </c>
      <c r="M1921" s="11" t="n">
        <v>1.658</v>
      </c>
      <c r="N1921" s="11" t="n">
        <v>1</v>
      </c>
      <c r="O1921" s="11" t="n">
        <v>4.5</v>
      </c>
      <c r="P1921" s="11" t="n">
        <v>2.88</v>
      </c>
      <c r="Q1921" s="11" t="n">
        <v>21.6</v>
      </c>
      <c r="R1921" s="11" t="n">
        <f aca="false">SUM(K1921:Q1921)</f>
        <v>126.437</v>
      </c>
      <c r="S1921" s="11" t="n">
        <f aca="false">R1921/(1-Resumo!$C$6)</f>
        <v>143.678409090909</v>
      </c>
      <c r="T1921" s="11" t="n">
        <f aca="false">S1921-J1921</f>
        <v>25.6184090909091</v>
      </c>
      <c r="U1921" s="12" t="n">
        <f aca="false">IFERROR(S1921/J1921-1,0)</f>
        <v>0.216994825435449</v>
      </c>
      <c r="V1921" s="2" t="str">
        <f aca="false">IF(S1921&lt;J1921,"SIM","NÃO")</f>
        <v>NÃO</v>
      </c>
      <c r="W1921" s="2" t="n">
        <v>5</v>
      </c>
      <c r="X1921" s="2" t="s">
        <v>156</v>
      </c>
    </row>
    <row r="1922" customFormat="false" ht="15" hidden="false" customHeight="false" outlineLevel="0" collapsed="false">
      <c r="A1922" s="2" t="n">
        <v>396443070</v>
      </c>
      <c r="B1922" s="29" t="n">
        <v>46283.917974537</v>
      </c>
      <c r="C1922" s="2" t="s">
        <v>153</v>
      </c>
      <c r="D1922" s="2" t="s">
        <v>1943</v>
      </c>
      <c r="E1922" s="2" t="s">
        <v>79</v>
      </c>
      <c r="F1922" s="2" t="s">
        <v>107</v>
      </c>
      <c r="G1922" s="30" t="n">
        <v>37.2</v>
      </c>
      <c r="H1922" s="11" t="n">
        <v>399.99</v>
      </c>
      <c r="I1922" s="11" t="s">
        <v>155</v>
      </c>
      <c r="J1922" s="11" t="n">
        <v>112.88</v>
      </c>
      <c r="K1922" s="11" t="n">
        <v>114.95</v>
      </c>
      <c r="L1922" s="11" t="n">
        <v>0.4</v>
      </c>
      <c r="M1922" s="11" t="n">
        <v>0.8</v>
      </c>
      <c r="N1922" s="11" t="n">
        <v>1</v>
      </c>
      <c r="O1922" s="11" t="n">
        <v>4.5</v>
      </c>
      <c r="P1922" s="11" t="n">
        <v>2.28</v>
      </c>
      <c r="Q1922" s="11" t="n">
        <v>17.1</v>
      </c>
      <c r="R1922" s="11" t="n">
        <f aca="false">SUM(K1922:Q1922)</f>
        <v>141.03</v>
      </c>
      <c r="S1922" s="11" t="n">
        <f aca="false">R1922/(1-Resumo!$C$6)</f>
        <v>160.261363636364</v>
      </c>
      <c r="T1922" s="11" t="n">
        <f aca="false">S1922-J1922</f>
        <v>47.3813636363636</v>
      </c>
      <c r="U1922" s="12" t="n">
        <f aca="false">IFERROR(S1922/J1922-1,0)</f>
        <v>0.419749855035114</v>
      </c>
      <c r="V1922" s="2" t="str">
        <f aca="false">IF(S1922&lt;J1922,"SIM","NÃO")</f>
        <v>NÃO</v>
      </c>
      <c r="W1922" s="2" t="n">
        <v>7</v>
      </c>
      <c r="X1922" s="2" t="s">
        <v>156</v>
      </c>
    </row>
    <row r="1923" customFormat="false" ht="15" hidden="false" customHeight="false" outlineLevel="0" collapsed="false">
      <c r="A1923" s="2" t="n">
        <v>396618673</v>
      </c>
      <c r="B1923" s="29" t="n">
        <v>46284.3352662037</v>
      </c>
      <c r="C1923" s="2" t="s">
        <v>158</v>
      </c>
      <c r="D1923" s="2" t="s">
        <v>1419</v>
      </c>
      <c r="E1923" s="2" t="s">
        <v>78</v>
      </c>
      <c r="F1923" s="2" t="s">
        <v>114</v>
      </c>
      <c r="G1923" s="30" t="n">
        <v>124.2</v>
      </c>
      <c r="H1923" s="11" t="n">
        <v>1475</v>
      </c>
      <c r="I1923" s="11" t="s">
        <v>155</v>
      </c>
      <c r="J1923" s="11" t="n">
        <v>233.36</v>
      </c>
      <c r="K1923" s="11" t="n">
        <v>239.25</v>
      </c>
      <c r="L1923" s="11" t="n">
        <v>1.475</v>
      </c>
      <c r="M1923" s="11" t="n">
        <v>2.95</v>
      </c>
      <c r="N1923" s="11" t="n">
        <v>1</v>
      </c>
      <c r="O1923" s="11" t="n">
        <v>9</v>
      </c>
      <c r="P1923" s="11" t="n">
        <v>7.5</v>
      </c>
      <c r="Q1923" s="11" t="n">
        <v>56.25</v>
      </c>
      <c r="R1923" s="11" t="n">
        <f aca="false">SUM(K1923:Q1923)</f>
        <v>317.425</v>
      </c>
      <c r="S1923" s="11" t="n">
        <f aca="false">R1923/(1-Resumo!$C$6)</f>
        <v>360.710227272727</v>
      </c>
      <c r="T1923" s="11" t="n">
        <f aca="false">S1923-J1923</f>
        <v>127.350227272727</v>
      </c>
      <c r="U1923" s="12" t="n">
        <f aca="false">IFERROR(S1923/J1923-1,0)</f>
        <v>0.545724319817995</v>
      </c>
      <c r="V1923" s="2" t="str">
        <f aca="false">IF(S1923&lt;J1923,"SIM","NÃO")</f>
        <v>NÃO</v>
      </c>
      <c r="W1923" s="2" t="n">
        <v>5</v>
      </c>
      <c r="X1923" s="2" t="s">
        <v>156</v>
      </c>
    </row>
    <row r="1924" customFormat="false" ht="15" hidden="false" customHeight="false" outlineLevel="0" collapsed="false">
      <c r="A1924" s="2" t="n">
        <v>396668452</v>
      </c>
      <c r="B1924" s="29" t="n">
        <v>46284.4299652778</v>
      </c>
      <c r="C1924" s="2" t="s">
        <v>158</v>
      </c>
      <c r="D1924" s="2" t="s">
        <v>1944</v>
      </c>
      <c r="E1924" s="2" t="s">
        <v>78</v>
      </c>
      <c r="F1924" s="2" t="s">
        <v>111</v>
      </c>
      <c r="G1924" s="30" t="n">
        <v>78.7</v>
      </c>
      <c r="H1924" s="11" t="n">
        <v>1541</v>
      </c>
      <c r="I1924" s="11" t="s">
        <v>155</v>
      </c>
      <c r="J1924" s="11" t="n">
        <v>139.86</v>
      </c>
      <c r="K1924" s="11" t="n">
        <v>134.39</v>
      </c>
      <c r="L1924" s="11" t="n">
        <v>1.541</v>
      </c>
      <c r="M1924" s="11" t="n">
        <v>3.082</v>
      </c>
      <c r="N1924" s="11" t="n">
        <v>1</v>
      </c>
      <c r="O1924" s="11" t="n">
        <v>4.5</v>
      </c>
      <c r="P1924" s="11" t="n">
        <v>4.74</v>
      </c>
      <c r="Q1924" s="11" t="n">
        <v>35.55</v>
      </c>
      <c r="R1924" s="11" t="n">
        <f aca="false">SUM(K1924:Q1924)</f>
        <v>184.803</v>
      </c>
      <c r="S1924" s="11" t="n">
        <f aca="false">R1924/(1-Resumo!$C$6)</f>
        <v>210.003409090909</v>
      </c>
      <c r="T1924" s="11" t="n">
        <f aca="false">S1924-J1924</f>
        <v>70.1434090909091</v>
      </c>
      <c r="U1924" s="12" t="n">
        <f aca="false">IFERROR(S1924/J1924-1,0)</f>
        <v>0.501525876525876</v>
      </c>
      <c r="V1924" s="2" t="str">
        <f aca="false">IF(S1924&lt;J1924,"SIM","NÃO")</f>
        <v>NÃO</v>
      </c>
      <c r="W1924" s="2" t="n">
        <v>5</v>
      </c>
      <c r="X1924" s="2" t="s">
        <v>156</v>
      </c>
    </row>
    <row r="1925" customFormat="false" ht="15" hidden="false" customHeight="false" outlineLevel="0" collapsed="false">
      <c r="A1925" s="2" t="n">
        <v>396715738</v>
      </c>
      <c r="B1925" s="29" t="n">
        <v>46284.4979282407</v>
      </c>
      <c r="C1925" s="2" t="s">
        <v>153</v>
      </c>
      <c r="D1925" s="2" t="s">
        <v>1945</v>
      </c>
      <c r="E1925" s="2" t="s">
        <v>90</v>
      </c>
      <c r="F1925" s="2" t="s">
        <v>107</v>
      </c>
      <c r="G1925" s="30" t="n">
        <v>37.6</v>
      </c>
      <c r="H1925" s="11" t="n">
        <v>378.18</v>
      </c>
      <c r="I1925" s="11" t="s">
        <v>155</v>
      </c>
      <c r="J1925" s="11" t="n">
        <v>122.07</v>
      </c>
      <c r="K1925" s="11" t="n">
        <v>114.95</v>
      </c>
      <c r="L1925" s="11" t="n">
        <v>0.3782</v>
      </c>
      <c r="M1925" s="11" t="n">
        <v>0.7564</v>
      </c>
      <c r="N1925" s="11" t="n">
        <v>1</v>
      </c>
      <c r="O1925" s="11" t="n">
        <v>4.5</v>
      </c>
      <c r="P1925" s="11" t="n">
        <v>2.28</v>
      </c>
      <c r="Q1925" s="11" t="n">
        <v>17.1</v>
      </c>
      <c r="R1925" s="11" t="n">
        <f aca="false">SUM(K1925:Q1925)</f>
        <v>140.9646</v>
      </c>
      <c r="S1925" s="11" t="n">
        <f aca="false">R1925/(1-Resumo!$C$6)</f>
        <v>160.187045454545</v>
      </c>
      <c r="T1925" s="11" t="n">
        <f aca="false">S1925-J1925</f>
        <v>38.1170454545455</v>
      </c>
      <c r="U1925" s="12" t="n">
        <f aca="false">IFERROR(S1925/J1925-1,0)</f>
        <v>0.312255635738064</v>
      </c>
      <c r="V1925" s="2" t="str">
        <f aca="false">IF(S1925&lt;J1925,"SIM","NÃO")</f>
        <v>NÃO</v>
      </c>
      <c r="W1925" s="2" t="n">
        <v>7</v>
      </c>
      <c r="X1925" s="2" t="s">
        <v>156</v>
      </c>
    </row>
    <row r="1926" customFormat="false" ht="15" hidden="false" customHeight="false" outlineLevel="0" collapsed="false">
      <c r="A1926" s="2" t="n">
        <v>396719512</v>
      </c>
      <c r="B1926" s="29" t="n">
        <v>46284.5028472222</v>
      </c>
      <c r="C1926" s="2" t="s">
        <v>153</v>
      </c>
      <c r="D1926" s="2" t="s">
        <v>1946</v>
      </c>
      <c r="E1926" s="2" t="s">
        <v>78</v>
      </c>
      <c r="F1926" s="2" t="s">
        <v>106</v>
      </c>
      <c r="G1926" s="30" t="n">
        <v>30.5</v>
      </c>
      <c r="H1926" s="11" t="n">
        <v>406.6</v>
      </c>
      <c r="I1926" s="11" t="s">
        <v>155</v>
      </c>
      <c r="J1926" s="11" t="n">
        <v>82.26</v>
      </c>
      <c r="K1926" s="11" t="n">
        <v>82.21</v>
      </c>
      <c r="L1926" s="11" t="n">
        <v>0.4066</v>
      </c>
      <c r="M1926" s="11" t="n">
        <v>0.8132</v>
      </c>
      <c r="N1926" s="11" t="n">
        <v>1</v>
      </c>
      <c r="O1926" s="11" t="n">
        <v>4.5</v>
      </c>
      <c r="P1926" s="11" t="n">
        <v>1.86</v>
      </c>
      <c r="Q1926" s="11" t="n">
        <v>13.95</v>
      </c>
      <c r="R1926" s="11" t="n">
        <f aca="false">SUM(K1926:Q1926)</f>
        <v>104.7398</v>
      </c>
      <c r="S1926" s="11" t="n">
        <f aca="false">R1926/(1-Resumo!$C$6)</f>
        <v>119.0225</v>
      </c>
      <c r="T1926" s="11" t="n">
        <f aca="false">S1926-J1926</f>
        <v>36.7625</v>
      </c>
      <c r="U1926" s="12" t="n">
        <f aca="false">IFERROR(S1926/J1926-1,0)</f>
        <v>0.446906151227814</v>
      </c>
      <c r="V1926" s="2" t="str">
        <f aca="false">IF(S1926&lt;J1926,"SIM","NÃO")</f>
        <v>NÃO</v>
      </c>
      <c r="W1926" s="2" t="n">
        <v>5</v>
      </c>
      <c r="X1926" s="2" t="s">
        <v>156</v>
      </c>
    </row>
    <row r="1927" customFormat="false" ht="15" hidden="false" customHeight="false" outlineLevel="0" collapsed="false">
      <c r="A1927" s="2" t="n">
        <v>396732352</v>
      </c>
      <c r="B1927" s="29" t="n">
        <v>46284.5200578704</v>
      </c>
      <c r="C1927" s="2" t="s">
        <v>153</v>
      </c>
      <c r="D1927" s="2" t="s">
        <v>1947</v>
      </c>
      <c r="E1927" s="2" t="s">
        <v>78</v>
      </c>
      <c r="F1927" s="2" t="s">
        <v>106</v>
      </c>
      <c r="G1927" s="30" t="n">
        <v>22.9</v>
      </c>
      <c r="H1927" s="11" t="n">
        <v>369.99</v>
      </c>
      <c r="I1927" s="11" t="s">
        <v>155</v>
      </c>
      <c r="J1927" s="11" t="n">
        <v>82.1</v>
      </c>
      <c r="K1927" s="11" t="n">
        <v>82.21</v>
      </c>
      <c r="L1927" s="11" t="n">
        <v>0.37</v>
      </c>
      <c r="M1927" s="11" t="n">
        <v>0.74</v>
      </c>
      <c r="N1927" s="11" t="n">
        <v>1</v>
      </c>
      <c r="O1927" s="11" t="n">
        <v>4.5</v>
      </c>
      <c r="P1927" s="11" t="n">
        <v>1.38</v>
      </c>
      <c r="Q1927" s="11" t="n">
        <v>10.35</v>
      </c>
      <c r="R1927" s="11" t="n">
        <f aca="false">SUM(K1927:Q1927)</f>
        <v>100.55</v>
      </c>
      <c r="S1927" s="11" t="n">
        <f aca="false">R1927/(1-Resumo!$C$6)</f>
        <v>114.261363636364</v>
      </c>
      <c r="T1927" s="11" t="n">
        <f aca="false">S1927-J1927</f>
        <v>32.1613636363636</v>
      </c>
      <c r="U1927" s="12" t="n">
        <f aca="false">IFERROR(S1927/J1927-1,0)</f>
        <v>0.391734027239508</v>
      </c>
      <c r="V1927" s="2" t="str">
        <f aca="false">IF(S1927&lt;J1927,"SIM","NÃO")</f>
        <v>NÃO</v>
      </c>
      <c r="W1927" s="2" t="n">
        <v>5</v>
      </c>
      <c r="X1927" s="2" t="s">
        <v>156</v>
      </c>
    </row>
    <row r="1928" customFormat="false" ht="15" hidden="false" customHeight="false" outlineLevel="0" collapsed="false">
      <c r="A1928" s="2" t="n">
        <v>396757559</v>
      </c>
      <c r="B1928" s="29" t="n">
        <v>46284.5584143519</v>
      </c>
      <c r="C1928" s="2" t="s">
        <v>153</v>
      </c>
      <c r="D1928" s="2" t="s">
        <v>1948</v>
      </c>
      <c r="E1928" s="2" t="s">
        <v>79</v>
      </c>
      <c r="F1928" s="2" t="s">
        <v>107</v>
      </c>
      <c r="G1928" s="30" t="n">
        <v>36.8</v>
      </c>
      <c r="H1928" s="11" t="n">
        <v>469.99</v>
      </c>
      <c r="I1928" s="11" t="s">
        <v>155</v>
      </c>
      <c r="J1928" s="11" t="n">
        <v>113.2</v>
      </c>
      <c r="K1928" s="11" t="n">
        <v>114.95</v>
      </c>
      <c r="L1928" s="11" t="n">
        <v>0.47</v>
      </c>
      <c r="M1928" s="11" t="n">
        <v>0.94</v>
      </c>
      <c r="N1928" s="11" t="n">
        <v>1</v>
      </c>
      <c r="O1928" s="11" t="n">
        <v>4.5</v>
      </c>
      <c r="P1928" s="11" t="n">
        <v>2.22</v>
      </c>
      <c r="Q1928" s="11" t="n">
        <v>16.65</v>
      </c>
      <c r="R1928" s="11" t="n">
        <f aca="false">SUM(K1928:Q1928)</f>
        <v>140.73</v>
      </c>
      <c r="S1928" s="11" t="n">
        <f aca="false">R1928/(1-Resumo!$C$6)</f>
        <v>159.920454545455</v>
      </c>
      <c r="T1928" s="11" t="n">
        <f aca="false">S1928-J1928</f>
        <v>46.7204545454545</v>
      </c>
      <c r="U1928" s="12" t="n">
        <f aca="false">IFERROR(S1928/J1928-1,0)</f>
        <v>0.412724863475747</v>
      </c>
      <c r="V1928" s="2" t="str">
        <f aca="false">IF(S1928&lt;J1928,"SIM","NÃO")</f>
        <v>NÃO</v>
      </c>
      <c r="W1928" s="2" t="n">
        <v>7</v>
      </c>
      <c r="X1928" s="2" t="s">
        <v>156</v>
      </c>
    </row>
    <row r="1929" customFormat="false" ht="15" hidden="false" customHeight="false" outlineLevel="0" collapsed="false">
      <c r="A1929" s="2" t="n">
        <v>396762183</v>
      </c>
      <c r="B1929" s="29" t="n">
        <v>46284.5639351852</v>
      </c>
      <c r="C1929" s="2" t="s">
        <v>158</v>
      </c>
      <c r="D1929" s="2" t="s">
        <v>1949</v>
      </c>
      <c r="E1929" s="2" t="s">
        <v>90</v>
      </c>
      <c r="F1929" s="2" t="s">
        <v>106</v>
      </c>
      <c r="G1929" s="30" t="n">
        <v>24</v>
      </c>
      <c r="H1929" s="11" t="n">
        <v>506.43</v>
      </c>
      <c r="I1929" s="11" t="s">
        <v>155</v>
      </c>
      <c r="J1929" s="11" t="n">
        <v>109.6</v>
      </c>
      <c r="K1929" s="11" t="n">
        <v>100.58</v>
      </c>
      <c r="L1929" s="11" t="n">
        <v>0.5064</v>
      </c>
      <c r="M1929" s="11" t="n">
        <v>1.0129</v>
      </c>
      <c r="N1929" s="11" t="n">
        <v>1</v>
      </c>
      <c r="O1929" s="11" t="n">
        <v>4.5</v>
      </c>
      <c r="P1929" s="11" t="n">
        <v>1.44</v>
      </c>
      <c r="Q1929" s="11" t="n">
        <v>10.8</v>
      </c>
      <c r="R1929" s="11" t="n">
        <f aca="false">SUM(K1929:Q1929)</f>
        <v>119.8393</v>
      </c>
      <c r="S1929" s="11" t="n">
        <f aca="false">R1929/(1-Resumo!$C$6)</f>
        <v>136.181022727273</v>
      </c>
      <c r="T1929" s="11" t="n">
        <f aca="false">S1929-J1929</f>
        <v>26.5810227272727</v>
      </c>
      <c r="U1929" s="12" t="n">
        <f aca="false">IFERROR(S1929/J1929-1,0)</f>
        <v>0.242527579628401</v>
      </c>
      <c r="V1929" s="2" t="str">
        <f aca="false">IF(S1929&lt;J1929,"SIM","NÃO")</f>
        <v>NÃO</v>
      </c>
      <c r="W1929" s="2" t="n">
        <v>7</v>
      </c>
      <c r="X1929" s="2" t="s">
        <v>156</v>
      </c>
    </row>
    <row r="1930" customFormat="false" ht="15" hidden="false" customHeight="false" outlineLevel="0" collapsed="false">
      <c r="A1930" s="2" t="n">
        <v>396807678</v>
      </c>
      <c r="B1930" s="29" t="n">
        <v>46284.6320601852</v>
      </c>
      <c r="C1930" s="2" t="s">
        <v>198</v>
      </c>
      <c r="D1930" s="2" t="s">
        <v>1950</v>
      </c>
      <c r="E1930" s="2" t="s">
        <v>87</v>
      </c>
      <c r="F1930" s="2" t="s">
        <v>112</v>
      </c>
      <c r="G1930" s="30" t="n">
        <v>97.2</v>
      </c>
      <c r="H1930" s="11" t="n">
        <v>1399.99</v>
      </c>
      <c r="I1930" s="11" t="s">
        <v>155</v>
      </c>
      <c r="J1930" s="11" t="n">
        <v>195.31</v>
      </c>
      <c r="K1930" s="11" t="n">
        <v>197.35</v>
      </c>
      <c r="L1930" s="11" t="n">
        <v>1.4</v>
      </c>
      <c r="M1930" s="11" t="n">
        <v>2.8</v>
      </c>
      <c r="N1930" s="11" t="n">
        <v>1</v>
      </c>
      <c r="O1930" s="11" t="n">
        <v>4.5</v>
      </c>
      <c r="P1930" s="11" t="n">
        <v>5.88</v>
      </c>
      <c r="Q1930" s="11" t="n">
        <v>44.1</v>
      </c>
      <c r="R1930" s="11" t="n">
        <f aca="false">SUM(K1930:Q1930)</f>
        <v>257.03</v>
      </c>
      <c r="S1930" s="11" t="n">
        <f aca="false">R1930/(1-Resumo!$C$6)</f>
        <v>292.079545454546</v>
      </c>
      <c r="T1930" s="11" t="n">
        <f aca="false">S1930-J1930</f>
        <v>96.7695454545455</v>
      </c>
      <c r="U1930" s="12" t="n">
        <f aca="false">IFERROR(S1930/J1930-1,0)</f>
        <v>0.495466414697381</v>
      </c>
      <c r="V1930" s="2" t="str">
        <f aca="false">IF(S1930&lt;J1930,"SIM","NÃO")</f>
        <v>NÃO</v>
      </c>
      <c r="W1930" s="2" t="n">
        <v>10</v>
      </c>
      <c r="X1930" s="2" t="s">
        <v>156</v>
      </c>
    </row>
    <row r="1931" customFormat="false" ht="15" hidden="false" customHeight="false" outlineLevel="0" collapsed="false">
      <c r="A1931" s="2" t="n">
        <v>396818595</v>
      </c>
      <c r="B1931" s="29" t="n">
        <v>46284.6461689815</v>
      </c>
      <c r="C1931" s="2" t="s">
        <v>153</v>
      </c>
      <c r="D1931" s="2" t="s">
        <v>1951</v>
      </c>
      <c r="E1931" s="2" t="s">
        <v>89</v>
      </c>
      <c r="F1931" s="2" t="s">
        <v>106</v>
      </c>
      <c r="G1931" s="30" t="n">
        <v>34.4</v>
      </c>
      <c r="H1931" s="11" t="n">
        <v>499.98</v>
      </c>
      <c r="I1931" s="11" t="s">
        <v>155</v>
      </c>
      <c r="J1931" s="11" t="n">
        <v>109.58</v>
      </c>
      <c r="K1931" s="11" t="n">
        <v>108.83</v>
      </c>
      <c r="L1931" s="11" t="n">
        <v>0.5</v>
      </c>
      <c r="M1931" s="11" t="n">
        <v>1</v>
      </c>
      <c r="N1931" s="11" t="n">
        <v>1</v>
      </c>
      <c r="O1931" s="11" t="n">
        <v>4.5</v>
      </c>
      <c r="P1931" s="11" t="n">
        <v>2.1</v>
      </c>
      <c r="Q1931" s="11" t="n">
        <v>15.75</v>
      </c>
      <c r="R1931" s="11" t="n">
        <f aca="false">SUM(K1931:Q1931)</f>
        <v>133.68</v>
      </c>
      <c r="S1931" s="11" t="n">
        <f aca="false">R1931/(1-Resumo!$C$6)</f>
        <v>151.909090909091</v>
      </c>
      <c r="T1931" s="11" t="n">
        <f aca="false">S1931-J1931</f>
        <v>42.3290909090909</v>
      </c>
      <c r="U1931" s="12" t="n">
        <f aca="false">IFERROR(S1931/J1931-1,0)</f>
        <v>0.386284823043356</v>
      </c>
      <c r="V1931" s="2" t="str">
        <f aca="false">IF(S1931&lt;J1931,"SIM","NÃO")</f>
        <v>NÃO</v>
      </c>
      <c r="W1931" s="2" t="n">
        <v>8</v>
      </c>
      <c r="X1931" s="2" t="s">
        <v>156</v>
      </c>
    </row>
    <row r="1932" customFormat="false" ht="15" hidden="false" customHeight="false" outlineLevel="0" collapsed="false">
      <c r="A1932" s="2" t="n">
        <v>396833311</v>
      </c>
      <c r="B1932" s="29" t="n">
        <v>46284.6650115741</v>
      </c>
      <c r="C1932" s="2" t="s">
        <v>158</v>
      </c>
      <c r="D1932" s="2" t="s">
        <v>373</v>
      </c>
      <c r="E1932" s="2" t="s">
        <v>78</v>
      </c>
      <c r="F1932" s="2" t="s">
        <v>108</v>
      </c>
      <c r="G1932" s="30" t="n">
        <v>48</v>
      </c>
      <c r="H1932" s="11" t="n">
        <v>828.99</v>
      </c>
      <c r="I1932" s="11" t="s">
        <v>155</v>
      </c>
      <c r="J1932" s="11" t="n">
        <v>104.57</v>
      </c>
      <c r="K1932" s="11" t="n">
        <v>93.97</v>
      </c>
      <c r="L1932" s="11" t="n">
        <v>0.829</v>
      </c>
      <c r="M1932" s="11" t="n">
        <v>1.658</v>
      </c>
      <c r="N1932" s="11" t="n">
        <v>1</v>
      </c>
      <c r="O1932" s="11" t="n">
        <v>4.5</v>
      </c>
      <c r="P1932" s="11" t="n">
        <v>2.88</v>
      </c>
      <c r="Q1932" s="11" t="n">
        <v>21.6</v>
      </c>
      <c r="R1932" s="11" t="n">
        <f aca="false">SUM(K1932:Q1932)</f>
        <v>126.437</v>
      </c>
      <c r="S1932" s="11" t="n">
        <f aca="false">R1932/(1-Resumo!$C$6)</f>
        <v>143.678409090909</v>
      </c>
      <c r="T1932" s="11" t="n">
        <f aca="false">S1932-J1932</f>
        <v>39.1084090909091</v>
      </c>
      <c r="U1932" s="12" t="n">
        <f aca="false">IFERROR(S1932/J1932-1,0)</f>
        <v>0.373992627817817</v>
      </c>
      <c r="V1932" s="2" t="str">
        <f aca="false">IF(S1932&lt;J1932,"SIM","NÃO")</f>
        <v>NÃO</v>
      </c>
      <c r="W1932" s="2" t="n">
        <v>5</v>
      </c>
      <c r="X1932" s="2" t="s">
        <v>156</v>
      </c>
    </row>
    <row r="1933" customFormat="false" ht="15" hidden="false" customHeight="false" outlineLevel="0" collapsed="false">
      <c r="A1933" s="2" t="n">
        <v>396859541</v>
      </c>
      <c r="B1933" s="29" t="n">
        <v>46284.6867708333</v>
      </c>
      <c r="C1933" s="2" t="s">
        <v>369</v>
      </c>
      <c r="D1933" s="2" t="s">
        <v>1952</v>
      </c>
      <c r="E1933" s="2" t="s">
        <v>78</v>
      </c>
      <c r="F1933" s="2" t="s">
        <v>107</v>
      </c>
      <c r="G1933" s="30" t="n">
        <v>37.2</v>
      </c>
      <c r="H1933" s="11" t="n">
        <v>419.99</v>
      </c>
      <c r="I1933" s="11" t="s">
        <v>155</v>
      </c>
      <c r="J1933" s="11" t="n">
        <v>91.86</v>
      </c>
      <c r="K1933" s="11" t="n">
        <v>93.97</v>
      </c>
      <c r="L1933" s="11" t="n">
        <v>0.42</v>
      </c>
      <c r="M1933" s="11" t="n">
        <v>0.84</v>
      </c>
      <c r="N1933" s="11" t="n">
        <v>1</v>
      </c>
      <c r="O1933" s="11" t="n">
        <v>4.5</v>
      </c>
      <c r="P1933" s="11" t="n">
        <v>2.28</v>
      </c>
      <c r="Q1933" s="11" t="n">
        <v>17.1</v>
      </c>
      <c r="R1933" s="11" t="n">
        <f aca="false">SUM(K1933:Q1933)</f>
        <v>120.11</v>
      </c>
      <c r="S1933" s="11" t="n">
        <f aca="false">R1933/(1-Resumo!$C$6)</f>
        <v>136.488636363636</v>
      </c>
      <c r="T1933" s="11" t="n">
        <f aca="false">S1933-J1933</f>
        <v>44.6286363636364</v>
      </c>
      <c r="U1933" s="12" t="n">
        <f aca="false">IFERROR(S1933/J1933-1,0)</f>
        <v>0.485833184886092</v>
      </c>
      <c r="V1933" s="2" t="str">
        <f aca="false">IF(S1933&lt;J1933,"SIM","NÃO")</f>
        <v>NÃO</v>
      </c>
      <c r="W1933" s="2" t="n">
        <v>5</v>
      </c>
      <c r="X1933" s="2" t="s">
        <v>156</v>
      </c>
    </row>
    <row r="1934" customFormat="false" ht="15" hidden="false" customHeight="false" outlineLevel="0" collapsed="false">
      <c r="A1934" s="2" t="n">
        <v>396849252</v>
      </c>
      <c r="B1934" s="29" t="n">
        <v>46284.6896412037</v>
      </c>
      <c r="C1934" s="2" t="s">
        <v>158</v>
      </c>
      <c r="D1934" s="2" t="s">
        <v>1340</v>
      </c>
      <c r="E1934" s="2" t="s">
        <v>78</v>
      </c>
      <c r="F1934" s="2" t="s">
        <v>106</v>
      </c>
      <c r="G1934" s="30" t="n">
        <v>21.75</v>
      </c>
      <c r="H1934" s="11" t="n">
        <v>285</v>
      </c>
      <c r="I1934" s="11" t="s">
        <v>155</v>
      </c>
      <c r="J1934" s="11" t="n">
        <v>81.69</v>
      </c>
      <c r="K1934" s="11" t="n">
        <v>82.21</v>
      </c>
      <c r="L1934" s="11" t="n">
        <v>0.285</v>
      </c>
      <c r="M1934" s="11" t="n">
        <v>0.57</v>
      </c>
      <c r="N1934" s="11" t="n">
        <v>1</v>
      </c>
      <c r="O1934" s="11" t="n">
        <v>4.5</v>
      </c>
      <c r="P1934" s="11" t="n">
        <v>1.32</v>
      </c>
      <c r="Q1934" s="11" t="n">
        <v>9.9</v>
      </c>
      <c r="R1934" s="11" t="n">
        <f aca="false">SUM(K1934:Q1934)</f>
        <v>99.785</v>
      </c>
      <c r="S1934" s="11" t="n">
        <f aca="false">R1934/(1-Resumo!$C$6)</f>
        <v>113.392045454545</v>
      </c>
      <c r="T1934" s="11" t="n">
        <f aca="false">S1934-J1934</f>
        <v>31.7020454545455</v>
      </c>
      <c r="U1934" s="12" t="n">
        <f aca="false">IFERROR(S1934/J1934-1,0)</f>
        <v>0.388077432421905</v>
      </c>
      <c r="V1934" s="2" t="str">
        <f aca="false">IF(S1934&lt;J1934,"SIM","NÃO")</f>
        <v>NÃO</v>
      </c>
      <c r="W1934" s="2" t="n">
        <v>5</v>
      </c>
      <c r="X1934" s="2" t="s">
        <v>156</v>
      </c>
    </row>
    <row r="1935" customFormat="false" ht="15" hidden="false" customHeight="false" outlineLevel="0" collapsed="false">
      <c r="A1935" s="2" t="n">
        <v>396854941</v>
      </c>
      <c r="B1935" s="29" t="n">
        <v>46284.6992939815</v>
      </c>
      <c r="C1935" s="2" t="s">
        <v>158</v>
      </c>
      <c r="D1935" s="2" t="s">
        <v>1953</v>
      </c>
      <c r="E1935" s="2" t="s">
        <v>79</v>
      </c>
      <c r="F1935" s="2" t="s">
        <v>114</v>
      </c>
      <c r="G1935" s="30" t="n">
        <v>124.2</v>
      </c>
      <c r="H1935" s="11" t="n">
        <v>1526.91</v>
      </c>
      <c r="I1935" s="11" t="s">
        <v>155</v>
      </c>
      <c r="J1935" s="11" t="n">
        <v>243.91</v>
      </c>
      <c r="K1935" s="11" t="n">
        <v>249.03</v>
      </c>
      <c r="L1935" s="11" t="n">
        <v>1.5269</v>
      </c>
      <c r="M1935" s="11" t="n">
        <v>3.0538</v>
      </c>
      <c r="N1935" s="11" t="n">
        <v>1</v>
      </c>
      <c r="O1935" s="11" t="n">
        <v>9</v>
      </c>
      <c r="P1935" s="11" t="n">
        <v>7.5</v>
      </c>
      <c r="Q1935" s="11" t="n">
        <v>56.25</v>
      </c>
      <c r="R1935" s="11" t="n">
        <f aca="false">SUM(K1935:Q1935)</f>
        <v>327.3607</v>
      </c>
      <c r="S1935" s="11" t="n">
        <f aca="false">R1935/(1-Resumo!$C$6)</f>
        <v>372.000795454546</v>
      </c>
      <c r="T1935" s="11" t="n">
        <f aca="false">S1935-J1935</f>
        <v>128.090795454545</v>
      </c>
      <c r="U1935" s="12" t="n">
        <f aca="false">IFERROR(S1935/J1935-1,0)</f>
        <v>0.525155981528209</v>
      </c>
      <c r="V1935" s="2" t="str">
        <f aca="false">IF(S1935&lt;J1935,"SIM","NÃO")</f>
        <v>NÃO</v>
      </c>
      <c r="W1935" s="2" t="n">
        <v>7</v>
      </c>
      <c r="X1935" s="2" t="s">
        <v>156</v>
      </c>
    </row>
    <row r="1936" customFormat="false" ht="15" hidden="false" customHeight="false" outlineLevel="0" collapsed="false">
      <c r="A1936" s="2" t="n">
        <v>396884792</v>
      </c>
      <c r="B1936" s="29" t="n">
        <v>46284.753900463</v>
      </c>
      <c r="C1936" s="2" t="s">
        <v>153</v>
      </c>
      <c r="D1936" s="2" t="s">
        <v>1954</v>
      </c>
      <c r="E1936" s="2" t="s">
        <v>78</v>
      </c>
      <c r="F1936" s="2" t="s">
        <v>110</v>
      </c>
      <c r="G1936" s="30" t="n">
        <v>66.8</v>
      </c>
      <c r="H1936" s="11" t="n">
        <v>719.99</v>
      </c>
      <c r="I1936" s="11" t="s">
        <v>155</v>
      </c>
      <c r="J1936" s="11" t="n">
        <v>124.66</v>
      </c>
      <c r="K1936" s="11" t="n">
        <v>131.02</v>
      </c>
      <c r="L1936" s="11" t="n">
        <v>0.72</v>
      </c>
      <c r="M1936" s="11" t="n">
        <v>1.44</v>
      </c>
      <c r="N1936" s="11" t="n">
        <v>1</v>
      </c>
      <c r="O1936" s="11" t="n">
        <v>4.5</v>
      </c>
      <c r="P1936" s="11" t="n">
        <v>4.02</v>
      </c>
      <c r="Q1936" s="11" t="n">
        <v>30.15</v>
      </c>
      <c r="R1936" s="11" t="n">
        <f aca="false">SUM(K1936:Q1936)</f>
        <v>172.85</v>
      </c>
      <c r="S1936" s="11" t="n">
        <f aca="false">R1936/(1-Resumo!$C$6)</f>
        <v>196.420454545455</v>
      </c>
      <c r="T1936" s="11" t="n">
        <f aca="false">S1936-J1936</f>
        <v>71.7604545454546</v>
      </c>
      <c r="U1936" s="12" t="n">
        <f aca="false">IFERROR(S1936/J1936-1,0)</f>
        <v>0.575649402739087</v>
      </c>
      <c r="V1936" s="2" t="str">
        <f aca="false">IF(S1936&lt;J1936,"SIM","NÃO")</f>
        <v>NÃO</v>
      </c>
      <c r="W1936" s="2" t="n">
        <v>5</v>
      </c>
      <c r="X1936" s="2" t="s">
        <v>156</v>
      </c>
    </row>
    <row r="1937" customFormat="false" ht="15" hidden="false" customHeight="false" outlineLevel="0" collapsed="false">
      <c r="A1937" s="2" t="n">
        <v>396908178</v>
      </c>
      <c r="B1937" s="29" t="n">
        <v>46284.7961226852</v>
      </c>
      <c r="C1937" s="2" t="s">
        <v>153</v>
      </c>
      <c r="D1937" s="2" t="s">
        <v>1955</v>
      </c>
      <c r="E1937" s="2" t="s">
        <v>78</v>
      </c>
      <c r="F1937" s="2" t="s">
        <v>110</v>
      </c>
      <c r="G1937" s="30" t="n">
        <v>68.7</v>
      </c>
      <c r="H1937" s="11" t="n">
        <v>749.99</v>
      </c>
      <c r="I1937" s="11" t="s">
        <v>155</v>
      </c>
      <c r="J1937" s="11" t="n">
        <v>124.81</v>
      </c>
      <c r="K1937" s="11" t="n">
        <v>131.02</v>
      </c>
      <c r="L1937" s="11" t="n">
        <v>0.75</v>
      </c>
      <c r="M1937" s="11" t="n">
        <v>1.5</v>
      </c>
      <c r="N1937" s="11" t="n">
        <v>1</v>
      </c>
      <c r="O1937" s="11" t="n">
        <v>4.5</v>
      </c>
      <c r="P1937" s="11" t="n">
        <v>4.14</v>
      </c>
      <c r="Q1937" s="11" t="n">
        <v>31.05</v>
      </c>
      <c r="R1937" s="11" t="n">
        <f aca="false">SUM(K1937:Q1937)</f>
        <v>173.96</v>
      </c>
      <c r="S1937" s="11" t="n">
        <f aca="false">R1937/(1-Resumo!$C$6)</f>
        <v>197.681818181818</v>
      </c>
      <c r="T1937" s="11" t="n">
        <f aca="false">S1937-J1937</f>
        <v>72.8718181818182</v>
      </c>
      <c r="U1937" s="12" t="n">
        <f aca="false">IFERROR(S1937/J1937-1,0)</f>
        <v>0.583862015718438</v>
      </c>
      <c r="V1937" s="2" t="str">
        <f aca="false">IF(S1937&lt;J1937,"SIM","NÃO")</f>
        <v>NÃO</v>
      </c>
      <c r="W1937" s="2" t="n">
        <v>5</v>
      </c>
      <c r="X1937" s="2" t="s">
        <v>156</v>
      </c>
    </row>
    <row r="1938" customFormat="false" ht="15" hidden="false" customHeight="false" outlineLevel="0" collapsed="false">
      <c r="A1938" s="2" t="n">
        <v>396923130</v>
      </c>
      <c r="B1938" s="29" t="n">
        <v>46284.8237152778</v>
      </c>
      <c r="C1938" s="2" t="s">
        <v>158</v>
      </c>
      <c r="D1938" s="2" t="s">
        <v>1956</v>
      </c>
      <c r="E1938" s="2" t="s">
        <v>90</v>
      </c>
      <c r="F1938" s="2" t="s">
        <v>106</v>
      </c>
      <c r="G1938" s="30" t="n">
        <v>33</v>
      </c>
      <c r="H1938" s="11" t="n">
        <v>458.3</v>
      </c>
      <c r="I1938" s="11" t="s">
        <v>155</v>
      </c>
      <c r="J1938" s="11" t="n">
        <v>109.39</v>
      </c>
      <c r="K1938" s="11" t="n">
        <v>100.58</v>
      </c>
      <c r="L1938" s="11" t="n">
        <v>0.4583</v>
      </c>
      <c r="M1938" s="11" t="n">
        <v>0.9166</v>
      </c>
      <c r="N1938" s="11" t="n">
        <v>1</v>
      </c>
      <c r="O1938" s="11" t="n">
        <v>4.5</v>
      </c>
      <c r="P1938" s="11" t="n">
        <v>1.98</v>
      </c>
      <c r="Q1938" s="11" t="n">
        <v>14.85</v>
      </c>
      <c r="R1938" s="11" t="n">
        <f aca="false">SUM(K1938:Q1938)</f>
        <v>124.2849</v>
      </c>
      <c r="S1938" s="11" t="n">
        <f aca="false">R1938/(1-Resumo!$C$6)</f>
        <v>141.232840909091</v>
      </c>
      <c r="T1938" s="11" t="n">
        <f aca="false">S1938-J1938</f>
        <v>31.8428409090909</v>
      </c>
      <c r="U1938" s="12" t="n">
        <f aca="false">IFERROR(S1938/J1938-1,0)</f>
        <v>0.291094623906124</v>
      </c>
      <c r="V1938" s="2" t="str">
        <f aca="false">IF(S1938&lt;J1938,"SIM","NÃO")</f>
        <v>NÃO</v>
      </c>
      <c r="W1938" s="2" t="n">
        <v>7</v>
      </c>
      <c r="X1938" s="2" t="s">
        <v>156</v>
      </c>
    </row>
    <row r="1939" customFormat="false" ht="15" hidden="false" customHeight="false" outlineLevel="0" collapsed="false">
      <c r="A1939" s="2" t="n">
        <v>396929050</v>
      </c>
      <c r="B1939" s="29" t="n">
        <v>46284.834837963</v>
      </c>
      <c r="C1939" s="2" t="s">
        <v>153</v>
      </c>
      <c r="D1939" s="2" t="s">
        <v>1957</v>
      </c>
      <c r="E1939" s="2" t="s">
        <v>83</v>
      </c>
      <c r="F1939" s="2" t="s">
        <v>110</v>
      </c>
      <c r="G1939" s="30" t="n">
        <v>61.4</v>
      </c>
      <c r="H1939" s="11" t="n">
        <v>999.99</v>
      </c>
      <c r="I1939" s="11" t="s">
        <v>155</v>
      </c>
      <c r="J1939" s="11" t="n">
        <v>156.81</v>
      </c>
      <c r="K1939" s="11" t="n">
        <v>171.54</v>
      </c>
      <c r="L1939" s="11" t="n">
        <v>1</v>
      </c>
      <c r="M1939" s="11" t="n">
        <v>2</v>
      </c>
      <c r="N1939" s="11" t="n">
        <v>1</v>
      </c>
      <c r="O1939" s="11" t="n">
        <v>4.5</v>
      </c>
      <c r="P1939" s="11" t="n">
        <v>3.72</v>
      </c>
      <c r="Q1939" s="11" t="n">
        <v>27.9</v>
      </c>
      <c r="R1939" s="11" t="n">
        <f aca="false">SUM(K1939:Q1939)</f>
        <v>211.66</v>
      </c>
      <c r="S1939" s="11" t="n">
        <f aca="false">R1939/(1-Resumo!$C$6)</f>
        <v>240.522727272727</v>
      </c>
      <c r="T1939" s="11" t="n">
        <f aca="false">S1939-J1939</f>
        <v>83.7127272727273</v>
      </c>
      <c r="U1939" s="12" t="n">
        <f aca="false">IFERROR(S1939/J1939-1,0)</f>
        <v>0.533848142801654</v>
      </c>
      <c r="V1939" s="2" t="str">
        <f aca="false">IF(S1939&lt;J1939,"SIM","NÃO")</f>
        <v>NÃO</v>
      </c>
      <c r="W1939" s="2" t="n">
        <v>11</v>
      </c>
      <c r="X1939" s="2" t="s">
        <v>156</v>
      </c>
    </row>
    <row r="1940" customFormat="false" ht="15" hidden="false" customHeight="false" outlineLevel="0" collapsed="false">
      <c r="A1940" s="2" t="n">
        <v>396944457</v>
      </c>
      <c r="B1940" s="29" t="n">
        <v>46284.8609953704</v>
      </c>
      <c r="C1940" s="2" t="s">
        <v>191</v>
      </c>
      <c r="D1940" s="2" t="s">
        <v>1958</v>
      </c>
      <c r="E1940" s="2" t="s">
        <v>78</v>
      </c>
      <c r="F1940" s="2" t="s">
        <v>107</v>
      </c>
      <c r="G1940" s="30" t="n">
        <v>36.8</v>
      </c>
      <c r="H1940" s="11" t="n">
        <v>467.49</v>
      </c>
      <c r="I1940" s="11" t="s">
        <v>155</v>
      </c>
      <c r="J1940" s="11" t="n">
        <v>92.08</v>
      </c>
      <c r="K1940" s="11" t="n">
        <v>93.97</v>
      </c>
      <c r="L1940" s="11" t="n">
        <v>0.4675</v>
      </c>
      <c r="M1940" s="11" t="n">
        <v>0.935</v>
      </c>
      <c r="N1940" s="11" t="n">
        <v>1</v>
      </c>
      <c r="O1940" s="11" t="n">
        <v>4.5</v>
      </c>
      <c r="P1940" s="11" t="n">
        <v>2.22</v>
      </c>
      <c r="Q1940" s="11" t="n">
        <v>16.65</v>
      </c>
      <c r="R1940" s="11" t="n">
        <f aca="false">SUM(K1940:Q1940)</f>
        <v>119.7425</v>
      </c>
      <c r="S1940" s="11" t="n">
        <f aca="false">R1940/(1-Resumo!$C$6)</f>
        <v>136.071022727273</v>
      </c>
      <c r="T1940" s="11" t="n">
        <f aca="false">S1940-J1940</f>
        <v>43.9910227272728</v>
      </c>
      <c r="U1940" s="12" t="n">
        <f aca="false">IFERROR(S1940/J1940-1,0)</f>
        <v>0.477747857594187</v>
      </c>
      <c r="V1940" s="2" t="str">
        <f aca="false">IF(S1940&lt;J1940,"SIM","NÃO")</f>
        <v>NÃO</v>
      </c>
      <c r="W1940" s="2" t="n">
        <v>5</v>
      </c>
      <c r="X1940" s="2" t="s">
        <v>156</v>
      </c>
    </row>
    <row r="1941" customFormat="false" ht="15" hidden="false" customHeight="false" outlineLevel="0" collapsed="false">
      <c r="A1941" s="2" t="n">
        <v>396951842</v>
      </c>
      <c r="B1941" s="29" t="n">
        <v>46284.8726736111</v>
      </c>
      <c r="C1941" s="2" t="s">
        <v>153</v>
      </c>
      <c r="D1941" s="2" t="s">
        <v>630</v>
      </c>
      <c r="E1941" s="2" t="s">
        <v>78</v>
      </c>
      <c r="F1941" s="2" t="s">
        <v>107</v>
      </c>
      <c r="G1941" s="30" t="n">
        <v>37.6</v>
      </c>
      <c r="H1941" s="11" t="n">
        <v>459.99</v>
      </c>
      <c r="I1941" s="11" t="s">
        <v>155</v>
      </c>
      <c r="J1941" s="11" t="n">
        <v>92.06</v>
      </c>
      <c r="K1941" s="11" t="n">
        <v>93.97</v>
      </c>
      <c r="L1941" s="11" t="n">
        <v>0.46</v>
      </c>
      <c r="M1941" s="11" t="n">
        <v>0.92</v>
      </c>
      <c r="N1941" s="11" t="n">
        <v>1</v>
      </c>
      <c r="O1941" s="11" t="n">
        <v>4.5</v>
      </c>
      <c r="P1941" s="11" t="n">
        <v>2.28</v>
      </c>
      <c r="Q1941" s="11" t="n">
        <v>17.1</v>
      </c>
      <c r="R1941" s="11" t="n">
        <f aca="false">SUM(K1941:Q1941)</f>
        <v>120.23</v>
      </c>
      <c r="S1941" s="11" t="n">
        <f aca="false">R1941/(1-Resumo!$C$6)</f>
        <v>136.625</v>
      </c>
      <c r="T1941" s="11" t="n">
        <f aca="false">S1941-J1941</f>
        <v>44.565</v>
      </c>
      <c r="U1941" s="12" t="n">
        <f aca="false">IFERROR(S1941/J1941-1,0)</f>
        <v>0.484086465348686</v>
      </c>
      <c r="V1941" s="2" t="str">
        <f aca="false">IF(S1941&lt;J1941,"SIM","NÃO")</f>
        <v>NÃO</v>
      </c>
      <c r="W1941" s="2" t="n">
        <v>5</v>
      </c>
      <c r="X1941" s="2" t="s">
        <v>156</v>
      </c>
    </row>
    <row r="1942" customFormat="false" ht="15" hidden="false" customHeight="false" outlineLevel="0" collapsed="false">
      <c r="A1942" s="2" t="n">
        <v>396951868</v>
      </c>
      <c r="B1942" s="29" t="n">
        <v>46284.8726736111</v>
      </c>
      <c r="C1942" s="2" t="s">
        <v>153</v>
      </c>
      <c r="D1942" s="2" t="s">
        <v>630</v>
      </c>
      <c r="E1942" s="2" t="s">
        <v>78</v>
      </c>
      <c r="F1942" s="2" t="s">
        <v>106</v>
      </c>
      <c r="G1942" s="30" t="n">
        <v>31.4</v>
      </c>
      <c r="H1942" s="11" t="n">
        <v>399.95</v>
      </c>
      <c r="I1942" s="11" t="s">
        <v>155</v>
      </c>
      <c r="J1942" s="11" t="n">
        <v>82.24</v>
      </c>
      <c r="K1942" s="11" t="n">
        <v>82.21</v>
      </c>
      <c r="L1942" s="11" t="n">
        <v>0.3999</v>
      </c>
      <c r="M1942" s="11" t="n">
        <v>0.7999</v>
      </c>
      <c r="N1942" s="11" t="n">
        <v>1</v>
      </c>
      <c r="O1942" s="11" t="n">
        <v>4.5</v>
      </c>
      <c r="P1942" s="11" t="n">
        <v>1.92</v>
      </c>
      <c r="Q1942" s="11" t="n">
        <v>14.4</v>
      </c>
      <c r="R1942" s="11" t="n">
        <f aca="false">SUM(K1942:Q1942)</f>
        <v>105.2298</v>
      </c>
      <c r="S1942" s="11" t="n">
        <f aca="false">R1942/(1-Resumo!$C$6)</f>
        <v>119.579318181818</v>
      </c>
      <c r="T1942" s="11" t="n">
        <f aca="false">S1942-J1942</f>
        <v>37.3393181818182</v>
      </c>
      <c r="U1942" s="12" t="n">
        <f aca="false">IFERROR(S1942/J1942-1,0)</f>
        <v>0.454028674389813</v>
      </c>
      <c r="V1942" s="2" t="str">
        <f aca="false">IF(S1942&lt;J1942,"SIM","NÃO")</f>
        <v>NÃO</v>
      </c>
      <c r="W1942" s="2" t="n">
        <v>5</v>
      </c>
      <c r="X1942" s="2" t="s">
        <v>156</v>
      </c>
    </row>
    <row r="1943" customFormat="false" ht="15" hidden="false" customHeight="false" outlineLevel="0" collapsed="false">
      <c r="A1943" s="2" t="n">
        <v>396965036</v>
      </c>
      <c r="B1943" s="29" t="n">
        <v>46284.8932523148</v>
      </c>
      <c r="C1943" s="2" t="s">
        <v>153</v>
      </c>
      <c r="D1943" s="2" t="s">
        <v>1959</v>
      </c>
      <c r="E1943" s="2" t="s">
        <v>172</v>
      </c>
      <c r="F1943" s="2" t="s">
        <v>107</v>
      </c>
      <c r="G1943" s="30" t="n">
        <v>37.2</v>
      </c>
      <c r="H1943" s="11" t="n">
        <v>366.5</v>
      </c>
      <c r="I1943" s="11" t="s">
        <v>155</v>
      </c>
      <c r="J1943" s="11" t="n">
        <v>122</v>
      </c>
      <c r="K1943" s="11" t="n">
        <v>124.38</v>
      </c>
      <c r="L1943" s="11" t="n">
        <v>0.3665</v>
      </c>
      <c r="M1943" s="11" t="n">
        <v>0.733</v>
      </c>
      <c r="N1943" s="11" t="n">
        <v>1</v>
      </c>
      <c r="O1943" s="11" t="n">
        <v>4.5</v>
      </c>
      <c r="P1943" s="11" t="n">
        <v>2.28</v>
      </c>
      <c r="Q1943" s="11" t="n">
        <v>17.1</v>
      </c>
      <c r="R1943" s="11" t="n">
        <f aca="false">SUM(K1943:Q1943)</f>
        <v>150.3595</v>
      </c>
      <c r="S1943" s="11" t="n">
        <f aca="false">R1943/(1-Resumo!$C$6)</f>
        <v>170.863068181818</v>
      </c>
      <c r="T1943" s="11" t="n">
        <f aca="false">S1943-J1943</f>
        <v>48.8630681818182</v>
      </c>
      <c r="U1943" s="12" t="n">
        <f aca="false">IFERROR(S1943/J1943-1,0)</f>
        <v>0.400516952309985</v>
      </c>
      <c r="V1943" s="2" t="str">
        <f aca="false">IF(S1943&lt;J1943,"SIM","NÃO")</f>
        <v>NÃO</v>
      </c>
      <c r="W1943" s="2" t="n">
        <v>8</v>
      </c>
      <c r="X1943" s="2" t="s">
        <v>161</v>
      </c>
    </row>
    <row r="1944" customFormat="false" ht="15" hidden="false" customHeight="false" outlineLevel="0" collapsed="false">
      <c r="A1944" s="2" t="n">
        <v>396972606</v>
      </c>
      <c r="B1944" s="29" t="n">
        <v>46284.9047569444</v>
      </c>
      <c r="C1944" s="2" t="s">
        <v>153</v>
      </c>
      <c r="D1944" s="2" t="s">
        <v>1960</v>
      </c>
      <c r="E1944" s="2" t="s">
        <v>78</v>
      </c>
      <c r="F1944" s="2" t="s">
        <v>108</v>
      </c>
      <c r="G1944" s="30" t="n">
        <v>49.6</v>
      </c>
      <c r="H1944" s="11" t="n">
        <v>769.99</v>
      </c>
      <c r="I1944" s="11" t="s">
        <v>155</v>
      </c>
      <c r="J1944" s="11" t="n">
        <v>104.27</v>
      </c>
      <c r="K1944" s="11" t="n">
        <v>93.97</v>
      </c>
      <c r="L1944" s="11" t="n">
        <v>0.77</v>
      </c>
      <c r="M1944" s="11" t="n">
        <v>1.54</v>
      </c>
      <c r="N1944" s="11" t="n">
        <v>1</v>
      </c>
      <c r="O1944" s="11" t="n">
        <v>4.5</v>
      </c>
      <c r="P1944" s="11" t="n">
        <v>3</v>
      </c>
      <c r="Q1944" s="11" t="n">
        <v>22.5</v>
      </c>
      <c r="R1944" s="11" t="n">
        <f aca="false">SUM(K1944:Q1944)</f>
        <v>127.28</v>
      </c>
      <c r="S1944" s="11" t="n">
        <f aca="false">R1944/(1-Resumo!$C$6)</f>
        <v>144.636363636364</v>
      </c>
      <c r="T1944" s="11" t="n">
        <f aca="false">S1944-J1944</f>
        <v>40.3663636363636</v>
      </c>
      <c r="U1944" s="12" t="n">
        <f aca="false">IFERROR(S1944/J1944-1,0)</f>
        <v>0.387133054918612</v>
      </c>
      <c r="V1944" s="2" t="str">
        <f aca="false">IF(S1944&lt;J1944,"SIM","NÃO")</f>
        <v>NÃO</v>
      </c>
      <c r="W1944" s="2" t="n">
        <v>5</v>
      </c>
      <c r="X1944" s="2" t="s">
        <v>156</v>
      </c>
    </row>
    <row r="1945" customFormat="false" ht="15" hidden="false" customHeight="false" outlineLevel="0" collapsed="false">
      <c r="A1945" s="2" t="n">
        <v>397035999</v>
      </c>
      <c r="B1945" s="29" t="n">
        <v>46285.0417476852</v>
      </c>
      <c r="C1945" s="2" t="s">
        <v>153</v>
      </c>
      <c r="D1945" s="2" t="s">
        <v>1762</v>
      </c>
      <c r="E1945" s="2" t="s">
        <v>78</v>
      </c>
      <c r="F1945" s="2" t="s">
        <v>107</v>
      </c>
      <c r="G1945" s="30" t="n">
        <v>37.2</v>
      </c>
      <c r="H1945" s="11" t="n">
        <v>366.5</v>
      </c>
      <c r="I1945" s="11" t="s">
        <v>155</v>
      </c>
      <c r="J1945" s="11" t="n">
        <v>91.6</v>
      </c>
      <c r="K1945" s="11" t="n">
        <v>93.97</v>
      </c>
      <c r="L1945" s="11" t="n">
        <v>0.3665</v>
      </c>
      <c r="M1945" s="11" t="n">
        <v>0.733</v>
      </c>
      <c r="N1945" s="11" t="n">
        <v>1</v>
      </c>
      <c r="O1945" s="11" t="n">
        <v>4.5</v>
      </c>
      <c r="P1945" s="11" t="n">
        <v>2.28</v>
      </c>
      <c r="Q1945" s="11" t="n">
        <v>17.1</v>
      </c>
      <c r="R1945" s="11" t="n">
        <f aca="false">SUM(K1945:Q1945)</f>
        <v>119.9495</v>
      </c>
      <c r="S1945" s="11" t="n">
        <f aca="false">R1945/(1-Resumo!$C$6)</f>
        <v>136.30625</v>
      </c>
      <c r="T1945" s="11" t="n">
        <f aca="false">S1945-J1945</f>
        <v>44.70625</v>
      </c>
      <c r="U1945" s="12" t="n">
        <f aca="false">IFERROR(S1945/J1945-1,0)</f>
        <v>0.488059497816594</v>
      </c>
      <c r="V1945" s="2" t="str">
        <f aca="false">IF(S1945&lt;J1945,"SIM","NÃO")</f>
        <v>NÃO</v>
      </c>
      <c r="W1945" s="2" t="n">
        <v>5</v>
      </c>
      <c r="X1945" s="2" t="s">
        <v>156</v>
      </c>
    </row>
    <row r="1946" customFormat="false" ht="15" hidden="false" customHeight="false" outlineLevel="0" collapsed="false">
      <c r="A1946" s="2" t="n">
        <v>397085866</v>
      </c>
      <c r="B1946" s="29" t="n">
        <v>46285.1699768519</v>
      </c>
      <c r="C1946" s="2" t="s">
        <v>153</v>
      </c>
      <c r="D1946" s="2" t="s">
        <v>1961</v>
      </c>
      <c r="E1946" s="2" t="s">
        <v>80</v>
      </c>
      <c r="F1946" s="2" t="s">
        <v>108</v>
      </c>
      <c r="G1946" s="30" t="n">
        <v>43.5</v>
      </c>
      <c r="H1946" s="11" t="n">
        <v>662.38</v>
      </c>
      <c r="I1946" s="11" t="s">
        <v>155</v>
      </c>
      <c r="J1946" s="11" t="n">
        <v>117.24</v>
      </c>
      <c r="K1946" s="11" t="n">
        <v>93.97</v>
      </c>
      <c r="L1946" s="11" t="n">
        <v>0.6624</v>
      </c>
      <c r="M1946" s="11" t="n">
        <v>1.3248</v>
      </c>
      <c r="N1946" s="11" t="n">
        <v>1</v>
      </c>
      <c r="O1946" s="11" t="n">
        <v>4.5</v>
      </c>
      <c r="P1946" s="11" t="n">
        <v>2.64</v>
      </c>
      <c r="Q1946" s="11" t="n">
        <v>19.8</v>
      </c>
      <c r="R1946" s="11" t="n">
        <f aca="false">SUM(K1946:Q1946)</f>
        <v>123.8972</v>
      </c>
      <c r="S1946" s="11" t="n">
        <f aca="false">R1946/(1-Resumo!$C$6)</f>
        <v>140.792272727273</v>
      </c>
      <c r="T1946" s="11" t="n">
        <f aca="false">S1946-J1946</f>
        <v>23.5522727272727</v>
      </c>
      <c r="U1946" s="12" t="n">
        <f aca="false">IFERROR(S1946/J1946-1,0)</f>
        <v>0.200889395490214</v>
      </c>
      <c r="V1946" s="2" t="str">
        <f aca="false">IF(S1946&lt;J1946,"SIM","NÃO")</f>
        <v>NÃO</v>
      </c>
      <c r="W1946" s="2" t="n">
        <v>5</v>
      </c>
      <c r="X1946" s="2" t="s">
        <v>156</v>
      </c>
    </row>
    <row r="1947" customFormat="false" ht="15" hidden="false" customHeight="false" outlineLevel="0" collapsed="false">
      <c r="A1947" s="2" t="n">
        <v>397135916</v>
      </c>
      <c r="B1947" s="29" t="n">
        <v>46285.3014583333</v>
      </c>
      <c r="C1947" s="2" t="s">
        <v>158</v>
      </c>
      <c r="D1947" s="2" t="s">
        <v>1962</v>
      </c>
      <c r="E1947" s="2" t="s">
        <v>78</v>
      </c>
      <c r="F1947" s="2" t="s">
        <v>109</v>
      </c>
      <c r="G1947" s="30" t="n">
        <v>58.5</v>
      </c>
      <c r="H1947" s="11" t="n">
        <v>855.88</v>
      </c>
      <c r="I1947" s="11" t="s">
        <v>155</v>
      </c>
      <c r="J1947" s="11" t="n">
        <v>115.25</v>
      </c>
      <c r="K1947" s="11" t="n">
        <v>112.3</v>
      </c>
      <c r="L1947" s="11" t="n">
        <v>0.8559</v>
      </c>
      <c r="M1947" s="11" t="n">
        <v>1.7118</v>
      </c>
      <c r="N1947" s="11" t="n">
        <v>1</v>
      </c>
      <c r="O1947" s="11" t="n">
        <v>4.5</v>
      </c>
      <c r="P1947" s="11" t="n">
        <v>3.54</v>
      </c>
      <c r="Q1947" s="11" t="n">
        <v>26.55</v>
      </c>
      <c r="R1947" s="11" t="n">
        <f aca="false">SUM(K1947:Q1947)</f>
        <v>150.4577</v>
      </c>
      <c r="S1947" s="11" t="n">
        <f aca="false">R1947/(1-Resumo!$C$6)</f>
        <v>170.974659090909</v>
      </c>
      <c r="T1947" s="11" t="n">
        <f aca="false">S1947-J1947</f>
        <v>55.7246590909091</v>
      </c>
      <c r="U1947" s="12" t="n">
        <f aca="false">IFERROR(S1947/J1947-1,0)</f>
        <v>0.48351114178663</v>
      </c>
      <c r="V1947" s="2" t="str">
        <f aca="false">IF(S1947&lt;J1947,"SIM","NÃO")</f>
        <v>NÃO</v>
      </c>
      <c r="W1947" s="2" t="n">
        <v>5</v>
      </c>
      <c r="X1947" s="2" t="s">
        <v>156</v>
      </c>
    </row>
    <row r="1948" customFormat="false" ht="15" hidden="false" customHeight="false" outlineLevel="0" collapsed="false">
      <c r="A1948" s="2" t="n">
        <v>397171543</v>
      </c>
      <c r="B1948" s="29" t="n">
        <v>46285.3826851852</v>
      </c>
      <c r="C1948" s="2" t="s">
        <v>158</v>
      </c>
      <c r="D1948" s="2" t="s">
        <v>1963</v>
      </c>
      <c r="E1948" s="2" t="s">
        <v>79</v>
      </c>
      <c r="F1948" s="2" t="s">
        <v>110</v>
      </c>
      <c r="G1948" s="30" t="n">
        <v>66.8</v>
      </c>
      <c r="H1948" s="11" t="n">
        <v>691.9</v>
      </c>
      <c r="I1948" s="11" t="s">
        <v>155</v>
      </c>
      <c r="J1948" s="11" t="n">
        <v>139.74</v>
      </c>
      <c r="K1948" s="11" t="n">
        <v>149.5</v>
      </c>
      <c r="L1948" s="11" t="n">
        <v>0.6919</v>
      </c>
      <c r="M1948" s="11" t="n">
        <v>1.3838</v>
      </c>
      <c r="N1948" s="11" t="n">
        <v>1</v>
      </c>
      <c r="O1948" s="11" t="n">
        <v>4.5</v>
      </c>
      <c r="P1948" s="11" t="n">
        <v>4.02</v>
      </c>
      <c r="Q1948" s="11" t="n">
        <v>30.15</v>
      </c>
      <c r="R1948" s="11" t="n">
        <f aca="false">SUM(K1948:Q1948)</f>
        <v>191.2457</v>
      </c>
      <c r="S1948" s="11" t="n">
        <f aca="false">R1948/(1-Resumo!$C$6)</f>
        <v>217.324659090909</v>
      </c>
      <c r="T1948" s="11" t="n">
        <f aca="false">S1948-J1948</f>
        <v>77.5846590909091</v>
      </c>
      <c r="U1948" s="12" t="n">
        <f aca="false">IFERROR(S1948/J1948-1,0)</f>
        <v>0.555207235515308</v>
      </c>
      <c r="V1948" s="2" t="str">
        <f aca="false">IF(S1948&lt;J1948,"SIM","NÃO")</f>
        <v>NÃO</v>
      </c>
      <c r="W1948" s="2" t="n">
        <v>7</v>
      </c>
      <c r="X1948" s="2" t="s">
        <v>156</v>
      </c>
    </row>
    <row r="1949" customFormat="false" ht="15" hidden="false" customHeight="false" outlineLevel="0" collapsed="false">
      <c r="A1949" s="2" t="n">
        <v>397204517</v>
      </c>
      <c r="B1949" s="29" t="n">
        <v>46285.442650463</v>
      </c>
      <c r="C1949" s="2" t="s">
        <v>158</v>
      </c>
      <c r="D1949" s="2" t="s">
        <v>1839</v>
      </c>
      <c r="E1949" s="2" t="s">
        <v>78</v>
      </c>
      <c r="F1949" s="2" t="s">
        <v>110</v>
      </c>
      <c r="G1949" s="30" t="n">
        <v>69.15</v>
      </c>
      <c r="H1949" s="11" t="n">
        <v>742.64</v>
      </c>
      <c r="I1949" s="11" t="s">
        <v>155</v>
      </c>
      <c r="J1949" s="11" t="n">
        <v>124.77</v>
      </c>
      <c r="K1949" s="11" t="n">
        <v>131.02</v>
      </c>
      <c r="L1949" s="11" t="n">
        <v>0.7426</v>
      </c>
      <c r="M1949" s="11" t="n">
        <v>1.4853</v>
      </c>
      <c r="N1949" s="11" t="n">
        <v>1</v>
      </c>
      <c r="O1949" s="11" t="n">
        <v>4.5</v>
      </c>
      <c r="P1949" s="11" t="n">
        <v>4.2</v>
      </c>
      <c r="Q1949" s="11" t="n">
        <v>31.5</v>
      </c>
      <c r="R1949" s="11" t="n">
        <f aca="false">SUM(K1949:Q1949)</f>
        <v>174.4479</v>
      </c>
      <c r="S1949" s="11" t="n">
        <f aca="false">R1949/(1-Resumo!$C$6)</f>
        <v>198.23625</v>
      </c>
      <c r="T1949" s="11" t="n">
        <f aca="false">S1949-J1949</f>
        <v>73.46625</v>
      </c>
      <c r="U1949" s="12" t="n">
        <f aca="false">IFERROR(S1949/J1949-1,0)</f>
        <v>0.588813416686704</v>
      </c>
      <c r="V1949" s="2" t="str">
        <f aca="false">IF(S1949&lt;J1949,"SIM","NÃO")</f>
        <v>NÃO</v>
      </c>
      <c r="W1949" s="2" t="n">
        <v>5</v>
      </c>
      <c r="X1949" s="2" t="s">
        <v>156</v>
      </c>
    </row>
    <row r="1950" customFormat="false" ht="15" hidden="false" customHeight="false" outlineLevel="0" collapsed="false">
      <c r="A1950" s="2" t="n">
        <v>397214834</v>
      </c>
      <c r="B1950" s="29" t="n">
        <v>46285.4590972222</v>
      </c>
      <c r="C1950" s="2" t="s">
        <v>153</v>
      </c>
      <c r="D1950" s="2" t="s">
        <v>1964</v>
      </c>
      <c r="E1950" s="2" t="s">
        <v>79</v>
      </c>
      <c r="F1950" s="2" t="s">
        <v>109</v>
      </c>
      <c r="G1950" s="30" t="n">
        <v>60</v>
      </c>
      <c r="H1950" s="11" t="n">
        <v>762.34</v>
      </c>
      <c r="I1950" s="11" t="s">
        <v>155</v>
      </c>
      <c r="J1950" s="11" t="n">
        <v>128.92</v>
      </c>
      <c r="K1950" s="11" t="n">
        <v>128.14</v>
      </c>
      <c r="L1950" s="11" t="n">
        <v>0.7623</v>
      </c>
      <c r="M1950" s="11" t="n">
        <v>1.5247</v>
      </c>
      <c r="N1950" s="11" t="n">
        <v>1</v>
      </c>
      <c r="O1950" s="11" t="n">
        <v>4.5</v>
      </c>
      <c r="P1950" s="11" t="n">
        <v>3.6</v>
      </c>
      <c r="Q1950" s="11" t="n">
        <v>27</v>
      </c>
      <c r="R1950" s="11" t="n">
        <f aca="false">SUM(K1950:Q1950)</f>
        <v>166.527</v>
      </c>
      <c r="S1950" s="11" t="n">
        <f aca="false">R1950/(1-Resumo!$C$6)</f>
        <v>189.235227272727</v>
      </c>
      <c r="T1950" s="11" t="n">
        <f aca="false">S1950-J1950</f>
        <v>60.3152272727273</v>
      </c>
      <c r="U1950" s="12" t="n">
        <f aca="false">IFERROR(S1950/J1950-1,0)</f>
        <v>0.467850040899219</v>
      </c>
      <c r="V1950" s="2" t="str">
        <f aca="false">IF(S1950&lt;J1950,"SIM","NÃO")</f>
        <v>NÃO</v>
      </c>
      <c r="W1950" s="2" t="n">
        <v>7</v>
      </c>
      <c r="X1950" s="2" t="s">
        <v>156</v>
      </c>
    </row>
    <row r="1951" customFormat="false" ht="15" hidden="false" customHeight="false" outlineLevel="0" collapsed="false">
      <c r="A1951" s="2" t="n">
        <v>397277866</v>
      </c>
      <c r="B1951" s="29" t="n">
        <v>46285.5565046296</v>
      </c>
      <c r="C1951" s="2" t="s">
        <v>153</v>
      </c>
      <c r="D1951" s="2" t="s">
        <v>1965</v>
      </c>
      <c r="E1951" s="2" t="s">
        <v>87</v>
      </c>
      <c r="F1951" s="2" t="s">
        <v>107</v>
      </c>
      <c r="G1951" s="30" t="n">
        <v>40</v>
      </c>
      <c r="H1951" s="11" t="n">
        <v>569.99</v>
      </c>
      <c r="I1951" s="11" t="s">
        <v>155</v>
      </c>
      <c r="J1951" s="11" t="n">
        <v>122.98</v>
      </c>
      <c r="K1951" s="11" t="n">
        <v>124.38</v>
      </c>
      <c r="L1951" s="11" t="n">
        <v>0.57</v>
      </c>
      <c r="M1951" s="11" t="n">
        <v>1.14</v>
      </c>
      <c r="N1951" s="11" t="n">
        <v>1</v>
      </c>
      <c r="O1951" s="11" t="n">
        <v>4.5</v>
      </c>
      <c r="P1951" s="11" t="n">
        <v>2.4</v>
      </c>
      <c r="Q1951" s="11" t="n">
        <v>18</v>
      </c>
      <c r="R1951" s="11" t="n">
        <f aca="false">SUM(K1951:Q1951)</f>
        <v>151.99</v>
      </c>
      <c r="S1951" s="11" t="n">
        <f aca="false">R1951/(1-Resumo!$C$6)</f>
        <v>172.715909090909</v>
      </c>
      <c r="T1951" s="11" t="n">
        <f aca="false">S1951-J1951</f>
        <v>49.7359090909091</v>
      </c>
      <c r="U1951" s="12" t="n">
        <f aca="false">IFERROR(S1951/J1951-1,0)</f>
        <v>0.404422744274753</v>
      </c>
      <c r="V1951" s="2" t="str">
        <f aca="false">IF(S1951&lt;J1951,"SIM","NÃO")</f>
        <v>NÃO</v>
      </c>
      <c r="W1951" s="2" t="n">
        <v>10</v>
      </c>
      <c r="X1951" s="2" t="s">
        <v>156</v>
      </c>
    </row>
    <row r="1952" customFormat="false" ht="15" hidden="false" customHeight="false" outlineLevel="0" collapsed="false">
      <c r="A1952" s="2" t="n">
        <v>397313251</v>
      </c>
      <c r="B1952" s="29" t="n">
        <v>46285.589375</v>
      </c>
      <c r="C1952" s="2" t="s">
        <v>369</v>
      </c>
      <c r="D1952" s="2" t="s">
        <v>1966</v>
      </c>
      <c r="E1952" s="2" t="s">
        <v>172</v>
      </c>
      <c r="F1952" s="2" t="s">
        <v>111</v>
      </c>
      <c r="G1952" s="30" t="n">
        <v>80</v>
      </c>
      <c r="H1952" s="11" t="n">
        <v>989.98</v>
      </c>
      <c r="I1952" s="11" t="s">
        <v>155</v>
      </c>
      <c r="J1952" s="11" t="n">
        <v>169.07</v>
      </c>
      <c r="K1952" s="11" t="n">
        <v>166.05</v>
      </c>
      <c r="L1952" s="11" t="n">
        <v>0.99</v>
      </c>
      <c r="M1952" s="11" t="n">
        <v>1.98</v>
      </c>
      <c r="N1952" s="11" t="n">
        <v>1</v>
      </c>
      <c r="O1952" s="11" t="n">
        <v>4.5</v>
      </c>
      <c r="P1952" s="11" t="n">
        <v>4.8</v>
      </c>
      <c r="Q1952" s="11" t="n">
        <v>36</v>
      </c>
      <c r="R1952" s="11" t="n">
        <f aca="false">SUM(K1952:Q1952)</f>
        <v>215.32</v>
      </c>
      <c r="S1952" s="11" t="n">
        <f aca="false">R1952/(1-Resumo!$C$6)</f>
        <v>244.681818181818</v>
      </c>
      <c r="T1952" s="11" t="n">
        <f aca="false">S1952-J1952</f>
        <v>75.6118181818182</v>
      </c>
      <c r="U1952" s="12" t="n">
        <f aca="false">IFERROR(S1952/J1952-1,0)</f>
        <v>0.447221968307909</v>
      </c>
      <c r="V1952" s="2" t="str">
        <f aca="false">IF(S1952&lt;J1952,"SIM","NÃO")</f>
        <v>NÃO</v>
      </c>
      <c r="W1952" s="2" t="n">
        <v>8</v>
      </c>
      <c r="X1952" s="2" t="s">
        <v>161</v>
      </c>
    </row>
    <row r="1953" customFormat="false" ht="15" hidden="false" customHeight="false" outlineLevel="0" collapsed="false">
      <c r="A1953" s="2" t="n">
        <v>397323725</v>
      </c>
      <c r="B1953" s="29" t="n">
        <v>46285.629837963</v>
      </c>
      <c r="C1953" s="2" t="s">
        <v>153</v>
      </c>
      <c r="D1953" s="2" t="s">
        <v>1967</v>
      </c>
      <c r="E1953" s="2" t="s">
        <v>86</v>
      </c>
      <c r="F1953" s="2" t="s">
        <v>108</v>
      </c>
      <c r="G1953" s="30" t="n">
        <v>46.8</v>
      </c>
      <c r="H1953" s="11" t="n">
        <v>492.2</v>
      </c>
      <c r="I1953" s="11" t="s">
        <v>155</v>
      </c>
      <c r="J1953" s="11" t="n">
        <v>116.42</v>
      </c>
      <c r="K1953" s="11" t="n">
        <v>93.97</v>
      </c>
      <c r="L1953" s="11" t="n">
        <v>0.4922</v>
      </c>
      <c r="M1953" s="11" t="n">
        <v>0.9844</v>
      </c>
      <c r="N1953" s="11" t="n">
        <v>1</v>
      </c>
      <c r="O1953" s="11" t="n">
        <v>4.5</v>
      </c>
      <c r="P1953" s="11" t="n">
        <v>2.82</v>
      </c>
      <c r="Q1953" s="11" t="n">
        <v>21.15</v>
      </c>
      <c r="R1953" s="11" t="n">
        <f aca="false">SUM(K1953:Q1953)</f>
        <v>124.9166</v>
      </c>
      <c r="S1953" s="11" t="n">
        <f aca="false">R1953/(1-Resumo!$C$6)</f>
        <v>141.950681818182</v>
      </c>
      <c r="T1953" s="11" t="n">
        <f aca="false">S1953-J1953</f>
        <v>25.5306818181818</v>
      </c>
      <c r="U1953" s="12" t="n">
        <f aca="false">IFERROR(S1953/J1953-1,0)</f>
        <v>0.219298074370227</v>
      </c>
      <c r="V1953" s="2" t="str">
        <f aca="false">IF(S1953&lt;J1953,"SIM","NÃO")</f>
        <v>NÃO</v>
      </c>
      <c r="W1953" s="2" t="n">
        <v>5</v>
      </c>
      <c r="X1953" s="2" t="s">
        <v>156</v>
      </c>
    </row>
    <row r="1954" customFormat="false" ht="15" hidden="false" customHeight="false" outlineLevel="0" collapsed="false">
      <c r="A1954" s="2" t="n">
        <v>397330956</v>
      </c>
      <c r="B1954" s="29" t="n">
        <v>46285.6419560185</v>
      </c>
      <c r="C1954" s="2" t="s">
        <v>153</v>
      </c>
      <c r="D1954" s="2" t="s">
        <v>315</v>
      </c>
      <c r="E1954" s="2" t="s">
        <v>316</v>
      </c>
      <c r="F1954" s="2" t="s">
        <v>109</v>
      </c>
      <c r="G1954" s="30" t="n">
        <v>52.3</v>
      </c>
      <c r="H1954" s="11" t="n">
        <v>699.99</v>
      </c>
      <c r="I1954" s="11" t="s">
        <v>155</v>
      </c>
      <c r="J1954" s="11" t="n">
        <v>143.02</v>
      </c>
      <c r="K1954" s="11" t="n">
        <v>144.53</v>
      </c>
      <c r="L1954" s="11" t="n">
        <v>0.7</v>
      </c>
      <c r="M1954" s="11" t="n">
        <v>1.4</v>
      </c>
      <c r="N1954" s="11" t="n">
        <v>1</v>
      </c>
      <c r="O1954" s="11" t="n">
        <v>4.5</v>
      </c>
      <c r="P1954" s="11" t="n">
        <v>3.18</v>
      </c>
      <c r="Q1954" s="11" t="n">
        <v>23.85</v>
      </c>
      <c r="R1954" s="11" t="n">
        <f aca="false">SUM(K1954:Q1954)</f>
        <v>179.16</v>
      </c>
      <c r="S1954" s="11" t="n">
        <f aca="false">R1954/(1-Resumo!$C$6)</f>
        <v>203.590909090909</v>
      </c>
      <c r="T1954" s="11" t="n">
        <f aca="false">S1954-J1954</f>
        <v>60.5709090909091</v>
      </c>
      <c r="U1954" s="12" t="n">
        <f aca="false">IFERROR(S1954/J1954-1,0)</f>
        <v>0.423513558180038</v>
      </c>
      <c r="V1954" s="2" t="str">
        <f aca="false">IF(S1954&lt;J1954,"SIM","NÃO")</f>
        <v>NÃO</v>
      </c>
      <c r="W1954" s="2" t="n">
        <v>10</v>
      </c>
      <c r="X1954" s="2" t="s">
        <v>161</v>
      </c>
    </row>
    <row r="1955" customFormat="false" ht="15" hidden="false" customHeight="false" outlineLevel="0" collapsed="false">
      <c r="A1955" s="2" t="n">
        <v>397333682</v>
      </c>
      <c r="B1955" s="29" t="n">
        <v>46285.6464814815</v>
      </c>
      <c r="C1955" s="2" t="s">
        <v>158</v>
      </c>
      <c r="D1955" s="2" t="s">
        <v>1968</v>
      </c>
      <c r="E1955" s="2" t="s">
        <v>87</v>
      </c>
      <c r="F1955" s="2" t="s">
        <v>110</v>
      </c>
      <c r="G1955" s="30" t="n">
        <v>66.8</v>
      </c>
      <c r="H1955" s="11" t="n">
        <v>679.99</v>
      </c>
      <c r="I1955" s="11" t="s">
        <v>155</v>
      </c>
      <c r="J1955" s="11" t="n">
        <v>155.27</v>
      </c>
      <c r="K1955" s="11" t="n">
        <v>166.05</v>
      </c>
      <c r="L1955" s="11" t="n">
        <v>0.68</v>
      </c>
      <c r="M1955" s="11" t="n">
        <v>1.36</v>
      </c>
      <c r="N1955" s="11" t="n">
        <v>1</v>
      </c>
      <c r="O1955" s="11" t="n">
        <v>4.5</v>
      </c>
      <c r="P1955" s="11" t="n">
        <v>4.02</v>
      </c>
      <c r="Q1955" s="11" t="n">
        <v>30.15</v>
      </c>
      <c r="R1955" s="11" t="n">
        <f aca="false">SUM(K1955:Q1955)</f>
        <v>207.76</v>
      </c>
      <c r="S1955" s="11" t="n">
        <f aca="false">R1955/(1-Resumo!$C$6)</f>
        <v>236.090909090909</v>
      </c>
      <c r="T1955" s="11" t="n">
        <f aca="false">S1955-J1955</f>
        <v>80.8209090909091</v>
      </c>
      <c r="U1955" s="12" t="n">
        <f aca="false">IFERROR(S1955/J1955-1,0)</f>
        <v>0.520518510278284</v>
      </c>
      <c r="V1955" s="2" t="str">
        <f aca="false">IF(S1955&lt;J1955,"SIM","NÃO")</f>
        <v>NÃO</v>
      </c>
      <c r="W1955" s="2" t="n">
        <v>10</v>
      </c>
      <c r="X1955" s="2" t="s">
        <v>156</v>
      </c>
    </row>
    <row r="1956" customFormat="false" ht="15" hidden="false" customHeight="false" outlineLevel="0" collapsed="false">
      <c r="A1956" s="2" t="n">
        <v>397335570</v>
      </c>
      <c r="B1956" s="29" t="n">
        <v>46285.6499305556</v>
      </c>
      <c r="C1956" s="2" t="s">
        <v>153</v>
      </c>
      <c r="D1956" s="2" t="s">
        <v>1946</v>
      </c>
      <c r="E1956" s="2" t="s">
        <v>78</v>
      </c>
      <c r="F1956" s="2" t="s">
        <v>106</v>
      </c>
      <c r="G1956" s="30" t="n">
        <v>30.5</v>
      </c>
      <c r="H1956" s="11" t="n">
        <v>406.6</v>
      </c>
      <c r="I1956" s="11" t="s">
        <v>155</v>
      </c>
      <c r="J1956" s="11" t="n">
        <v>82.26</v>
      </c>
      <c r="K1956" s="11" t="n">
        <v>82.21</v>
      </c>
      <c r="L1956" s="11" t="n">
        <v>0.4066</v>
      </c>
      <c r="M1956" s="11" t="n">
        <v>0.8132</v>
      </c>
      <c r="N1956" s="11" t="n">
        <v>1</v>
      </c>
      <c r="O1956" s="11" t="n">
        <v>4.5</v>
      </c>
      <c r="P1956" s="11" t="n">
        <v>1.86</v>
      </c>
      <c r="Q1956" s="11" t="n">
        <v>13.95</v>
      </c>
      <c r="R1956" s="11" t="n">
        <f aca="false">SUM(K1956:Q1956)</f>
        <v>104.7398</v>
      </c>
      <c r="S1956" s="11" t="n">
        <f aca="false">R1956/(1-Resumo!$C$6)</f>
        <v>119.0225</v>
      </c>
      <c r="T1956" s="11" t="n">
        <f aca="false">S1956-J1956</f>
        <v>36.7625</v>
      </c>
      <c r="U1956" s="12" t="n">
        <f aca="false">IFERROR(S1956/J1956-1,0)</f>
        <v>0.446906151227814</v>
      </c>
      <c r="V1956" s="2" t="str">
        <f aca="false">IF(S1956&lt;J1956,"SIM","NÃO")</f>
        <v>NÃO</v>
      </c>
      <c r="W1956" s="2" t="n">
        <v>5</v>
      </c>
      <c r="X1956" s="2" t="s">
        <v>156</v>
      </c>
    </row>
    <row r="1957" customFormat="false" ht="15" hidden="false" customHeight="false" outlineLevel="0" collapsed="false">
      <c r="A1957" s="2" t="n">
        <v>397351950</v>
      </c>
      <c r="B1957" s="29" t="n">
        <v>46285.6872337963</v>
      </c>
      <c r="C1957" s="2" t="s">
        <v>178</v>
      </c>
      <c r="D1957" s="2" t="s">
        <v>1969</v>
      </c>
      <c r="E1957" s="2" t="s">
        <v>78</v>
      </c>
      <c r="F1957" s="2" t="s">
        <v>109</v>
      </c>
      <c r="G1957" s="30" t="n">
        <v>60</v>
      </c>
      <c r="H1957" s="11" t="n">
        <v>999.99</v>
      </c>
      <c r="I1957" s="11" t="s">
        <v>155</v>
      </c>
      <c r="J1957" s="11" t="n">
        <v>115.94</v>
      </c>
      <c r="K1957" s="11" t="n">
        <v>112.3</v>
      </c>
      <c r="L1957" s="11" t="n">
        <v>1</v>
      </c>
      <c r="M1957" s="11" t="n">
        <v>2</v>
      </c>
      <c r="N1957" s="11" t="n">
        <v>1</v>
      </c>
      <c r="O1957" s="11" t="n">
        <v>4.5</v>
      </c>
      <c r="P1957" s="11" t="n">
        <v>3.6</v>
      </c>
      <c r="Q1957" s="11" t="n">
        <v>27</v>
      </c>
      <c r="R1957" s="11" t="n">
        <f aca="false">SUM(K1957:Q1957)</f>
        <v>151.4</v>
      </c>
      <c r="S1957" s="11" t="n">
        <f aca="false">R1957/(1-Resumo!$C$6)</f>
        <v>172.045454545455</v>
      </c>
      <c r="T1957" s="11" t="n">
        <f aca="false">S1957-J1957</f>
        <v>56.1054545454545</v>
      </c>
      <c r="U1957" s="12" t="n">
        <f aca="false">IFERROR(S1957/J1957-1,0)</f>
        <v>0.483918014019791</v>
      </c>
      <c r="V1957" s="2" t="str">
        <f aca="false">IF(S1957&lt;J1957,"SIM","NÃO")</f>
        <v>NÃO</v>
      </c>
      <c r="W1957" s="2" t="n">
        <v>5</v>
      </c>
      <c r="X1957" s="2" t="s">
        <v>156</v>
      </c>
    </row>
    <row r="1958" customFormat="false" ht="15" hidden="false" customHeight="false" outlineLevel="0" collapsed="false">
      <c r="A1958" s="2" t="n">
        <v>397394424</v>
      </c>
      <c r="B1958" s="29" t="n">
        <v>46285.7225578704</v>
      </c>
      <c r="C1958" s="2" t="s">
        <v>369</v>
      </c>
      <c r="D1958" s="2" t="s">
        <v>1970</v>
      </c>
      <c r="E1958" s="2" t="s">
        <v>82</v>
      </c>
      <c r="F1958" s="2" t="s">
        <v>108</v>
      </c>
      <c r="G1958" s="30" t="n">
        <v>49.6</v>
      </c>
      <c r="H1958" s="11" t="n">
        <v>799.99</v>
      </c>
      <c r="I1958" s="11" t="s">
        <v>155</v>
      </c>
      <c r="J1958" s="11" t="n">
        <v>117.91</v>
      </c>
      <c r="K1958" s="11" t="n">
        <v>114.95</v>
      </c>
      <c r="L1958" s="11" t="n">
        <v>0.8</v>
      </c>
      <c r="M1958" s="11" t="n">
        <v>1.6</v>
      </c>
      <c r="N1958" s="11" t="n">
        <v>1</v>
      </c>
      <c r="O1958" s="11" t="n">
        <v>4.5</v>
      </c>
      <c r="P1958" s="11" t="n">
        <v>3</v>
      </c>
      <c r="Q1958" s="11" t="n">
        <v>22.5</v>
      </c>
      <c r="R1958" s="11" t="n">
        <f aca="false">SUM(K1958:Q1958)</f>
        <v>148.35</v>
      </c>
      <c r="S1958" s="11" t="n">
        <f aca="false">R1958/(1-Resumo!$C$6)</f>
        <v>168.579545454545</v>
      </c>
      <c r="T1958" s="11" t="n">
        <f aca="false">S1958-J1958</f>
        <v>50.6695454545455</v>
      </c>
      <c r="U1958" s="12" t="n">
        <f aca="false">IFERROR(S1958/J1958-1,0)</f>
        <v>0.429730688275341</v>
      </c>
      <c r="V1958" s="2" t="str">
        <f aca="false">IF(S1958&lt;J1958,"SIM","NÃO")</f>
        <v>NÃO</v>
      </c>
      <c r="W1958" s="2" t="n">
        <v>7</v>
      </c>
      <c r="X1958" s="2" t="s">
        <v>156</v>
      </c>
    </row>
    <row r="1959" customFormat="false" ht="15" hidden="false" customHeight="false" outlineLevel="0" collapsed="false">
      <c r="A1959" s="2" t="n">
        <v>397400600</v>
      </c>
      <c r="B1959" s="29" t="n">
        <v>46285.7355555556</v>
      </c>
      <c r="C1959" s="2" t="s">
        <v>369</v>
      </c>
      <c r="D1959" s="2" t="s">
        <v>1971</v>
      </c>
      <c r="E1959" s="2" t="s">
        <v>92</v>
      </c>
      <c r="F1959" s="2" t="s">
        <v>109</v>
      </c>
      <c r="G1959" s="30" t="n">
        <v>54.1</v>
      </c>
      <c r="H1959" s="11" t="n">
        <v>1199.99</v>
      </c>
      <c r="I1959" s="11" t="s">
        <v>155</v>
      </c>
      <c r="J1959" s="11" t="n">
        <v>145.42</v>
      </c>
      <c r="K1959" s="11" t="n">
        <v>142.32</v>
      </c>
      <c r="L1959" s="11" t="n">
        <v>1.2</v>
      </c>
      <c r="M1959" s="11" t="n">
        <v>2.4</v>
      </c>
      <c r="N1959" s="11" t="n">
        <v>1</v>
      </c>
      <c r="O1959" s="11" t="n">
        <v>4.5</v>
      </c>
      <c r="P1959" s="11" t="n">
        <v>3.3</v>
      </c>
      <c r="Q1959" s="11" t="n">
        <v>24.75</v>
      </c>
      <c r="R1959" s="11" t="n">
        <f aca="false">SUM(K1959:Q1959)</f>
        <v>179.47</v>
      </c>
      <c r="S1959" s="11" t="n">
        <f aca="false">R1959/(1-Resumo!$C$6)</f>
        <v>203.943181818182</v>
      </c>
      <c r="T1959" s="11" t="n">
        <f aca="false">S1959-J1959</f>
        <v>58.5231818181818</v>
      </c>
      <c r="U1959" s="12" t="n">
        <f aca="false">IFERROR(S1959/J1959-1,0)</f>
        <v>0.402442455083082</v>
      </c>
      <c r="V1959" s="2" t="str">
        <f aca="false">IF(S1959&lt;J1959,"SIM","NÃO")</f>
        <v>NÃO</v>
      </c>
      <c r="W1959" s="2" t="n">
        <v>10</v>
      </c>
      <c r="X1959" s="2" t="s">
        <v>156</v>
      </c>
    </row>
    <row r="1960" customFormat="false" ht="15" hidden="false" customHeight="false" outlineLevel="0" collapsed="false">
      <c r="A1960" s="2" t="n">
        <v>397392267</v>
      </c>
      <c r="B1960" s="29" t="n">
        <v>46285.7389814815</v>
      </c>
      <c r="C1960" s="2" t="s">
        <v>153</v>
      </c>
      <c r="D1960" s="2" t="s">
        <v>1972</v>
      </c>
      <c r="E1960" s="2" t="s">
        <v>95</v>
      </c>
      <c r="F1960" s="2" t="s">
        <v>106</v>
      </c>
      <c r="G1960" s="30" t="n">
        <v>30.5</v>
      </c>
      <c r="H1960" s="11" t="n">
        <v>406.6</v>
      </c>
      <c r="I1960" s="11" t="s">
        <v>155</v>
      </c>
      <c r="J1960" s="11" t="n">
        <v>109.13</v>
      </c>
      <c r="K1960" s="11" t="n">
        <v>103.28</v>
      </c>
      <c r="L1960" s="11" t="n">
        <v>0.4066</v>
      </c>
      <c r="M1960" s="11" t="n">
        <v>0.8132</v>
      </c>
      <c r="N1960" s="11" t="n">
        <v>1</v>
      </c>
      <c r="O1960" s="11" t="n">
        <v>4.5</v>
      </c>
      <c r="P1960" s="11" t="n">
        <v>1.86</v>
      </c>
      <c r="Q1960" s="11" t="n">
        <v>13.95</v>
      </c>
      <c r="R1960" s="11" t="n">
        <f aca="false">SUM(K1960:Q1960)</f>
        <v>125.8098</v>
      </c>
      <c r="S1960" s="11" t="n">
        <f aca="false">R1960/(1-Resumo!$C$6)</f>
        <v>142.965681818182</v>
      </c>
      <c r="T1960" s="11" t="n">
        <f aca="false">S1960-J1960</f>
        <v>33.8356818181818</v>
      </c>
      <c r="U1960" s="12" t="n">
        <f aca="false">IFERROR(S1960/J1960-1,0)</f>
        <v>0.310049315661888</v>
      </c>
      <c r="V1960" s="2" t="str">
        <f aca="false">IF(S1960&lt;J1960,"SIM","NÃO")</f>
        <v>NÃO</v>
      </c>
      <c r="W1960" s="2" t="n">
        <v>6</v>
      </c>
      <c r="X1960" s="2" t="s">
        <v>156</v>
      </c>
    </row>
    <row r="1961" customFormat="false" ht="15" hidden="false" customHeight="false" outlineLevel="0" collapsed="false">
      <c r="A1961" s="2" t="n">
        <v>397416258</v>
      </c>
      <c r="B1961" s="29" t="n">
        <v>46285.7740972222</v>
      </c>
      <c r="C1961" s="2" t="s">
        <v>198</v>
      </c>
      <c r="D1961" s="2" t="s">
        <v>496</v>
      </c>
      <c r="E1961" s="2" t="s">
        <v>82</v>
      </c>
      <c r="F1961" s="2" t="s">
        <v>107</v>
      </c>
      <c r="G1961" s="30" t="n">
        <v>40</v>
      </c>
      <c r="H1961" s="11" t="n">
        <v>539.99</v>
      </c>
      <c r="I1961" s="11" t="s">
        <v>155</v>
      </c>
      <c r="J1961" s="11" t="n">
        <v>113.55</v>
      </c>
      <c r="K1961" s="11" t="n">
        <v>114.95</v>
      </c>
      <c r="L1961" s="11" t="n">
        <v>0.54</v>
      </c>
      <c r="M1961" s="11" t="n">
        <v>1.08</v>
      </c>
      <c r="N1961" s="11" t="n">
        <v>1</v>
      </c>
      <c r="O1961" s="11" t="n">
        <v>4.5</v>
      </c>
      <c r="P1961" s="11" t="n">
        <v>2.4</v>
      </c>
      <c r="Q1961" s="11" t="n">
        <v>18</v>
      </c>
      <c r="R1961" s="11" t="n">
        <f aca="false">SUM(K1961:Q1961)</f>
        <v>142.47</v>
      </c>
      <c r="S1961" s="11" t="n">
        <f aca="false">R1961/(1-Resumo!$C$6)</f>
        <v>161.897727272727</v>
      </c>
      <c r="T1961" s="11" t="n">
        <f aca="false">S1961-J1961</f>
        <v>48.3477272727273</v>
      </c>
      <c r="U1961" s="12" t="n">
        <f aca="false">IFERROR(S1961/J1961-1,0)</f>
        <v>0.425783595532605</v>
      </c>
      <c r="V1961" s="2" t="str">
        <f aca="false">IF(S1961&lt;J1961,"SIM","NÃO")</f>
        <v>NÃO</v>
      </c>
      <c r="W1961" s="2" t="n">
        <v>7</v>
      </c>
      <c r="X1961" s="2" t="s">
        <v>156</v>
      </c>
    </row>
    <row r="1962" customFormat="false" ht="15" hidden="false" customHeight="false" outlineLevel="0" collapsed="false">
      <c r="A1962" s="2" t="n">
        <v>397431770</v>
      </c>
      <c r="B1962" s="29" t="n">
        <v>46285.8024305556</v>
      </c>
      <c r="C1962" s="2" t="s">
        <v>153</v>
      </c>
      <c r="D1962" s="2" t="s">
        <v>254</v>
      </c>
      <c r="E1962" s="2" t="s">
        <v>255</v>
      </c>
      <c r="F1962" s="2" t="s">
        <v>110</v>
      </c>
      <c r="G1962" s="30" t="n">
        <v>67.3</v>
      </c>
      <c r="H1962" s="11" t="n">
        <v>694.72</v>
      </c>
      <c r="I1962" s="11" t="s">
        <v>155</v>
      </c>
      <c r="J1962" s="11" t="n">
        <v>155.35</v>
      </c>
      <c r="K1962" s="11" t="n">
        <v>166.05</v>
      </c>
      <c r="L1962" s="11" t="n">
        <v>0.6947</v>
      </c>
      <c r="M1962" s="11" t="n">
        <v>1.3894</v>
      </c>
      <c r="N1962" s="11" t="n">
        <v>1</v>
      </c>
      <c r="O1962" s="11" t="n">
        <v>4.5</v>
      </c>
      <c r="P1962" s="11" t="n">
        <v>4.08</v>
      </c>
      <c r="Q1962" s="11" t="n">
        <v>30.6</v>
      </c>
      <c r="R1962" s="11" t="n">
        <f aca="false">SUM(K1962:Q1962)</f>
        <v>208.3141</v>
      </c>
      <c r="S1962" s="11" t="n">
        <f aca="false">R1962/(1-Resumo!$C$6)</f>
        <v>236.720568181818</v>
      </c>
      <c r="T1962" s="11" t="n">
        <f aca="false">S1962-J1962</f>
        <v>81.3705681818182</v>
      </c>
      <c r="U1962" s="12" t="n">
        <f aca="false">IFERROR(S1962/J1962-1,0)</f>
        <v>0.523788659039705</v>
      </c>
      <c r="V1962" s="2" t="str">
        <f aca="false">IF(S1962&lt;J1962,"SIM","NÃO")</f>
        <v>NÃO</v>
      </c>
      <c r="W1962" s="2" t="n">
        <v>10</v>
      </c>
      <c r="X1962" s="2" t="s">
        <v>161</v>
      </c>
    </row>
    <row r="1963" customFormat="false" ht="15" hidden="false" customHeight="false" outlineLevel="0" collapsed="false">
      <c r="A1963" s="2" t="n">
        <v>397438445</v>
      </c>
      <c r="B1963" s="29" t="n">
        <v>46285.8144560185</v>
      </c>
      <c r="C1963" s="2" t="s">
        <v>153</v>
      </c>
      <c r="D1963" s="2" t="s">
        <v>1973</v>
      </c>
      <c r="E1963" s="2" t="s">
        <v>78</v>
      </c>
      <c r="F1963" s="2" t="s">
        <v>108</v>
      </c>
      <c r="G1963" s="30" t="n">
        <v>49.6</v>
      </c>
      <c r="H1963" s="11" t="n">
        <v>769.99</v>
      </c>
      <c r="I1963" s="11" t="s">
        <v>155</v>
      </c>
      <c r="J1963" s="11" t="n">
        <v>104.27</v>
      </c>
      <c r="K1963" s="11" t="n">
        <v>93.97</v>
      </c>
      <c r="L1963" s="11" t="n">
        <v>0.77</v>
      </c>
      <c r="M1963" s="11" t="n">
        <v>1.54</v>
      </c>
      <c r="N1963" s="11" t="n">
        <v>1</v>
      </c>
      <c r="O1963" s="11" t="n">
        <v>4.5</v>
      </c>
      <c r="P1963" s="11" t="n">
        <v>3</v>
      </c>
      <c r="Q1963" s="11" t="n">
        <v>22.5</v>
      </c>
      <c r="R1963" s="11" t="n">
        <f aca="false">SUM(K1963:Q1963)</f>
        <v>127.28</v>
      </c>
      <c r="S1963" s="11" t="n">
        <f aca="false">R1963/(1-Resumo!$C$6)</f>
        <v>144.636363636364</v>
      </c>
      <c r="T1963" s="11" t="n">
        <f aca="false">S1963-J1963</f>
        <v>40.3663636363636</v>
      </c>
      <c r="U1963" s="12" t="n">
        <f aca="false">IFERROR(S1963/J1963-1,0)</f>
        <v>0.387133054918612</v>
      </c>
      <c r="V1963" s="2" t="str">
        <f aca="false">IF(S1963&lt;J1963,"SIM","NÃO")</f>
        <v>NÃO</v>
      </c>
      <c r="W1963" s="2" t="n">
        <v>5</v>
      </c>
      <c r="X1963" s="2" t="s">
        <v>156</v>
      </c>
    </row>
    <row r="1964" customFormat="false" ht="15" hidden="false" customHeight="false" outlineLevel="0" collapsed="false">
      <c r="A1964" s="2" t="n">
        <v>397457365</v>
      </c>
      <c r="B1964" s="29" t="n">
        <v>46285.8472222222</v>
      </c>
      <c r="C1964" s="2" t="s">
        <v>153</v>
      </c>
      <c r="D1964" s="2" t="s">
        <v>1974</v>
      </c>
      <c r="E1964" s="2" t="s">
        <v>78</v>
      </c>
      <c r="F1964" s="2" t="s">
        <v>108</v>
      </c>
      <c r="G1964" s="30" t="n">
        <v>48.3</v>
      </c>
      <c r="H1964" s="11" t="n">
        <v>449.35</v>
      </c>
      <c r="I1964" s="11" t="s">
        <v>155</v>
      </c>
      <c r="J1964" s="11" t="n">
        <v>102.74</v>
      </c>
      <c r="K1964" s="11" t="n">
        <v>93.97</v>
      </c>
      <c r="L1964" s="11" t="n">
        <v>0.4494</v>
      </c>
      <c r="M1964" s="11" t="n">
        <v>0.8987</v>
      </c>
      <c r="N1964" s="11" t="n">
        <v>1</v>
      </c>
      <c r="O1964" s="11" t="n">
        <v>4.5</v>
      </c>
      <c r="P1964" s="11" t="n">
        <v>2.94</v>
      </c>
      <c r="Q1964" s="11" t="n">
        <v>22.05</v>
      </c>
      <c r="R1964" s="11" t="n">
        <f aca="false">SUM(K1964:Q1964)</f>
        <v>125.8081</v>
      </c>
      <c r="S1964" s="11" t="n">
        <f aca="false">R1964/(1-Resumo!$C$6)</f>
        <v>142.96375</v>
      </c>
      <c r="T1964" s="11" t="n">
        <f aca="false">S1964-J1964</f>
        <v>40.22375</v>
      </c>
      <c r="U1964" s="12" t="n">
        <f aca="false">IFERROR(S1964/J1964-1,0)</f>
        <v>0.391510122639673</v>
      </c>
      <c r="V1964" s="2" t="str">
        <f aca="false">IF(S1964&lt;J1964,"SIM","NÃO")</f>
        <v>NÃO</v>
      </c>
      <c r="W1964" s="2" t="n">
        <v>5</v>
      </c>
      <c r="X1964" s="2" t="s">
        <v>156</v>
      </c>
    </row>
    <row r="1965" customFormat="false" ht="15" hidden="false" customHeight="false" outlineLevel="0" collapsed="false">
      <c r="A1965" s="2" t="n">
        <v>397508987</v>
      </c>
      <c r="B1965" s="29" t="n">
        <v>46285.9374884259</v>
      </c>
      <c r="C1965" s="2" t="s">
        <v>153</v>
      </c>
      <c r="D1965" s="2" t="s">
        <v>1975</v>
      </c>
      <c r="E1965" s="2" t="s">
        <v>78</v>
      </c>
      <c r="F1965" s="2" t="s">
        <v>106</v>
      </c>
      <c r="G1965" s="30" t="n">
        <v>31</v>
      </c>
      <c r="H1965" s="11" t="n">
        <v>323.94</v>
      </c>
      <c r="I1965" s="11" t="s">
        <v>155</v>
      </c>
      <c r="J1965" s="11" t="n">
        <v>81.89</v>
      </c>
      <c r="K1965" s="11" t="n">
        <v>82.21</v>
      </c>
      <c r="L1965" s="11" t="n">
        <v>0.3239</v>
      </c>
      <c r="M1965" s="11" t="n">
        <v>0.6479</v>
      </c>
      <c r="N1965" s="11" t="n">
        <v>1</v>
      </c>
      <c r="O1965" s="11" t="n">
        <v>4.5</v>
      </c>
      <c r="P1965" s="11" t="n">
        <v>1.86</v>
      </c>
      <c r="Q1965" s="11" t="n">
        <v>13.95</v>
      </c>
      <c r="R1965" s="11" t="n">
        <f aca="false">SUM(K1965:Q1965)</f>
        <v>104.4918</v>
      </c>
      <c r="S1965" s="11" t="n">
        <f aca="false">R1965/(1-Resumo!$C$6)</f>
        <v>118.740681818182</v>
      </c>
      <c r="T1965" s="11" t="n">
        <f aca="false">S1965-J1965</f>
        <v>36.8506818181818</v>
      </c>
      <c r="U1965" s="12" t="n">
        <f aca="false">IFERROR(S1965/J1965-1,0)</f>
        <v>0.450002220273316</v>
      </c>
      <c r="V1965" s="2" t="str">
        <f aca="false">IF(S1965&lt;J1965,"SIM","NÃO")</f>
        <v>NÃO</v>
      </c>
      <c r="W1965" s="2" t="n">
        <v>5</v>
      </c>
      <c r="X1965" s="2" t="s">
        <v>156</v>
      </c>
    </row>
    <row r="1966" customFormat="false" ht="15" hidden="false" customHeight="false" outlineLevel="0" collapsed="false">
      <c r="A1966" s="2" t="n">
        <v>397608636</v>
      </c>
      <c r="B1966" s="29" t="n">
        <v>46286.2935185185</v>
      </c>
      <c r="C1966" s="2" t="s">
        <v>153</v>
      </c>
      <c r="D1966" s="2" t="s">
        <v>1976</v>
      </c>
      <c r="E1966" s="2" t="s">
        <v>87</v>
      </c>
      <c r="F1966" s="2" t="s">
        <v>110</v>
      </c>
      <c r="G1966" s="30" t="n">
        <v>69</v>
      </c>
      <c r="H1966" s="11" t="n">
        <v>702.39</v>
      </c>
      <c r="I1966" s="11" t="s">
        <v>155</v>
      </c>
      <c r="J1966" s="11" t="n">
        <v>155.38</v>
      </c>
      <c r="K1966" s="11" t="n">
        <v>166.05</v>
      </c>
      <c r="L1966" s="11" t="n">
        <v>0.7024</v>
      </c>
      <c r="M1966" s="11" t="n">
        <v>1.4048</v>
      </c>
      <c r="N1966" s="11" t="n">
        <v>1</v>
      </c>
      <c r="O1966" s="11" t="n">
        <v>4.5</v>
      </c>
      <c r="P1966" s="11" t="n">
        <v>4.14</v>
      </c>
      <c r="Q1966" s="11" t="n">
        <v>31.05</v>
      </c>
      <c r="R1966" s="11" t="n">
        <f aca="false">SUM(K1966:Q1966)</f>
        <v>208.8472</v>
      </c>
      <c r="S1966" s="11" t="n">
        <f aca="false">R1966/(1-Resumo!$C$6)</f>
        <v>237.326363636364</v>
      </c>
      <c r="T1966" s="11" t="n">
        <f aca="false">S1966-J1966</f>
        <v>81.9463636363637</v>
      </c>
      <c r="U1966" s="12" t="n">
        <f aca="false">IFERROR(S1966/J1966-1,0)</f>
        <v>0.527393252904902</v>
      </c>
      <c r="V1966" s="2" t="str">
        <f aca="false">IF(S1966&lt;J1966,"SIM","NÃO")</f>
        <v>NÃO</v>
      </c>
      <c r="W1966" s="2" t="n">
        <v>10</v>
      </c>
      <c r="X1966" s="2" t="s">
        <v>156</v>
      </c>
    </row>
    <row r="1967" customFormat="false" ht="15" hidden="false" customHeight="false" outlineLevel="0" collapsed="false">
      <c r="A1967" s="2" t="n">
        <v>397626794</v>
      </c>
      <c r="B1967" s="29" t="n">
        <v>46286.3524768519</v>
      </c>
      <c r="C1967" s="2" t="s">
        <v>153</v>
      </c>
      <c r="D1967" s="2" t="s">
        <v>1970</v>
      </c>
      <c r="E1967" s="2" t="s">
        <v>82</v>
      </c>
      <c r="F1967" s="2" t="s">
        <v>107</v>
      </c>
      <c r="G1967" s="30" t="n">
        <v>35.3</v>
      </c>
      <c r="H1967" s="11" t="n">
        <v>434.97</v>
      </c>
      <c r="I1967" s="11" t="s">
        <v>155</v>
      </c>
      <c r="J1967" s="11" t="n">
        <v>113.05</v>
      </c>
      <c r="K1967" s="11" t="n">
        <v>114.95</v>
      </c>
      <c r="L1967" s="11" t="n">
        <v>0.435</v>
      </c>
      <c r="M1967" s="11" t="n">
        <v>0.8699</v>
      </c>
      <c r="N1967" s="11" t="n">
        <v>1</v>
      </c>
      <c r="O1967" s="11" t="n">
        <v>4.5</v>
      </c>
      <c r="P1967" s="11" t="n">
        <v>2.16</v>
      </c>
      <c r="Q1967" s="11" t="n">
        <v>16.2</v>
      </c>
      <c r="R1967" s="11" t="n">
        <f aca="false">SUM(K1967:Q1967)</f>
        <v>140.1149</v>
      </c>
      <c r="S1967" s="11" t="n">
        <f aca="false">R1967/(1-Resumo!$C$6)</f>
        <v>159.221477272727</v>
      </c>
      <c r="T1967" s="11" t="n">
        <f aca="false">S1967-J1967</f>
        <v>46.1714772727273</v>
      </c>
      <c r="U1967" s="12" t="n">
        <f aca="false">IFERROR(S1967/J1967-1,0)</f>
        <v>0.408416428772466</v>
      </c>
      <c r="V1967" s="2" t="str">
        <f aca="false">IF(S1967&lt;J1967,"SIM","NÃO")</f>
        <v>NÃO</v>
      </c>
      <c r="W1967" s="2" t="n">
        <v>7</v>
      </c>
      <c r="X1967" s="2" t="s">
        <v>156</v>
      </c>
    </row>
    <row r="1968" customFormat="false" ht="15" hidden="false" customHeight="false" outlineLevel="0" collapsed="false">
      <c r="A1968" s="2" t="n">
        <v>397638991</v>
      </c>
      <c r="B1968" s="29" t="n">
        <v>46286.3742708333</v>
      </c>
      <c r="C1968" s="2" t="s">
        <v>1977</v>
      </c>
      <c r="D1968" s="2" t="s">
        <v>1978</v>
      </c>
      <c r="E1968" s="2" t="s">
        <v>78</v>
      </c>
      <c r="F1968" s="2" t="s">
        <v>106</v>
      </c>
      <c r="G1968" s="30" t="n">
        <v>31.6</v>
      </c>
      <c r="H1968" s="11" t="n">
        <v>2439.99</v>
      </c>
      <c r="I1968" s="11" t="s">
        <v>155</v>
      </c>
      <c r="J1968" s="11" t="n">
        <v>92.02</v>
      </c>
      <c r="K1968" s="11" t="n">
        <v>82.21</v>
      </c>
      <c r="L1968" s="11" t="n">
        <v>2.44</v>
      </c>
      <c r="M1968" s="11" t="n">
        <v>4.88</v>
      </c>
      <c r="N1968" s="11" t="n">
        <v>1</v>
      </c>
      <c r="O1968" s="11" t="n">
        <v>4.5</v>
      </c>
      <c r="P1968" s="11" t="n">
        <v>1.92</v>
      </c>
      <c r="Q1968" s="11" t="n">
        <v>14.4</v>
      </c>
      <c r="R1968" s="11" t="n">
        <f aca="false">SUM(K1968:Q1968)</f>
        <v>111.35</v>
      </c>
      <c r="S1968" s="11" t="n">
        <f aca="false">R1968/(1-Resumo!$C$6)</f>
        <v>126.534090909091</v>
      </c>
      <c r="T1968" s="11" t="n">
        <f aca="false">S1968-J1968</f>
        <v>34.5140909090909</v>
      </c>
      <c r="U1968" s="12" t="n">
        <f aca="false">IFERROR(S1968/J1968-1,0)</f>
        <v>0.375071624745609</v>
      </c>
      <c r="V1968" s="2" t="str">
        <f aca="false">IF(S1968&lt;J1968,"SIM","NÃO")</f>
        <v>NÃO</v>
      </c>
      <c r="W1968" s="2" t="n">
        <v>5</v>
      </c>
      <c r="X1968" s="2" t="s">
        <v>156</v>
      </c>
    </row>
    <row r="1969" customFormat="false" ht="15" hidden="false" customHeight="false" outlineLevel="0" collapsed="false">
      <c r="A1969" s="2" t="n">
        <v>397640246</v>
      </c>
      <c r="B1969" s="29" t="n">
        <v>46286.3870023148</v>
      </c>
      <c r="C1969" s="2" t="s">
        <v>191</v>
      </c>
      <c r="D1969" s="2" t="s">
        <v>1979</v>
      </c>
      <c r="E1969" s="2" t="s">
        <v>78</v>
      </c>
      <c r="F1969" s="2" t="s">
        <v>106</v>
      </c>
      <c r="G1969" s="30" t="n">
        <v>29.2</v>
      </c>
      <c r="H1969" s="11" t="n">
        <v>469.99</v>
      </c>
      <c r="I1969" s="11" t="s">
        <v>155</v>
      </c>
      <c r="J1969" s="11" t="n">
        <v>82.58</v>
      </c>
      <c r="K1969" s="11" t="n">
        <v>82.21</v>
      </c>
      <c r="L1969" s="11" t="n">
        <v>0.47</v>
      </c>
      <c r="M1969" s="11" t="n">
        <v>0.94</v>
      </c>
      <c r="N1969" s="11" t="n">
        <v>1</v>
      </c>
      <c r="O1969" s="11" t="n">
        <v>4.5</v>
      </c>
      <c r="P1969" s="11" t="n">
        <v>1.8</v>
      </c>
      <c r="Q1969" s="11" t="n">
        <v>13.5</v>
      </c>
      <c r="R1969" s="11" t="n">
        <f aca="false">SUM(K1969:Q1969)</f>
        <v>104.42</v>
      </c>
      <c r="S1969" s="11" t="n">
        <f aca="false">R1969/(1-Resumo!$C$6)</f>
        <v>118.659090909091</v>
      </c>
      <c r="T1969" s="11" t="n">
        <f aca="false">S1969-J1969</f>
        <v>36.0790909090909</v>
      </c>
      <c r="U1969" s="12" t="n">
        <f aca="false">IFERROR(S1969/J1969-1,0)</f>
        <v>0.436898654748013</v>
      </c>
      <c r="V1969" s="2" t="str">
        <f aca="false">IF(S1969&lt;J1969,"SIM","NÃO")</f>
        <v>NÃO</v>
      </c>
      <c r="W1969" s="2" t="n">
        <v>5</v>
      </c>
      <c r="X1969" s="2" t="s">
        <v>156</v>
      </c>
    </row>
    <row r="1970" customFormat="false" ht="15" hidden="false" customHeight="false" outlineLevel="0" collapsed="false">
      <c r="A1970" s="2" t="n">
        <v>397644715</v>
      </c>
      <c r="B1970" s="29" t="n">
        <v>46286.3931944444</v>
      </c>
      <c r="C1970" s="2" t="s">
        <v>153</v>
      </c>
      <c r="D1970" s="2" t="s">
        <v>936</v>
      </c>
      <c r="E1970" s="2" t="s">
        <v>937</v>
      </c>
      <c r="F1970" s="2" t="s">
        <v>107</v>
      </c>
      <c r="G1970" s="30" t="n">
        <v>37.2</v>
      </c>
      <c r="H1970" s="11" t="n">
        <v>366.5</v>
      </c>
      <c r="I1970" s="11" t="s">
        <v>155</v>
      </c>
      <c r="J1970" s="11" t="n">
        <v>122</v>
      </c>
      <c r="K1970" s="11" t="n">
        <v>143.04</v>
      </c>
      <c r="L1970" s="11" t="n">
        <v>0.3665</v>
      </c>
      <c r="M1970" s="11" t="n">
        <v>0.733</v>
      </c>
      <c r="N1970" s="11" t="n">
        <v>1</v>
      </c>
      <c r="O1970" s="11" t="n">
        <v>4.5</v>
      </c>
      <c r="P1970" s="11" t="n">
        <v>2.28</v>
      </c>
      <c r="Q1970" s="11" t="n">
        <v>17.1</v>
      </c>
      <c r="R1970" s="11" t="n">
        <f aca="false">SUM(K1970:Q1970)</f>
        <v>169.0195</v>
      </c>
      <c r="S1970" s="11" t="n">
        <f aca="false">R1970/(1-Resumo!$C$6)</f>
        <v>192.067613636364</v>
      </c>
      <c r="T1970" s="11" t="n">
        <f aca="false">S1970-J1970</f>
        <v>70.0676136363636</v>
      </c>
      <c r="U1970" s="12" t="n">
        <f aca="false">IFERROR(S1970/J1970-1,0)</f>
        <v>0.574324701937407</v>
      </c>
      <c r="V1970" s="2" t="str">
        <f aca="false">IF(S1970&lt;J1970,"SIM","NÃO")</f>
        <v>NÃO</v>
      </c>
      <c r="W1970" s="2" t="n">
        <v>11</v>
      </c>
      <c r="X1970" s="2" t="s">
        <v>161</v>
      </c>
    </row>
    <row r="1971" customFormat="false" ht="15" hidden="false" customHeight="false" outlineLevel="0" collapsed="false">
      <c r="A1971" s="2" t="n">
        <v>397675588</v>
      </c>
      <c r="B1971" s="29" t="n">
        <v>46286.4452314815</v>
      </c>
      <c r="C1971" s="2" t="s">
        <v>158</v>
      </c>
      <c r="D1971" s="2" t="s">
        <v>435</v>
      </c>
      <c r="E1971" s="2" t="s">
        <v>436</v>
      </c>
      <c r="F1971" s="2" t="s">
        <v>110</v>
      </c>
      <c r="G1971" s="30" t="n">
        <v>66.8</v>
      </c>
      <c r="H1971" s="11" t="n">
        <v>691.9</v>
      </c>
      <c r="I1971" s="11" t="s">
        <v>155</v>
      </c>
      <c r="J1971" s="11" t="n">
        <v>155.33</v>
      </c>
      <c r="K1971" s="11" t="n">
        <v>166.05</v>
      </c>
      <c r="L1971" s="11" t="n">
        <v>0.6919</v>
      </c>
      <c r="M1971" s="11" t="n">
        <v>1.3838</v>
      </c>
      <c r="N1971" s="11" t="n">
        <v>1</v>
      </c>
      <c r="O1971" s="11" t="n">
        <v>4.5</v>
      </c>
      <c r="P1971" s="11" t="n">
        <v>4.02</v>
      </c>
      <c r="Q1971" s="11" t="n">
        <v>30.15</v>
      </c>
      <c r="R1971" s="11" t="n">
        <f aca="false">SUM(K1971:Q1971)</f>
        <v>207.7957</v>
      </c>
      <c r="S1971" s="11" t="n">
        <f aca="false">R1971/(1-Resumo!$C$6)</f>
        <v>236.131477272727</v>
      </c>
      <c r="T1971" s="11" t="n">
        <f aca="false">S1971-J1971</f>
        <v>80.8014772727273</v>
      </c>
      <c r="U1971" s="12" t="n">
        <f aca="false">IFERROR(S1971/J1971-1,0)</f>
        <v>0.520192347085092</v>
      </c>
      <c r="V1971" s="2" t="str">
        <f aca="false">IF(S1971&lt;J1971,"SIM","NÃO")</f>
        <v>NÃO</v>
      </c>
      <c r="W1971" s="2" t="n">
        <v>10</v>
      </c>
      <c r="X1971" s="2" t="s">
        <v>161</v>
      </c>
    </row>
    <row r="1972" customFormat="false" ht="15" hidden="false" customHeight="false" outlineLevel="0" collapsed="false">
      <c r="A1972" s="2" t="n">
        <v>397678943</v>
      </c>
      <c r="B1972" s="29" t="n">
        <v>46286.4523726852</v>
      </c>
      <c r="C1972" s="2" t="s">
        <v>153</v>
      </c>
      <c r="D1972" s="2" t="s">
        <v>1980</v>
      </c>
      <c r="E1972" s="2" t="s">
        <v>78</v>
      </c>
      <c r="F1972" s="2" t="s">
        <v>107</v>
      </c>
      <c r="G1972" s="30" t="n">
        <v>40</v>
      </c>
      <c r="H1972" s="11" t="n">
        <v>599.99</v>
      </c>
      <c r="I1972" s="11" t="s">
        <v>155</v>
      </c>
      <c r="J1972" s="11" t="n">
        <v>92.73</v>
      </c>
      <c r="K1972" s="11" t="n">
        <v>93.97</v>
      </c>
      <c r="L1972" s="11" t="n">
        <v>0.6</v>
      </c>
      <c r="M1972" s="11" t="n">
        <v>1.2</v>
      </c>
      <c r="N1972" s="11" t="n">
        <v>1</v>
      </c>
      <c r="O1972" s="11" t="n">
        <v>4.5</v>
      </c>
      <c r="P1972" s="11" t="n">
        <v>2.4</v>
      </c>
      <c r="Q1972" s="11" t="n">
        <v>18</v>
      </c>
      <c r="R1972" s="11" t="n">
        <f aca="false">SUM(K1972:Q1972)</f>
        <v>121.67</v>
      </c>
      <c r="S1972" s="11" t="n">
        <f aca="false">R1972/(1-Resumo!$C$6)</f>
        <v>138.261363636364</v>
      </c>
      <c r="T1972" s="11" t="n">
        <f aca="false">S1972-J1972</f>
        <v>45.5313636363636</v>
      </c>
      <c r="U1972" s="12" t="n">
        <f aca="false">IFERROR(S1972/J1972-1,0)</f>
        <v>0.491010068331323</v>
      </c>
      <c r="V1972" s="2" t="str">
        <f aca="false">IF(S1972&lt;J1972,"SIM","NÃO")</f>
        <v>NÃO</v>
      </c>
      <c r="W1972" s="2" t="n">
        <v>5</v>
      </c>
      <c r="X1972" s="2" t="s">
        <v>156</v>
      </c>
    </row>
    <row r="1973" customFormat="false" ht="15" hidden="false" customHeight="false" outlineLevel="0" collapsed="false">
      <c r="A1973" s="2" t="n">
        <v>397684057</v>
      </c>
      <c r="B1973" s="29" t="n">
        <v>46286.4631944444</v>
      </c>
      <c r="C1973" s="2" t="s">
        <v>153</v>
      </c>
      <c r="D1973" s="2" t="s">
        <v>1730</v>
      </c>
      <c r="E1973" s="2" t="s">
        <v>85</v>
      </c>
      <c r="F1973" s="2" t="s">
        <v>106</v>
      </c>
      <c r="G1973" s="30" t="n">
        <v>33</v>
      </c>
      <c r="H1973" s="11" t="n">
        <v>438.93</v>
      </c>
      <c r="I1973" s="11" t="s">
        <v>155</v>
      </c>
      <c r="J1973" s="11" t="n">
        <v>109.28</v>
      </c>
      <c r="K1973" s="11" t="n">
        <v>138.29</v>
      </c>
      <c r="L1973" s="11" t="n">
        <v>0.4389</v>
      </c>
      <c r="M1973" s="11" t="n">
        <v>0.8779</v>
      </c>
      <c r="N1973" s="11" t="n">
        <v>1</v>
      </c>
      <c r="O1973" s="11" t="n">
        <v>4.5</v>
      </c>
      <c r="P1973" s="11" t="n">
        <v>1.98</v>
      </c>
      <c r="Q1973" s="11" t="n">
        <v>14.85</v>
      </c>
      <c r="R1973" s="11" t="n">
        <f aca="false">SUM(K1973:Q1973)</f>
        <v>161.9368</v>
      </c>
      <c r="S1973" s="11" t="n">
        <f aca="false">R1973/(1-Resumo!$C$6)</f>
        <v>184.019090909091</v>
      </c>
      <c r="T1973" s="11" t="n">
        <f aca="false">S1973-J1973</f>
        <v>74.7390909090909</v>
      </c>
      <c r="U1973" s="12" t="n">
        <f aca="false">IFERROR(S1973/J1973-1,0)</f>
        <v>0.68392286703048</v>
      </c>
      <c r="V1973" s="2" t="str">
        <f aca="false">IF(S1973&lt;J1973,"SIM","NÃO")</f>
        <v>NÃO</v>
      </c>
      <c r="W1973" s="2" t="n">
        <v>11</v>
      </c>
      <c r="X1973" s="2" t="s">
        <v>156</v>
      </c>
    </row>
    <row r="1974" customFormat="false" ht="15" hidden="false" customHeight="false" outlineLevel="0" collapsed="false">
      <c r="A1974" s="2" t="n">
        <v>397749148</v>
      </c>
      <c r="B1974" s="29" t="n">
        <v>46286.5816782407</v>
      </c>
      <c r="C1974" s="2" t="s">
        <v>369</v>
      </c>
      <c r="D1974" s="2" t="s">
        <v>1981</v>
      </c>
      <c r="E1974" s="2" t="s">
        <v>78</v>
      </c>
      <c r="F1974" s="2" t="s">
        <v>109</v>
      </c>
      <c r="G1974" s="30" t="n">
        <v>52.3</v>
      </c>
      <c r="H1974" s="11" t="n">
        <v>699.99</v>
      </c>
      <c r="I1974" s="11" t="s">
        <v>155</v>
      </c>
      <c r="J1974" s="11" t="n">
        <v>114.5</v>
      </c>
      <c r="K1974" s="11" t="n">
        <v>112.3</v>
      </c>
      <c r="L1974" s="11" t="n">
        <v>0.7</v>
      </c>
      <c r="M1974" s="11" t="n">
        <v>1.4</v>
      </c>
      <c r="N1974" s="11" t="n">
        <v>1</v>
      </c>
      <c r="O1974" s="11" t="n">
        <v>4.5</v>
      </c>
      <c r="P1974" s="11" t="n">
        <v>3.18</v>
      </c>
      <c r="Q1974" s="11" t="n">
        <v>23.85</v>
      </c>
      <c r="R1974" s="11" t="n">
        <f aca="false">SUM(K1974:Q1974)</f>
        <v>146.93</v>
      </c>
      <c r="S1974" s="11" t="n">
        <f aca="false">R1974/(1-Resumo!$C$6)</f>
        <v>166.965909090909</v>
      </c>
      <c r="T1974" s="11" t="n">
        <f aca="false">S1974-J1974</f>
        <v>52.4659090909091</v>
      </c>
      <c r="U1974" s="12" t="n">
        <f aca="false">IFERROR(S1974/J1974-1,0)</f>
        <v>0.458217546645494</v>
      </c>
      <c r="V1974" s="2" t="str">
        <f aca="false">IF(S1974&lt;J1974,"SIM","NÃO")</f>
        <v>NÃO</v>
      </c>
      <c r="W1974" s="2" t="n">
        <v>5</v>
      </c>
      <c r="X1974" s="2" t="s">
        <v>156</v>
      </c>
    </row>
    <row r="1975" customFormat="false" ht="15" hidden="false" customHeight="false" outlineLevel="0" collapsed="false">
      <c r="A1975" s="2" t="n">
        <v>397748218</v>
      </c>
      <c r="B1975" s="29" t="n">
        <v>46286.599212963</v>
      </c>
      <c r="C1975" s="2" t="s">
        <v>158</v>
      </c>
      <c r="D1975" s="2" t="s">
        <v>1982</v>
      </c>
      <c r="E1975" s="2" t="s">
        <v>78</v>
      </c>
      <c r="F1975" s="2" t="s">
        <v>109</v>
      </c>
      <c r="G1975" s="30" t="n">
        <v>50.6</v>
      </c>
      <c r="H1975" s="11" t="n">
        <v>563.75</v>
      </c>
      <c r="I1975" s="11" t="s">
        <v>155</v>
      </c>
      <c r="J1975" s="11" t="n">
        <v>113.85</v>
      </c>
      <c r="K1975" s="11" t="n">
        <v>112.3</v>
      </c>
      <c r="L1975" s="11" t="n">
        <v>0.5638</v>
      </c>
      <c r="M1975" s="11" t="n">
        <v>1.1275</v>
      </c>
      <c r="N1975" s="11" t="n">
        <v>1</v>
      </c>
      <c r="O1975" s="11" t="n">
        <v>4.5</v>
      </c>
      <c r="P1975" s="11" t="n">
        <v>3.06</v>
      </c>
      <c r="Q1975" s="11" t="n">
        <v>22.95</v>
      </c>
      <c r="R1975" s="11" t="n">
        <f aca="false">SUM(K1975:Q1975)</f>
        <v>145.5013</v>
      </c>
      <c r="S1975" s="11" t="n">
        <f aca="false">R1975/(1-Resumo!$C$6)</f>
        <v>165.342386363636</v>
      </c>
      <c r="T1975" s="11" t="n">
        <f aca="false">S1975-J1975</f>
        <v>51.4923863636363</v>
      </c>
      <c r="U1975" s="12" t="n">
        <f aca="false">IFERROR(S1975/J1975-1,0)</f>
        <v>0.452282708508005</v>
      </c>
      <c r="V1975" s="2" t="str">
        <f aca="false">IF(S1975&lt;J1975,"SIM","NÃO")</f>
        <v>NÃO</v>
      </c>
      <c r="W1975" s="2" t="n">
        <v>5</v>
      </c>
      <c r="X1975" s="2" t="s">
        <v>156</v>
      </c>
    </row>
    <row r="1976" customFormat="false" ht="15" hidden="false" customHeight="false" outlineLevel="0" collapsed="false">
      <c r="A1976" s="2" t="n">
        <v>397769065</v>
      </c>
      <c r="B1976" s="29" t="n">
        <v>46286.6438425926</v>
      </c>
      <c r="C1976" s="2" t="s">
        <v>158</v>
      </c>
      <c r="D1976" s="2" t="s">
        <v>1983</v>
      </c>
      <c r="E1976" s="2" t="s">
        <v>81</v>
      </c>
      <c r="F1976" s="2" t="s">
        <v>110</v>
      </c>
      <c r="G1976" s="30" t="n">
        <v>66.8</v>
      </c>
      <c r="H1976" s="11" t="n">
        <v>675.54</v>
      </c>
      <c r="I1976" s="11" t="s">
        <v>155</v>
      </c>
      <c r="J1976" s="11" t="n">
        <v>139.67</v>
      </c>
      <c r="K1976" s="11" t="n">
        <v>131.02</v>
      </c>
      <c r="L1976" s="11" t="n">
        <v>0.6755</v>
      </c>
      <c r="M1976" s="11" t="n">
        <v>1.3511</v>
      </c>
      <c r="N1976" s="11" t="n">
        <v>1</v>
      </c>
      <c r="O1976" s="11" t="n">
        <v>4.5</v>
      </c>
      <c r="P1976" s="11" t="n">
        <v>4.02</v>
      </c>
      <c r="Q1976" s="11" t="n">
        <v>30.15</v>
      </c>
      <c r="R1976" s="11" t="n">
        <f aca="false">SUM(K1976:Q1976)</f>
        <v>172.7166</v>
      </c>
      <c r="S1976" s="11" t="n">
        <f aca="false">R1976/(1-Resumo!$C$6)</f>
        <v>196.268863636364</v>
      </c>
      <c r="T1976" s="11" t="n">
        <f aca="false">S1976-J1976</f>
        <v>56.5988636363637</v>
      </c>
      <c r="U1976" s="12" t="n">
        <f aca="false">IFERROR(S1976/J1976-1,0)</f>
        <v>0.405232788976614</v>
      </c>
      <c r="V1976" s="2" t="str">
        <f aca="false">IF(S1976&lt;J1976,"SIM","NÃO")</f>
        <v>NÃO</v>
      </c>
      <c r="W1976" s="2" t="n">
        <v>5</v>
      </c>
      <c r="X1976" s="2" t="s">
        <v>156</v>
      </c>
    </row>
    <row r="1977" customFormat="false" ht="15" hidden="false" customHeight="false" outlineLevel="0" collapsed="false">
      <c r="A1977" s="2" t="n">
        <v>397769222</v>
      </c>
      <c r="B1977" s="29" t="n">
        <v>46286.6440509259</v>
      </c>
      <c r="C1977" s="2" t="s">
        <v>153</v>
      </c>
      <c r="D1977" s="2" t="s">
        <v>1984</v>
      </c>
      <c r="E1977" s="2" t="s">
        <v>78</v>
      </c>
      <c r="F1977" s="2" t="s">
        <v>106</v>
      </c>
      <c r="G1977" s="30" t="n">
        <v>21.5</v>
      </c>
      <c r="H1977" s="11" t="n">
        <v>299.99</v>
      </c>
      <c r="I1977" s="11" t="s">
        <v>155</v>
      </c>
      <c r="J1977" s="11" t="n">
        <v>81.76</v>
      </c>
      <c r="K1977" s="11" t="n">
        <v>82.21</v>
      </c>
      <c r="L1977" s="11" t="n">
        <v>0.3</v>
      </c>
      <c r="M1977" s="11" t="n">
        <v>0.6</v>
      </c>
      <c r="N1977" s="11" t="n">
        <v>1</v>
      </c>
      <c r="O1977" s="11" t="n">
        <v>4.5</v>
      </c>
      <c r="P1977" s="11" t="n">
        <v>1.32</v>
      </c>
      <c r="Q1977" s="11" t="n">
        <v>9.9</v>
      </c>
      <c r="R1977" s="11" t="n">
        <f aca="false">SUM(K1977:Q1977)</f>
        <v>99.83</v>
      </c>
      <c r="S1977" s="11" t="n">
        <f aca="false">R1977/(1-Resumo!$C$6)</f>
        <v>113.443181818182</v>
      </c>
      <c r="T1977" s="11" t="n">
        <f aca="false">S1977-J1977</f>
        <v>31.6831818181818</v>
      </c>
      <c r="U1977" s="12" t="n">
        <f aca="false">IFERROR(S1977/J1977-1,0)</f>
        <v>0.387514454723359</v>
      </c>
      <c r="V1977" s="2" t="str">
        <f aca="false">IF(S1977&lt;J1977,"SIM","NÃO")</f>
        <v>NÃO</v>
      </c>
      <c r="W1977" s="2" t="n">
        <v>5</v>
      </c>
      <c r="X1977" s="2" t="s">
        <v>156</v>
      </c>
    </row>
    <row r="1978" customFormat="false" ht="15" hidden="false" customHeight="false" outlineLevel="0" collapsed="false">
      <c r="A1978" s="2" t="n">
        <v>397804460</v>
      </c>
      <c r="B1978" s="29" t="n">
        <v>46286.7103125</v>
      </c>
      <c r="C1978" s="2" t="s">
        <v>153</v>
      </c>
      <c r="D1978" s="2" t="s">
        <v>1985</v>
      </c>
      <c r="E1978" s="2" t="s">
        <v>78</v>
      </c>
      <c r="F1978" s="2" t="s">
        <v>106</v>
      </c>
      <c r="G1978" s="30" t="n">
        <v>22.9</v>
      </c>
      <c r="H1978" s="11" t="n">
        <v>349.99</v>
      </c>
      <c r="I1978" s="11" t="s">
        <v>155</v>
      </c>
      <c r="J1978" s="11" t="n">
        <v>82</v>
      </c>
      <c r="K1978" s="11" t="n">
        <v>82.21</v>
      </c>
      <c r="L1978" s="11" t="n">
        <v>0.35</v>
      </c>
      <c r="M1978" s="11" t="n">
        <v>0.7</v>
      </c>
      <c r="N1978" s="11" t="n">
        <v>1</v>
      </c>
      <c r="O1978" s="11" t="n">
        <v>4.5</v>
      </c>
      <c r="P1978" s="11" t="n">
        <v>1.38</v>
      </c>
      <c r="Q1978" s="11" t="n">
        <v>10.35</v>
      </c>
      <c r="R1978" s="11" t="n">
        <f aca="false">SUM(K1978:Q1978)</f>
        <v>100.49</v>
      </c>
      <c r="S1978" s="11" t="n">
        <f aca="false">R1978/(1-Resumo!$C$6)</f>
        <v>114.193181818182</v>
      </c>
      <c r="T1978" s="11" t="n">
        <f aca="false">S1978-J1978</f>
        <v>32.1931818181818</v>
      </c>
      <c r="U1978" s="12" t="n">
        <f aca="false">IFERROR(S1978/J1978-1,0)</f>
        <v>0.39259977827051</v>
      </c>
      <c r="V1978" s="2" t="str">
        <f aca="false">IF(S1978&lt;J1978,"SIM","NÃO")</f>
        <v>NÃO</v>
      </c>
      <c r="W1978" s="2" t="n">
        <v>5</v>
      </c>
      <c r="X1978" s="2" t="s">
        <v>156</v>
      </c>
    </row>
    <row r="1979" customFormat="false" ht="15" hidden="false" customHeight="false" outlineLevel="0" collapsed="false">
      <c r="A1979" s="2" t="n">
        <v>397807096</v>
      </c>
      <c r="B1979" s="29" t="n">
        <v>46286.7157060185</v>
      </c>
      <c r="C1979" s="2" t="s">
        <v>153</v>
      </c>
      <c r="D1979" s="2" t="s">
        <v>1877</v>
      </c>
      <c r="E1979" s="2" t="s">
        <v>255</v>
      </c>
      <c r="F1979" s="2" t="s">
        <v>106</v>
      </c>
      <c r="G1979" s="30" t="n">
        <v>30.5</v>
      </c>
      <c r="H1979" s="11" t="n">
        <v>406.6</v>
      </c>
      <c r="I1979" s="11" t="s">
        <v>155</v>
      </c>
      <c r="J1979" s="11" t="n">
        <v>109.13</v>
      </c>
      <c r="K1979" s="11" t="n">
        <v>114.95</v>
      </c>
      <c r="L1979" s="11" t="n">
        <v>0.4066</v>
      </c>
      <c r="M1979" s="11" t="n">
        <v>0.8132</v>
      </c>
      <c r="N1979" s="11" t="n">
        <v>1</v>
      </c>
      <c r="O1979" s="11" t="n">
        <v>4.5</v>
      </c>
      <c r="P1979" s="11" t="n">
        <v>1.86</v>
      </c>
      <c r="Q1979" s="11" t="n">
        <v>13.95</v>
      </c>
      <c r="R1979" s="11" t="n">
        <f aca="false">SUM(K1979:Q1979)</f>
        <v>137.4798</v>
      </c>
      <c r="S1979" s="11" t="n">
        <f aca="false">R1979/(1-Resumo!$C$6)</f>
        <v>156.227045454545</v>
      </c>
      <c r="T1979" s="11" t="n">
        <f aca="false">S1979-J1979</f>
        <v>47.0970454545455</v>
      </c>
      <c r="U1979" s="12" t="n">
        <f aca="false">IFERROR(S1979/J1979-1,0)</f>
        <v>0.431568271369426</v>
      </c>
      <c r="V1979" s="2" t="str">
        <f aca="false">IF(S1979&lt;J1979,"SIM","NÃO")</f>
        <v>NÃO</v>
      </c>
      <c r="W1979" s="2" t="n">
        <v>10</v>
      </c>
      <c r="X1979" s="2" t="s">
        <v>161</v>
      </c>
    </row>
    <row r="1980" customFormat="false" ht="15" hidden="false" customHeight="false" outlineLevel="0" collapsed="false">
      <c r="A1980" s="2" t="n">
        <v>397821261</v>
      </c>
      <c r="B1980" s="29" t="n">
        <v>46286.7389930556</v>
      </c>
      <c r="C1980" s="2" t="s">
        <v>153</v>
      </c>
      <c r="D1980" s="2" t="s">
        <v>1419</v>
      </c>
      <c r="E1980" s="2" t="s">
        <v>78</v>
      </c>
      <c r="F1980" s="2" t="s">
        <v>107</v>
      </c>
      <c r="G1980" s="30" t="n">
        <v>35.3</v>
      </c>
      <c r="H1980" s="11" t="n">
        <v>434.97</v>
      </c>
      <c r="I1980" s="11" t="s">
        <v>155</v>
      </c>
      <c r="J1980" s="11" t="n">
        <v>91.94</v>
      </c>
      <c r="K1980" s="11" t="n">
        <v>93.97</v>
      </c>
      <c r="L1980" s="11" t="n">
        <v>0.435</v>
      </c>
      <c r="M1980" s="11" t="n">
        <v>0.8699</v>
      </c>
      <c r="N1980" s="11" t="n">
        <v>1</v>
      </c>
      <c r="O1980" s="11" t="n">
        <v>4.5</v>
      </c>
      <c r="P1980" s="11" t="n">
        <v>2.16</v>
      </c>
      <c r="Q1980" s="11" t="n">
        <v>16.2</v>
      </c>
      <c r="R1980" s="11" t="n">
        <f aca="false">SUM(K1980:Q1980)</f>
        <v>119.1349</v>
      </c>
      <c r="S1980" s="11" t="n">
        <f aca="false">R1980/(1-Resumo!$C$6)</f>
        <v>135.380568181818</v>
      </c>
      <c r="T1980" s="11" t="n">
        <f aca="false">S1980-J1980</f>
        <v>43.4405681818182</v>
      </c>
      <c r="U1980" s="12" t="n">
        <f aca="false">IFERROR(S1980/J1980-1,0)</f>
        <v>0.472488233432871</v>
      </c>
      <c r="V1980" s="2" t="str">
        <f aca="false">IF(S1980&lt;J1980,"SIM","NÃO")</f>
        <v>NÃO</v>
      </c>
      <c r="W1980" s="2" t="n">
        <v>5</v>
      </c>
      <c r="X1980" s="2" t="s">
        <v>156</v>
      </c>
    </row>
    <row r="1981" customFormat="false" ht="15" hidden="false" customHeight="false" outlineLevel="0" collapsed="false">
      <c r="A1981" s="2" t="n">
        <v>397847078</v>
      </c>
      <c r="B1981" s="29" t="n">
        <v>46286.7621990741</v>
      </c>
      <c r="C1981" s="2" t="s">
        <v>369</v>
      </c>
      <c r="D1981" s="2" t="s">
        <v>1986</v>
      </c>
      <c r="E1981" s="2" t="s">
        <v>79</v>
      </c>
      <c r="F1981" s="2" t="s">
        <v>108</v>
      </c>
      <c r="G1981" s="30" t="n">
        <v>49.6</v>
      </c>
      <c r="H1981" s="11" t="n">
        <v>749.99</v>
      </c>
      <c r="I1981" s="11" t="s">
        <v>155</v>
      </c>
      <c r="J1981" s="11" t="n">
        <v>117.67</v>
      </c>
      <c r="K1981" s="11" t="n">
        <v>114.95</v>
      </c>
      <c r="L1981" s="11" t="n">
        <v>0.75</v>
      </c>
      <c r="M1981" s="11" t="n">
        <v>1.5</v>
      </c>
      <c r="N1981" s="11" t="n">
        <v>1</v>
      </c>
      <c r="O1981" s="11" t="n">
        <v>4.5</v>
      </c>
      <c r="P1981" s="11" t="n">
        <v>3</v>
      </c>
      <c r="Q1981" s="11" t="n">
        <v>22.5</v>
      </c>
      <c r="R1981" s="11" t="n">
        <f aca="false">SUM(K1981:Q1981)</f>
        <v>148.2</v>
      </c>
      <c r="S1981" s="11" t="n">
        <f aca="false">R1981/(1-Resumo!$C$6)</f>
        <v>168.409090909091</v>
      </c>
      <c r="T1981" s="11" t="n">
        <f aca="false">S1981-J1981</f>
        <v>50.7390909090909</v>
      </c>
      <c r="U1981" s="12" t="n">
        <f aca="false">IFERROR(S1981/J1981-1,0)</f>
        <v>0.431198189080402</v>
      </c>
      <c r="V1981" s="2" t="str">
        <f aca="false">IF(S1981&lt;J1981,"SIM","NÃO")</f>
        <v>NÃO</v>
      </c>
      <c r="W1981" s="2" t="n">
        <v>7</v>
      </c>
      <c r="X1981" s="2" t="s">
        <v>156</v>
      </c>
    </row>
    <row r="1982" customFormat="false" ht="15" hidden="false" customHeight="false" outlineLevel="0" collapsed="false">
      <c r="A1982" s="2" t="n">
        <v>397848628</v>
      </c>
      <c r="B1982" s="29" t="n">
        <v>46286.7919444444</v>
      </c>
      <c r="C1982" s="2" t="s">
        <v>153</v>
      </c>
      <c r="D1982" s="2" t="s">
        <v>1987</v>
      </c>
      <c r="E1982" s="2" t="s">
        <v>85</v>
      </c>
      <c r="F1982" s="2" t="s">
        <v>106</v>
      </c>
      <c r="G1982" s="30" t="n">
        <v>33</v>
      </c>
      <c r="H1982" s="11" t="n">
        <v>438.93</v>
      </c>
      <c r="I1982" s="11" t="s">
        <v>155</v>
      </c>
      <c r="J1982" s="11" t="n">
        <v>109.28</v>
      </c>
      <c r="K1982" s="11" t="n">
        <v>138.29</v>
      </c>
      <c r="L1982" s="11" t="n">
        <v>0.4389</v>
      </c>
      <c r="M1982" s="11" t="n">
        <v>0.8779</v>
      </c>
      <c r="N1982" s="11" t="n">
        <v>1</v>
      </c>
      <c r="O1982" s="11" t="n">
        <v>4.5</v>
      </c>
      <c r="P1982" s="11" t="n">
        <v>1.98</v>
      </c>
      <c r="Q1982" s="11" t="n">
        <v>14.85</v>
      </c>
      <c r="R1982" s="11" t="n">
        <f aca="false">SUM(K1982:Q1982)</f>
        <v>161.9368</v>
      </c>
      <c r="S1982" s="11" t="n">
        <f aca="false">R1982/(1-Resumo!$C$6)</f>
        <v>184.019090909091</v>
      </c>
      <c r="T1982" s="11" t="n">
        <f aca="false">S1982-J1982</f>
        <v>74.7390909090909</v>
      </c>
      <c r="U1982" s="12" t="n">
        <f aca="false">IFERROR(S1982/J1982-1,0)</f>
        <v>0.68392286703048</v>
      </c>
      <c r="V1982" s="2" t="str">
        <f aca="false">IF(S1982&lt;J1982,"SIM","NÃO")</f>
        <v>NÃO</v>
      </c>
      <c r="W1982" s="2" t="n">
        <v>11</v>
      </c>
      <c r="X1982" s="2" t="s">
        <v>156</v>
      </c>
    </row>
    <row r="1983" customFormat="false" ht="15" hidden="false" customHeight="false" outlineLevel="0" collapsed="false">
      <c r="A1983" s="2" t="n">
        <v>397858201</v>
      </c>
      <c r="B1983" s="29" t="n">
        <v>46286.8105092593</v>
      </c>
      <c r="C1983" s="2" t="s">
        <v>158</v>
      </c>
      <c r="D1983" s="2" t="s">
        <v>1988</v>
      </c>
      <c r="E1983" s="2" t="s">
        <v>78</v>
      </c>
      <c r="F1983" s="2" t="s">
        <v>106</v>
      </c>
      <c r="G1983" s="30" t="n">
        <v>31.9</v>
      </c>
      <c r="H1983" s="11" t="n">
        <v>494.99</v>
      </c>
      <c r="I1983" s="11" t="s">
        <v>155</v>
      </c>
      <c r="J1983" s="11" t="n">
        <v>82.69</v>
      </c>
      <c r="K1983" s="11" t="n">
        <v>82.21</v>
      </c>
      <c r="L1983" s="11" t="n">
        <v>0.495</v>
      </c>
      <c r="M1983" s="11" t="n">
        <v>0.99</v>
      </c>
      <c r="N1983" s="11" t="n">
        <v>1</v>
      </c>
      <c r="O1983" s="11" t="n">
        <v>4.5</v>
      </c>
      <c r="P1983" s="11" t="n">
        <v>1.92</v>
      </c>
      <c r="Q1983" s="11" t="n">
        <v>14.4</v>
      </c>
      <c r="R1983" s="11" t="n">
        <f aca="false">SUM(K1983:Q1983)</f>
        <v>105.515</v>
      </c>
      <c r="S1983" s="11" t="n">
        <f aca="false">R1983/(1-Resumo!$C$6)</f>
        <v>119.903409090909</v>
      </c>
      <c r="T1983" s="11" t="n">
        <f aca="false">S1983-J1983</f>
        <v>37.2134090909091</v>
      </c>
      <c r="U1983" s="12" t="n">
        <f aca="false">IFERROR(S1983/J1983-1,0)</f>
        <v>0.450035180685804</v>
      </c>
      <c r="V1983" s="2" t="str">
        <f aca="false">IF(S1983&lt;J1983,"SIM","NÃO")</f>
        <v>NÃO</v>
      </c>
      <c r="W1983" s="2" t="n">
        <v>5</v>
      </c>
      <c r="X1983" s="2" t="s">
        <v>156</v>
      </c>
    </row>
    <row r="1984" customFormat="false" ht="15" hidden="false" customHeight="false" outlineLevel="0" collapsed="false">
      <c r="A1984" s="2" t="n">
        <v>397875357</v>
      </c>
      <c r="B1984" s="29" t="n">
        <v>46286.8386458333</v>
      </c>
      <c r="C1984" s="2" t="s">
        <v>153</v>
      </c>
      <c r="D1984" s="2" t="s">
        <v>1989</v>
      </c>
      <c r="E1984" s="2" t="s">
        <v>78</v>
      </c>
      <c r="F1984" s="2" t="s">
        <v>108</v>
      </c>
      <c r="G1984" s="30" t="n">
        <v>43.5</v>
      </c>
      <c r="H1984" s="11" t="n">
        <v>662.38</v>
      </c>
      <c r="I1984" s="11" t="s">
        <v>155</v>
      </c>
      <c r="J1984" s="11" t="n">
        <v>103.75</v>
      </c>
      <c r="K1984" s="11" t="n">
        <v>93.97</v>
      </c>
      <c r="L1984" s="11" t="n">
        <v>0.6624</v>
      </c>
      <c r="M1984" s="11" t="n">
        <v>1.3248</v>
      </c>
      <c r="N1984" s="11" t="n">
        <v>1</v>
      </c>
      <c r="O1984" s="11" t="n">
        <v>4.5</v>
      </c>
      <c r="P1984" s="11" t="n">
        <v>2.64</v>
      </c>
      <c r="Q1984" s="11" t="n">
        <v>19.8</v>
      </c>
      <c r="R1984" s="11" t="n">
        <f aca="false">SUM(K1984:Q1984)</f>
        <v>123.8972</v>
      </c>
      <c r="S1984" s="11" t="n">
        <f aca="false">R1984/(1-Resumo!$C$6)</f>
        <v>140.792272727273</v>
      </c>
      <c r="T1984" s="11" t="n">
        <f aca="false">S1984-J1984</f>
        <v>37.0422727272727</v>
      </c>
      <c r="U1984" s="12" t="n">
        <f aca="false">IFERROR(S1984/J1984-1,0)</f>
        <v>0.357033953997809</v>
      </c>
      <c r="V1984" s="2" t="str">
        <f aca="false">IF(S1984&lt;J1984,"SIM","NÃO")</f>
        <v>NÃO</v>
      </c>
      <c r="W1984" s="2" t="n">
        <v>5</v>
      </c>
      <c r="X1984" s="2" t="s">
        <v>156</v>
      </c>
    </row>
    <row r="1985" customFormat="false" ht="15" hidden="false" customHeight="false" outlineLevel="0" collapsed="false">
      <c r="A1985" s="2" t="n">
        <v>397888423</v>
      </c>
      <c r="B1985" s="29" t="n">
        <v>46286.860787037</v>
      </c>
      <c r="C1985" s="2" t="s">
        <v>153</v>
      </c>
      <c r="D1985" s="2" t="s">
        <v>1990</v>
      </c>
      <c r="E1985" s="2" t="s">
        <v>80</v>
      </c>
      <c r="F1985" s="2" t="s">
        <v>110</v>
      </c>
      <c r="G1985" s="30" t="n">
        <v>63.9</v>
      </c>
      <c r="H1985" s="11" t="n">
        <v>716.35</v>
      </c>
      <c r="I1985" s="11" t="s">
        <v>155</v>
      </c>
      <c r="J1985" s="11" t="n">
        <v>139.86</v>
      </c>
      <c r="K1985" s="11" t="n">
        <v>131.02</v>
      </c>
      <c r="L1985" s="11" t="n">
        <v>0.7164</v>
      </c>
      <c r="M1985" s="11" t="n">
        <v>1.4327</v>
      </c>
      <c r="N1985" s="11" t="n">
        <v>1</v>
      </c>
      <c r="O1985" s="11" t="n">
        <v>4.5</v>
      </c>
      <c r="P1985" s="11" t="n">
        <v>3.84</v>
      </c>
      <c r="Q1985" s="11" t="n">
        <v>28.8</v>
      </c>
      <c r="R1985" s="11" t="n">
        <f aca="false">SUM(K1985:Q1985)</f>
        <v>171.3091</v>
      </c>
      <c r="S1985" s="11" t="n">
        <f aca="false">R1985/(1-Resumo!$C$6)</f>
        <v>194.669431818182</v>
      </c>
      <c r="T1985" s="11" t="n">
        <f aca="false">S1985-J1985</f>
        <v>54.8094318181819</v>
      </c>
      <c r="U1985" s="12" t="n">
        <f aca="false">IFERROR(S1985/J1985-1,0)</f>
        <v>0.39188782938783</v>
      </c>
      <c r="V1985" s="2" t="str">
        <f aca="false">IF(S1985&lt;J1985,"SIM","NÃO")</f>
        <v>NÃO</v>
      </c>
      <c r="W1985" s="2" t="n">
        <v>5</v>
      </c>
      <c r="X1985" s="2" t="s">
        <v>156</v>
      </c>
    </row>
    <row r="1986" customFormat="false" ht="15" hidden="false" customHeight="false" outlineLevel="0" collapsed="false">
      <c r="A1986" s="2" t="n">
        <v>397893504</v>
      </c>
      <c r="B1986" s="29" t="n">
        <v>46286.8660185185</v>
      </c>
      <c r="C1986" s="2" t="s">
        <v>158</v>
      </c>
      <c r="D1986" s="2" t="s">
        <v>1991</v>
      </c>
      <c r="E1986" s="2" t="s">
        <v>79</v>
      </c>
      <c r="F1986" s="2" t="s">
        <v>112</v>
      </c>
      <c r="G1986" s="30" t="n">
        <v>82.8</v>
      </c>
      <c r="H1986" s="11" t="n">
        <v>879.98</v>
      </c>
      <c r="I1986" s="11" t="s">
        <v>155</v>
      </c>
      <c r="J1986" s="11" t="n">
        <v>173.05</v>
      </c>
      <c r="K1986" s="11" t="n">
        <v>178.42</v>
      </c>
      <c r="L1986" s="11" t="n">
        <v>0.88</v>
      </c>
      <c r="M1986" s="11" t="n">
        <v>1.76</v>
      </c>
      <c r="N1986" s="11" t="n">
        <v>1</v>
      </c>
      <c r="O1986" s="11" t="n">
        <v>4.5</v>
      </c>
      <c r="P1986" s="11" t="n">
        <v>4.98</v>
      </c>
      <c r="Q1986" s="11" t="n">
        <v>37.35</v>
      </c>
      <c r="R1986" s="11" t="n">
        <f aca="false">SUM(K1986:Q1986)</f>
        <v>228.89</v>
      </c>
      <c r="S1986" s="11" t="n">
        <f aca="false">R1986/(1-Resumo!$C$6)</f>
        <v>260.102272727273</v>
      </c>
      <c r="T1986" s="11" t="n">
        <f aca="false">S1986-J1986</f>
        <v>87.0522727272727</v>
      </c>
      <c r="U1986" s="12" t="n">
        <f aca="false">IFERROR(S1986/J1986-1,0)</f>
        <v>0.503046938614693</v>
      </c>
      <c r="V1986" s="2" t="str">
        <f aca="false">IF(S1986&lt;J1986,"SIM","NÃO")</f>
        <v>NÃO</v>
      </c>
      <c r="W1986" s="2" t="n">
        <v>7</v>
      </c>
      <c r="X1986" s="2" t="s">
        <v>156</v>
      </c>
    </row>
    <row r="1987" customFormat="false" ht="15" hidden="false" customHeight="false" outlineLevel="0" collapsed="false">
      <c r="A1987" s="2" t="n">
        <v>397908065</v>
      </c>
      <c r="B1987" s="29" t="n">
        <v>46286.8812152778</v>
      </c>
      <c r="C1987" s="2" t="s">
        <v>158</v>
      </c>
      <c r="D1987" s="2" t="s">
        <v>1375</v>
      </c>
      <c r="E1987" s="2" t="s">
        <v>78</v>
      </c>
      <c r="F1987" s="2" t="s">
        <v>106</v>
      </c>
      <c r="G1987" s="30" t="n">
        <v>27.6</v>
      </c>
      <c r="H1987" s="11" t="n">
        <v>329.64</v>
      </c>
      <c r="I1987" s="11" t="s">
        <v>155</v>
      </c>
      <c r="J1987" s="11" t="n">
        <v>81.91</v>
      </c>
      <c r="K1987" s="11" t="n">
        <v>82.21</v>
      </c>
      <c r="L1987" s="11" t="n">
        <v>0.3296</v>
      </c>
      <c r="M1987" s="11" t="n">
        <v>0.6593</v>
      </c>
      <c r="N1987" s="11" t="n">
        <v>1</v>
      </c>
      <c r="O1987" s="11" t="n">
        <v>4.5</v>
      </c>
      <c r="P1987" s="11" t="n">
        <v>1.68</v>
      </c>
      <c r="Q1987" s="11" t="n">
        <v>12.6</v>
      </c>
      <c r="R1987" s="11" t="n">
        <f aca="false">SUM(K1987:Q1987)</f>
        <v>102.9789</v>
      </c>
      <c r="S1987" s="11" t="n">
        <f aca="false">R1987/(1-Resumo!$C$6)</f>
        <v>117.021477272727</v>
      </c>
      <c r="T1987" s="11" t="n">
        <f aca="false">S1987-J1987</f>
        <v>35.1114772727273</v>
      </c>
      <c r="U1987" s="12" t="n">
        <f aca="false">IFERROR(S1987/J1987-1,0)</f>
        <v>0.428659226867626</v>
      </c>
      <c r="V1987" s="2" t="str">
        <f aca="false">IF(S1987&lt;J1987,"SIM","NÃO")</f>
        <v>NÃO</v>
      </c>
      <c r="W1987" s="2" t="n">
        <v>5</v>
      </c>
      <c r="X1987" s="2" t="s">
        <v>156</v>
      </c>
    </row>
    <row r="1988" customFormat="false" ht="15" hidden="false" customHeight="false" outlineLevel="0" collapsed="false">
      <c r="A1988" s="2" t="n">
        <v>397918369</v>
      </c>
      <c r="B1988" s="29" t="n">
        <v>46286.8981018519</v>
      </c>
      <c r="C1988" s="2" t="s">
        <v>153</v>
      </c>
      <c r="D1988" s="2" t="s">
        <v>1992</v>
      </c>
      <c r="E1988" s="2" t="s">
        <v>85</v>
      </c>
      <c r="F1988" s="2" t="s">
        <v>108</v>
      </c>
      <c r="G1988" s="30" t="n">
        <v>41</v>
      </c>
      <c r="H1988" s="11" t="n">
        <v>519.99</v>
      </c>
      <c r="I1988" s="11" t="s">
        <v>155</v>
      </c>
      <c r="J1988" s="11" t="n">
        <v>130.65</v>
      </c>
      <c r="K1988" s="11" t="n">
        <v>152.54</v>
      </c>
      <c r="L1988" s="11" t="n">
        <v>0.52</v>
      </c>
      <c r="M1988" s="11" t="n">
        <v>1.04</v>
      </c>
      <c r="N1988" s="11" t="n">
        <v>1</v>
      </c>
      <c r="O1988" s="11" t="n">
        <v>4.5</v>
      </c>
      <c r="P1988" s="11" t="n">
        <v>2.46</v>
      </c>
      <c r="Q1988" s="11" t="n">
        <v>18.45</v>
      </c>
      <c r="R1988" s="11" t="n">
        <f aca="false">SUM(K1988:Q1988)</f>
        <v>180.51</v>
      </c>
      <c r="S1988" s="11" t="n">
        <f aca="false">R1988/(1-Resumo!$C$6)</f>
        <v>205.125</v>
      </c>
      <c r="T1988" s="11" t="n">
        <f aca="false">S1988-J1988</f>
        <v>74.475</v>
      </c>
      <c r="U1988" s="12" t="n">
        <f aca="false">IFERROR(S1988/J1988-1,0)</f>
        <v>0.570034443168771</v>
      </c>
      <c r="V1988" s="2" t="str">
        <f aca="false">IF(S1988&lt;J1988,"SIM","NÃO")</f>
        <v>NÃO</v>
      </c>
      <c r="W1988" s="2" t="n">
        <v>11</v>
      </c>
      <c r="X1988" s="2" t="s">
        <v>156</v>
      </c>
    </row>
    <row r="1989" customFormat="false" ht="15" hidden="false" customHeight="false" outlineLevel="0" collapsed="false">
      <c r="A1989" s="2" t="n">
        <v>397925256</v>
      </c>
      <c r="B1989" s="29" t="n">
        <v>46286.912025463</v>
      </c>
      <c r="C1989" s="2" t="s">
        <v>153</v>
      </c>
      <c r="D1989" s="2" t="s">
        <v>1993</v>
      </c>
      <c r="E1989" s="2" t="s">
        <v>95</v>
      </c>
      <c r="F1989" s="2" t="s">
        <v>107</v>
      </c>
      <c r="G1989" s="30" t="n">
        <v>40</v>
      </c>
      <c r="H1989" s="11" t="n">
        <v>562.42</v>
      </c>
      <c r="I1989" s="11" t="s">
        <v>155</v>
      </c>
      <c r="J1989" s="11" t="n">
        <v>122.93</v>
      </c>
      <c r="K1989" s="11" t="n">
        <v>108.03</v>
      </c>
      <c r="L1989" s="11" t="n">
        <v>0.5624</v>
      </c>
      <c r="M1989" s="11" t="n">
        <v>1.1248</v>
      </c>
      <c r="N1989" s="11" t="n">
        <v>1</v>
      </c>
      <c r="O1989" s="11" t="n">
        <v>4.5</v>
      </c>
      <c r="P1989" s="11" t="n">
        <v>2.4</v>
      </c>
      <c r="Q1989" s="11" t="n">
        <v>18</v>
      </c>
      <c r="R1989" s="11" t="n">
        <f aca="false">SUM(K1989:Q1989)</f>
        <v>135.6172</v>
      </c>
      <c r="S1989" s="11" t="n">
        <f aca="false">R1989/(1-Resumo!$C$6)</f>
        <v>154.110454545455</v>
      </c>
      <c r="T1989" s="11" t="n">
        <f aca="false">S1989-J1989</f>
        <v>31.1804545454545</v>
      </c>
      <c r="U1989" s="12" t="n">
        <f aca="false">IFERROR(S1989/J1989-1,0)</f>
        <v>0.253643980683759</v>
      </c>
      <c r="V1989" s="2" t="str">
        <f aca="false">IF(S1989&lt;J1989,"SIM","NÃO")</f>
        <v>NÃO</v>
      </c>
      <c r="W1989" s="2" t="n">
        <v>6</v>
      </c>
      <c r="X1989" s="2" t="s">
        <v>156</v>
      </c>
    </row>
    <row r="1990" customFormat="false" ht="15" hidden="false" customHeight="false" outlineLevel="0" collapsed="false">
      <c r="A1990" s="2" t="n">
        <v>397927909</v>
      </c>
      <c r="B1990" s="29" t="n">
        <v>46286.9173842593</v>
      </c>
      <c r="C1990" s="2" t="s">
        <v>158</v>
      </c>
      <c r="D1990" s="2" t="s">
        <v>1994</v>
      </c>
      <c r="E1990" s="2" t="s">
        <v>78</v>
      </c>
      <c r="F1990" s="2" t="s">
        <v>106</v>
      </c>
      <c r="G1990" s="30" t="n">
        <v>33.11</v>
      </c>
      <c r="H1990" s="11" t="n">
        <v>403.53</v>
      </c>
      <c r="I1990" s="11" t="s">
        <v>155</v>
      </c>
      <c r="J1990" s="11" t="n">
        <v>82.26</v>
      </c>
      <c r="K1990" s="11" t="n">
        <v>82.21</v>
      </c>
      <c r="L1990" s="11" t="n">
        <v>0.4035</v>
      </c>
      <c r="M1990" s="11" t="n">
        <v>0.8071</v>
      </c>
      <c r="N1990" s="11" t="n">
        <v>1</v>
      </c>
      <c r="O1990" s="11" t="n">
        <v>4.5</v>
      </c>
      <c r="P1990" s="11" t="n">
        <v>2.04</v>
      </c>
      <c r="Q1990" s="11" t="n">
        <v>15.3</v>
      </c>
      <c r="R1990" s="11" t="n">
        <f aca="false">SUM(K1990:Q1990)</f>
        <v>106.2606</v>
      </c>
      <c r="S1990" s="11" t="n">
        <f aca="false">R1990/(1-Resumo!$C$6)</f>
        <v>120.750681818182</v>
      </c>
      <c r="T1990" s="11" t="n">
        <f aca="false">S1990-J1990</f>
        <v>38.4906818181818</v>
      </c>
      <c r="U1990" s="12" t="n">
        <f aca="false">IFERROR(S1990/J1990-1,0)</f>
        <v>0.467914926065911</v>
      </c>
      <c r="V1990" s="2" t="str">
        <f aca="false">IF(S1990&lt;J1990,"SIM","NÃO")</f>
        <v>NÃO</v>
      </c>
      <c r="W1990" s="2" t="n">
        <v>5</v>
      </c>
      <c r="X1990" s="2" t="s">
        <v>156</v>
      </c>
    </row>
    <row r="1991" customFormat="false" ht="15" hidden="false" customHeight="false" outlineLevel="0" collapsed="false">
      <c r="A1991" s="2" t="n">
        <v>397947883</v>
      </c>
      <c r="B1991" s="29" t="n">
        <v>46286.9613773148</v>
      </c>
      <c r="C1991" s="2" t="s">
        <v>153</v>
      </c>
      <c r="D1991" s="2" t="s">
        <v>1995</v>
      </c>
      <c r="E1991" s="2" t="s">
        <v>96</v>
      </c>
      <c r="F1991" s="2" t="s">
        <v>108</v>
      </c>
      <c r="G1991" s="30" t="n">
        <v>41</v>
      </c>
      <c r="H1991" s="11" t="n">
        <v>559.99</v>
      </c>
      <c r="I1991" s="11" t="s">
        <v>155</v>
      </c>
      <c r="J1991" s="11" t="n">
        <v>130.84</v>
      </c>
      <c r="K1991" s="11" t="n">
        <v>135.03</v>
      </c>
      <c r="L1991" s="11" t="n">
        <v>0.56</v>
      </c>
      <c r="M1991" s="11" t="n">
        <v>1.12</v>
      </c>
      <c r="N1991" s="11" t="n">
        <v>1</v>
      </c>
      <c r="O1991" s="11" t="n">
        <v>4.5</v>
      </c>
      <c r="P1991" s="11" t="n">
        <v>2.46</v>
      </c>
      <c r="Q1991" s="11" t="n">
        <v>18.45</v>
      </c>
      <c r="R1991" s="11" t="n">
        <f aca="false">SUM(K1991:Q1991)</f>
        <v>163.12</v>
      </c>
      <c r="S1991" s="11" t="n">
        <f aca="false">R1991/(1-Resumo!$C$6)</f>
        <v>185.363636363636</v>
      </c>
      <c r="T1991" s="11" t="n">
        <f aca="false">S1991-J1991</f>
        <v>54.5236363636363</v>
      </c>
      <c r="U1991" s="12" t="n">
        <f aca="false">IFERROR(S1991/J1991-1,0)</f>
        <v>0.416719935521525</v>
      </c>
      <c r="V1991" s="2" t="str">
        <f aca="false">IF(S1991&lt;J1991,"SIM","NÃO")</f>
        <v>NÃO</v>
      </c>
      <c r="W1991" s="2" t="n">
        <v>10</v>
      </c>
      <c r="X1991" s="2" t="s">
        <v>156</v>
      </c>
    </row>
    <row r="1992" customFormat="false" ht="15" hidden="false" customHeight="false" outlineLevel="0" collapsed="false">
      <c r="A1992" s="2" t="n">
        <v>397949491</v>
      </c>
      <c r="B1992" s="29" t="n">
        <v>46286.9655092593</v>
      </c>
      <c r="C1992" s="2" t="s">
        <v>158</v>
      </c>
      <c r="D1992" s="2" t="s">
        <v>1578</v>
      </c>
      <c r="E1992" s="2" t="s">
        <v>78</v>
      </c>
      <c r="F1992" s="2" t="s">
        <v>110</v>
      </c>
      <c r="G1992" s="30" t="n">
        <v>68.1</v>
      </c>
      <c r="H1992" s="11" t="n">
        <v>899.99</v>
      </c>
      <c r="I1992" s="11" t="s">
        <v>155</v>
      </c>
      <c r="J1992" s="11" t="n">
        <v>125.52</v>
      </c>
      <c r="K1992" s="11" t="n">
        <v>131.02</v>
      </c>
      <c r="L1992" s="11" t="n">
        <v>0.9</v>
      </c>
      <c r="M1992" s="11" t="n">
        <v>1.8</v>
      </c>
      <c r="N1992" s="11" t="n">
        <v>1</v>
      </c>
      <c r="O1992" s="11" t="n">
        <v>4.5</v>
      </c>
      <c r="P1992" s="11" t="n">
        <v>4.14</v>
      </c>
      <c r="Q1992" s="11" t="n">
        <v>31.05</v>
      </c>
      <c r="R1992" s="11" t="n">
        <f aca="false">SUM(K1992:Q1992)</f>
        <v>174.41</v>
      </c>
      <c r="S1992" s="11" t="n">
        <f aca="false">R1992/(1-Resumo!$C$6)</f>
        <v>198.193181818182</v>
      </c>
      <c r="T1992" s="11" t="n">
        <f aca="false">S1992-J1992</f>
        <v>72.6731818181819</v>
      </c>
      <c r="U1992" s="12" t="n">
        <f aca="false">IFERROR(S1992/J1992-1,0)</f>
        <v>0.57897691059737</v>
      </c>
      <c r="V1992" s="2" t="str">
        <f aca="false">IF(S1992&lt;J1992,"SIM","NÃO")</f>
        <v>NÃO</v>
      </c>
      <c r="W1992" s="2" t="n">
        <v>5</v>
      </c>
      <c r="X1992" s="2" t="s">
        <v>156</v>
      </c>
    </row>
    <row r="1993" customFormat="false" ht="15" hidden="false" customHeight="false" outlineLevel="0" collapsed="false">
      <c r="A1993" s="2" t="n">
        <v>397976273</v>
      </c>
      <c r="B1993" s="29" t="n">
        <v>46287.0436342593</v>
      </c>
      <c r="C1993" s="2" t="s">
        <v>153</v>
      </c>
      <c r="D1993" s="2" t="s">
        <v>1996</v>
      </c>
      <c r="E1993" s="2" t="s">
        <v>83</v>
      </c>
      <c r="F1993" s="2" t="s">
        <v>107</v>
      </c>
      <c r="G1993" s="30" t="n">
        <v>40</v>
      </c>
      <c r="H1993" s="11" t="n">
        <v>562.42</v>
      </c>
      <c r="I1993" s="11" t="s">
        <v>155</v>
      </c>
      <c r="J1993" s="11" t="n">
        <v>122.93</v>
      </c>
      <c r="K1993" s="11" t="n">
        <v>143.04</v>
      </c>
      <c r="L1993" s="11" t="n">
        <v>0.5624</v>
      </c>
      <c r="M1993" s="11" t="n">
        <v>1.1248</v>
      </c>
      <c r="N1993" s="11" t="n">
        <v>1</v>
      </c>
      <c r="O1993" s="11" t="n">
        <v>4.5</v>
      </c>
      <c r="P1993" s="11" t="n">
        <v>2.4</v>
      </c>
      <c r="Q1993" s="11" t="n">
        <v>18</v>
      </c>
      <c r="R1993" s="11" t="n">
        <f aca="false">SUM(K1993:Q1993)</f>
        <v>170.6272</v>
      </c>
      <c r="S1993" s="11" t="n">
        <f aca="false">R1993/(1-Resumo!$C$6)</f>
        <v>193.894545454545</v>
      </c>
      <c r="T1993" s="11" t="n">
        <f aca="false">S1993-J1993</f>
        <v>70.9645454545454</v>
      </c>
      <c r="U1993" s="12" t="n">
        <f aca="false">IFERROR(S1993/J1993-1,0)</f>
        <v>0.577276055108968</v>
      </c>
      <c r="V1993" s="2" t="str">
        <f aca="false">IF(S1993&lt;J1993,"SIM","NÃO")</f>
        <v>NÃO</v>
      </c>
      <c r="W1993" s="2" t="n">
        <v>11</v>
      </c>
      <c r="X1993" s="2" t="s">
        <v>156</v>
      </c>
    </row>
    <row r="1994" customFormat="false" ht="15" hidden="false" customHeight="false" outlineLevel="0" collapsed="false">
      <c r="A1994" s="2" t="n">
        <v>398001716</v>
      </c>
      <c r="B1994" s="29" t="n">
        <v>46287.1474768519</v>
      </c>
      <c r="C1994" s="2" t="s">
        <v>153</v>
      </c>
      <c r="D1994" s="2" t="s">
        <v>1997</v>
      </c>
      <c r="E1994" s="2" t="s">
        <v>97</v>
      </c>
      <c r="F1994" s="2" t="s">
        <v>106</v>
      </c>
      <c r="G1994" s="30" t="n">
        <v>30.5</v>
      </c>
      <c r="H1994" s="11" t="n">
        <v>406.6</v>
      </c>
      <c r="I1994" s="11" t="s">
        <v>155</v>
      </c>
      <c r="J1994" s="11" t="n">
        <v>109.13</v>
      </c>
      <c r="K1994" s="11" t="n">
        <v>114.95</v>
      </c>
      <c r="L1994" s="11" t="n">
        <v>0.4066</v>
      </c>
      <c r="M1994" s="11" t="n">
        <v>0.8132</v>
      </c>
      <c r="N1994" s="11" t="n">
        <v>1</v>
      </c>
      <c r="O1994" s="11" t="n">
        <v>4.5</v>
      </c>
      <c r="P1994" s="11" t="n">
        <v>1.86</v>
      </c>
      <c r="Q1994" s="11" t="n">
        <v>13.95</v>
      </c>
      <c r="R1994" s="11" t="n">
        <f aca="false">SUM(K1994:Q1994)</f>
        <v>137.4798</v>
      </c>
      <c r="S1994" s="11" t="n">
        <f aca="false">R1994/(1-Resumo!$C$6)</f>
        <v>156.227045454545</v>
      </c>
      <c r="T1994" s="11" t="n">
        <f aca="false">S1994-J1994</f>
        <v>47.0970454545455</v>
      </c>
      <c r="U1994" s="12" t="n">
        <f aca="false">IFERROR(S1994/J1994-1,0)</f>
        <v>0.431568271369426</v>
      </c>
      <c r="V1994" s="2" t="str">
        <f aca="false">IF(S1994&lt;J1994,"SIM","NÃO")</f>
        <v>NÃO</v>
      </c>
      <c r="W1994" s="2" t="n">
        <v>10</v>
      </c>
      <c r="X1994" s="2" t="s">
        <v>156</v>
      </c>
    </row>
    <row r="1995" customFormat="false" ht="15" hidden="false" customHeight="false" outlineLevel="0" collapsed="false">
      <c r="A1995" s="2" t="n">
        <v>398015680</v>
      </c>
      <c r="B1995" s="29" t="n">
        <v>46287.2041435185</v>
      </c>
      <c r="C1995" s="2" t="s">
        <v>158</v>
      </c>
      <c r="D1995" s="2" t="s">
        <v>1998</v>
      </c>
      <c r="E1995" s="2" t="s">
        <v>89</v>
      </c>
      <c r="F1995" s="2" t="s">
        <v>106</v>
      </c>
      <c r="G1995" s="30" t="n">
        <v>29.7</v>
      </c>
      <c r="H1995" s="11" t="n">
        <v>450.44</v>
      </c>
      <c r="I1995" s="11" t="s">
        <v>155</v>
      </c>
      <c r="J1995" s="11" t="n">
        <v>109.34</v>
      </c>
      <c r="K1995" s="11" t="n">
        <v>108.83</v>
      </c>
      <c r="L1995" s="11" t="n">
        <v>0.4504</v>
      </c>
      <c r="M1995" s="11" t="n">
        <v>0.9009</v>
      </c>
      <c r="N1995" s="11" t="n">
        <v>1</v>
      </c>
      <c r="O1995" s="11" t="n">
        <v>4.5</v>
      </c>
      <c r="P1995" s="11" t="n">
        <v>1.8</v>
      </c>
      <c r="Q1995" s="11" t="n">
        <v>13.5</v>
      </c>
      <c r="R1995" s="11" t="n">
        <f aca="false">SUM(K1995:Q1995)</f>
        <v>130.9813</v>
      </c>
      <c r="S1995" s="11" t="n">
        <f aca="false">R1995/(1-Resumo!$C$6)</f>
        <v>148.842386363636</v>
      </c>
      <c r="T1995" s="11" t="n">
        <f aca="false">S1995-J1995</f>
        <v>39.5023863636364</v>
      </c>
      <c r="U1995" s="12" t="n">
        <f aca="false">IFERROR(S1995/J1995-1,0)</f>
        <v>0.36128028501588</v>
      </c>
      <c r="V1995" s="2" t="str">
        <f aca="false">IF(S1995&lt;J1995,"SIM","NÃO")</f>
        <v>NÃO</v>
      </c>
      <c r="W1995" s="2" t="n">
        <v>8</v>
      </c>
      <c r="X1995" s="2" t="s">
        <v>156</v>
      </c>
    </row>
    <row r="1996" customFormat="false" ht="15" hidden="false" customHeight="false" outlineLevel="0" collapsed="false">
      <c r="A1996" s="2" t="n">
        <v>396294947</v>
      </c>
      <c r="B1996" s="29" t="n">
        <v>46287.2049421296</v>
      </c>
      <c r="C1996" s="2" t="s">
        <v>194</v>
      </c>
      <c r="D1996" s="2" t="s">
        <v>1999</v>
      </c>
      <c r="E1996" s="2" t="s">
        <v>78</v>
      </c>
      <c r="F1996" s="2" t="s">
        <v>106</v>
      </c>
      <c r="G1996" s="30" t="n">
        <v>27.5</v>
      </c>
      <c r="H1996" s="11" t="n">
        <v>429.99</v>
      </c>
      <c r="I1996" s="11" t="s">
        <v>155</v>
      </c>
      <c r="J1996" s="11" t="n">
        <v>82.39</v>
      </c>
      <c r="K1996" s="11" t="n">
        <v>82.21</v>
      </c>
      <c r="L1996" s="11" t="n">
        <v>0.43</v>
      </c>
      <c r="M1996" s="11" t="n">
        <v>0.86</v>
      </c>
      <c r="N1996" s="11" t="n">
        <v>1</v>
      </c>
      <c r="O1996" s="11" t="n">
        <v>4.5</v>
      </c>
      <c r="P1996" s="11" t="n">
        <v>1.68</v>
      </c>
      <c r="Q1996" s="11" t="n">
        <v>12.6</v>
      </c>
      <c r="R1996" s="11" t="n">
        <f aca="false">SUM(K1996:Q1996)</f>
        <v>103.28</v>
      </c>
      <c r="S1996" s="11" t="n">
        <f aca="false">R1996/(1-Resumo!$C$6)</f>
        <v>117.363636363636</v>
      </c>
      <c r="T1996" s="11" t="n">
        <f aca="false">S1996-J1996</f>
        <v>34.9736363636363</v>
      </c>
      <c r="U1996" s="12" t="n">
        <f aca="false">IFERROR(S1996/J1996-1,0)</f>
        <v>0.424488850147304</v>
      </c>
      <c r="V1996" s="2" t="str">
        <f aca="false">IF(S1996&lt;J1996,"SIM","NÃO")</f>
        <v>NÃO</v>
      </c>
      <c r="W1996" s="2" t="n">
        <v>5</v>
      </c>
      <c r="X1996" s="2" t="s">
        <v>156</v>
      </c>
    </row>
    <row r="1997" customFormat="false" ht="15" hidden="false" customHeight="false" outlineLevel="0" collapsed="false">
      <c r="A1997" s="2" t="n">
        <v>398042093</v>
      </c>
      <c r="B1997" s="29" t="n">
        <v>46287.2930787037</v>
      </c>
      <c r="C1997" s="2" t="s">
        <v>158</v>
      </c>
      <c r="D1997" s="2" t="s">
        <v>2000</v>
      </c>
      <c r="E1997" s="2" t="s">
        <v>78</v>
      </c>
      <c r="F1997" s="2" t="s">
        <v>106</v>
      </c>
      <c r="G1997" s="30" t="n">
        <v>34.8</v>
      </c>
      <c r="H1997" s="11" t="n">
        <v>425</v>
      </c>
      <c r="I1997" s="11" t="s">
        <v>155</v>
      </c>
      <c r="J1997" s="11" t="n">
        <v>82.36</v>
      </c>
      <c r="K1997" s="11" t="n">
        <v>82.21</v>
      </c>
      <c r="L1997" s="11" t="n">
        <v>0.425</v>
      </c>
      <c r="M1997" s="11" t="n">
        <v>0.85</v>
      </c>
      <c r="N1997" s="11" t="n">
        <v>1</v>
      </c>
      <c r="O1997" s="11" t="n">
        <v>4.5</v>
      </c>
      <c r="P1997" s="11" t="n">
        <v>2.1</v>
      </c>
      <c r="Q1997" s="11" t="n">
        <v>15.75</v>
      </c>
      <c r="R1997" s="11" t="n">
        <f aca="false">SUM(K1997:Q1997)</f>
        <v>106.835</v>
      </c>
      <c r="S1997" s="11" t="n">
        <f aca="false">R1997/(1-Resumo!$C$6)</f>
        <v>121.403409090909</v>
      </c>
      <c r="T1997" s="11" t="n">
        <f aca="false">S1997-J1997</f>
        <v>39.0434090909091</v>
      </c>
      <c r="U1997" s="12" t="n">
        <f aca="false">IFERROR(S1997/J1997-1,0)</f>
        <v>0.474057905426288</v>
      </c>
      <c r="V1997" s="2" t="str">
        <f aca="false">IF(S1997&lt;J1997,"SIM","NÃO")</f>
        <v>NÃO</v>
      </c>
      <c r="W1997" s="2" t="n">
        <v>5</v>
      </c>
      <c r="X1997" s="2" t="s">
        <v>156</v>
      </c>
    </row>
    <row r="1998" customFormat="false" ht="15" hidden="false" customHeight="false" outlineLevel="0" collapsed="false">
      <c r="A1998" s="2" t="n">
        <v>398060736</v>
      </c>
      <c r="B1998" s="29" t="n">
        <v>46287.3405208333</v>
      </c>
      <c r="C1998" s="2" t="s">
        <v>153</v>
      </c>
      <c r="D1998" s="2" t="s">
        <v>2001</v>
      </c>
      <c r="E1998" s="2" t="s">
        <v>83</v>
      </c>
      <c r="F1998" s="2" t="s">
        <v>106</v>
      </c>
      <c r="G1998" s="30" t="n">
        <v>30.5</v>
      </c>
      <c r="H1998" s="11" t="n">
        <v>406.6</v>
      </c>
      <c r="I1998" s="11" t="s">
        <v>155</v>
      </c>
      <c r="J1998" s="11" t="n">
        <v>109.13</v>
      </c>
      <c r="K1998" s="11" t="n">
        <v>138.29</v>
      </c>
      <c r="L1998" s="11" t="n">
        <v>0.4066</v>
      </c>
      <c r="M1998" s="11" t="n">
        <v>0.8132</v>
      </c>
      <c r="N1998" s="11" t="n">
        <v>1</v>
      </c>
      <c r="O1998" s="11" t="n">
        <v>4.5</v>
      </c>
      <c r="P1998" s="11" t="n">
        <v>1.86</v>
      </c>
      <c r="Q1998" s="11" t="n">
        <v>13.95</v>
      </c>
      <c r="R1998" s="11" t="n">
        <f aca="false">SUM(K1998:Q1998)</f>
        <v>160.8198</v>
      </c>
      <c r="S1998" s="11" t="n">
        <f aca="false">R1998/(1-Resumo!$C$6)</f>
        <v>182.749772727273</v>
      </c>
      <c r="T1998" s="11" t="n">
        <f aca="false">S1998-J1998</f>
        <v>73.6197727272727</v>
      </c>
      <c r="U1998" s="12" t="n">
        <f aca="false">IFERROR(S1998/J1998-1,0)</f>
        <v>0.674606182784502</v>
      </c>
      <c r="V1998" s="2" t="str">
        <f aca="false">IF(S1998&lt;J1998,"SIM","NÃO")</f>
        <v>NÃO</v>
      </c>
      <c r="W1998" s="2" t="n">
        <v>11</v>
      </c>
      <c r="X1998" s="2" t="s">
        <v>156</v>
      </c>
    </row>
    <row r="1999" customFormat="false" ht="15" hidden="false" customHeight="false" outlineLevel="0" collapsed="false">
      <c r="A1999" s="2" t="n">
        <v>398066522</v>
      </c>
      <c r="B1999" s="29" t="n">
        <v>46287.3566666667</v>
      </c>
      <c r="C1999" s="2" t="s">
        <v>153</v>
      </c>
      <c r="D1999" s="2" t="s">
        <v>451</v>
      </c>
      <c r="E1999" s="2" t="s">
        <v>79</v>
      </c>
      <c r="F1999" s="2" t="s">
        <v>108</v>
      </c>
      <c r="G1999" s="30" t="n">
        <v>41</v>
      </c>
      <c r="H1999" s="11" t="n">
        <v>487.99</v>
      </c>
      <c r="I1999" s="11" t="s">
        <v>155</v>
      </c>
      <c r="J1999" s="11" t="n">
        <v>116.42</v>
      </c>
      <c r="K1999" s="11" t="n">
        <v>114.95</v>
      </c>
      <c r="L1999" s="11" t="n">
        <v>0.488</v>
      </c>
      <c r="M1999" s="11" t="n">
        <v>0.976</v>
      </c>
      <c r="N1999" s="11" t="n">
        <v>1</v>
      </c>
      <c r="O1999" s="11" t="n">
        <v>4.5</v>
      </c>
      <c r="P1999" s="11" t="n">
        <v>2.46</v>
      </c>
      <c r="Q1999" s="11" t="n">
        <v>18.45</v>
      </c>
      <c r="R1999" s="11" t="n">
        <f aca="false">SUM(K1999:Q1999)</f>
        <v>142.824</v>
      </c>
      <c r="S1999" s="11" t="n">
        <f aca="false">R1999/(1-Resumo!$C$6)</f>
        <v>162.3</v>
      </c>
      <c r="T1999" s="11" t="n">
        <f aca="false">S1999-J1999</f>
        <v>45.88</v>
      </c>
      <c r="U1999" s="12" t="n">
        <f aca="false">IFERROR(S1999/J1999-1,0)</f>
        <v>0.394090362480674</v>
      </c>
      <c r="V1999" s="2" t="str">
        <f aca="false">IF(S1999&lt;J1999,"SIM","NÃO")</f>
        <v>NÃO</v>
      </c>
      <c r="W1999" s="2" t="n">
        <v>7</v>
      </c>
      <c r="X1999" s="2" t="s">
        <v>156</v>
      </c>
    </row>
    <row r="2000" customFormat="false" ht="15" hidden="false" customHeight="false" outlineLevel="0" collapsed="false">
      <c r="A2000" s="2" t="n">
        <v>398099099</v>
      </c>
      <c r="B2000" s="29" t="n">
        <v>46287.4282175926</v>
      </c>
      <c r="C2000" s="2" t="s">
        <v>153</v>
      </c>
      <c r="D2000" s="2" t="s">
        <v>446</v>
      </c>
      <c r="E2000" s="2" t="s">
        <v>78</v>
      </c>
      <c r="F2000" s="2" t="s">
        <v>107</v>
      </c>
      <c r="G2000" s="30" t="n">
        <v>40</v>
      </c>
      <c r="H2000" s="11" t="n">
        <v>562.42</v>
      </c>
      <c r="I2000" s="11" t="s">
        <v>155</v>
      </c>
      <c r="J2000" s="11" t="n">
        <v>92.55</v>
      </c>
      <c r="K2000" s="11" t="n">
        <v>93.97</v>
      </c>
      <c r="L2000" s="11" t="n">
        <v>0.5624</v>
      </c>
      <c r="M2000" s="11" t="n">
        <v>1.1248</v>
      </c>
      <c r="N2000" s="11" t="n">
        <v>1</v>
      </c>
      <c r="O2000" s="11" t="n">
        <v>4.5</v>
      </c>
      <c r="P2000" s="11" t="n">
        <v>2.4</v>
      </c>
      <c r="Q2000" s="11" t="n">
        <v>18</v>
      </c>
      <c r="R2000" s="11" t="n">
        <f aca="false">SUM(K2000:Q2000)</f>
        <v>121.5572</v>
      </c>
      <c r="S2000" s="11" t="n">
        <f aca="false">R2000/(1-Resumo!$C$6)</f>
        <v>138.133181818182</v>
      </c>
      <c r="T2000" s="11" t="n">
        <f aca="false">S2000-J2000</f>
        <v>45.5831818181818</v>
      </c>
      <c r="U2000" s="12" t="n">
        <f aca="false">IFERROR(S2000/J2000-1,0)</f>
        <v>0.49252492510191</v>
      </c>
      <c r="V2000" s="2" t="str">
        <f aca="false">IF(S2000&lt;J2000,"SIM","NÃO")</f>
        <v>NÃO</v>
      </c>
      <c r="W2000" s="2" t="n">
        <v>5</v>
      </c>
      <c r="X2000" s="2" t="s">
        <v>156</v>
      </c>
    </row>
    <row r="2001" customFormat="false" ht="15" hidden="false" customHeight="false" outlineLevel="0" collapsed="false">
      <c r="A2001" s="2" t="n">
        <v>398109227</v>
      </c>
      <c r="B2001" s="29" t="n">
        <v>46287.4486574074</v>
      </c>
      <c r="C2001" s="2" t="s">
        <v>153</v>
      </c>
      <c r="D2001" s="2" t="s">
        <v>2002</v>
      </c>
      <c r="E2001" s="2" t="s">
        <v>78</v>
      </c>
      <c r="F2001" s="2" t="s">
        <v>110</v>
      </c>
      <c r="G2001" s="30" t="n">
        <v>63</v>
      </c>
      <c r="H2001" s="11" t="n">
        <v>702.57</v>
      </c>
      <c r="I2001" s="11" t="s">
        <v>155</v>
      </c>
      <c r="J2001" s="11" t="n">
        <v>124.59</v>
      </c>
      <c r="K2001" s="11" t="n">
        <v>131.02</v>
      </c>
      <c r="L2001" s="11" t="n">
        <v>0.7026</v>
      </c>
      <c r="M2001" s="11" t="n">
        <v>1.4051</v>
      </c>
      <c r="N2001" s="11" t="n">
        <v>1</v>
      </c>
      <c r="O2001" s="11" t="n">
        <v>4.5</v>
      </c>
      <c r="P2001" s="11" t="n">
        <v>3.78</v>
      </c>
      <c r="Q2001" s="11" t="n">
        <v>28.35</v>
      </c>
      <c r="R2001" s="11" t="n">
        <f aca="false">SUM(K2001:Q2001)</f>
        <v>170.7577</v>
      </c>
      <c r="S2001" s="11" t="n">
        <f aca="false">R2001/(1-Resumo!$C$6)</f>
        <v>194.042840909091</v>
      </c>
      <c r="T2001" s="11" t="n">
        <f aca="false">S2001-J2001</f>
        <v>69.4528409090909</v>
      </c>
      <c r="U2001" s="12" t="n">
        <f aca="false">IFERROR(S2001/J2001-1,0)</f>
        <v>0.557451167100818</v>
      </c>
      <c r="V2001" s="2" t="str">
        <f aca="false">IF(S2001&lt;J2001,"SIM","NÃO")</f>
        <v>NÃO</v>
      </c>
      <c r="W2001" s="2" t="n">
        <v>5</v>
      </c>
      <c r="X2001" s="2" t="s">
        <v>156</v>
      </c>
    </row>
    <row r="2002" customFormat="false" ht="15" hidden="false" customHeight="false" outlineLevel="0" collapsed="false">
      <c r="A2002" s="2" t="n">
        <v>398126916</v>
      </c>
      <c r="B2002" s="29" t="n">
        <v>46287.4854282407</v>
      </c>
      <c r="C2002" s="2" t="s">
        <v>153</v>
      </c>
      <c r="D2002" s="2" t="s">
        <v>2003</v>
      </c>
      <c r="E2002" s="2" t="s">
        <v>78</v>
      </c>
      <c r="F2002" s="2" t="s">
        <v>107</v>
      </c>
      <c r="G2002" s="30" t="n">
        <v>40</v>
      </c>
      <c r="H2002" s="11" t="n">
        <v>562.42</v>
      </c>
      <c r="I2002" s="11" t="s">
        <v>155</v>
      </c>
      <c r="J2002" s="11" t="n">
        <v>92.55</v>
      </c>
      <c r="K2002" s="11" t="n">
        <v>93.97</v>
      </c>
      <c r="L2002" s="11" t="n">
        <v>0.5624</v>
      </c>
      <c r="M2002" s="11" t="n">
        <v>1.1248</v>
      </c>
      <c r="N2002" s="11" t="n">
        <v>1</v>
      </c>
      <c r="O2002" s="11" t="n">
        <v>4.5</v>
      </c>
      <c r="P2002" s="11" t="n">
        <v>2.4</v>
      </c>
      <c r="Q2002" s="11" t="n">
        <v>18</v>
      </c>
      <c r="R2002" s="11" t="n">
        <f aca="false">SUM(K2002:Q2002)</f>
        <v>121.5572</v>
      </c>
      <c r="S2002" s="11" t="n">
        <f aca="false">R2002/(1-Resumo!$C$6)</f>
        <v>138.133181818182</v>
      </c>
      <c r="T2002" s="11" t="n">
        <f aca="false">S2002-J2002</f>
        <v>45.5831818181818</v>
      </c>
      <c r="U2002" s="12" t="n">
        <f aca="false">IFERROR(S2002/J2002-1,0)</f>
        <v>0.49252492510191</v>
      </c>
      <c r="V2002" s="2" t="str">
        <f aca="false">IF(S2002&lt;J2002,"SIM","NÃO")</f>
        <v>NÃO</v>
      </c>
      <c r="W2002" s="2" t="n">
        <v>5</v>
      </c>
      <c r="X2002" s="2" t="s">
        <v>156</v>
      </c>
    </row>
    <row r="2003" customFormat="false" ht="15" hidden="false" customHeight="false" outlineLevel="0" collapsed="false">
      <c r="A2003" s="2" t="n">
        <v>398141863</v>
      </c>
      <c r="B2003" s="29" t="n">
        <v>46287.517337963</v>
      </c>
      <c r="C2003" s="2" t="s">
        <v>153</v>
      </c>
      <c r="D2003" s="2" t="s">
        <v>2004</v>
      </c>
      <c r="E2003" s="2" t="s">
        <v>664</v>
      </c>
      <c r="F2003" s="2" t="s">
        <v>107</v>
      </c>
      <c r="G2003" s="30" t="n">
        <v>35.3</v>
      </c>
      <c r="H2003" s="11" t="n">
        <v>432.99</v>
      </c>
      <c r="I2003" s="11" t="s">
        <v>155</v>
      </c>
      <c r="J2003" s="11" t="n">
        <v>122.33</v>
      </c>
      <c r="K2003" s="11" t="n">
        <v>124.38</v>
      </c>
      <c r="L2003" s="11" t="n">
        <v>0.433</v>
      </c>
      <c r="M2003" s="11" t="n">
        <v>0.866</v>
      </c>
      <c r="N2003" s="11" t="n">
        <v>1</v>
      </c>
      <c r="O2003" s="11" t="n">
        <v>4.5</v>
      </c>
      <c r="P2003" s="11" t="n">
        <v>2.16</v>
      </c>
      <c r="Q2003" s="11" t="n">
        <v>16.2</v>
      </c>
      <c r="R2003" s="11" t="n">
        <f aca="false">SUM(K2003:Q2003)</f>
        <v>149.539</v>
      </c>
      <c r="S2003" s="11" t="n">
        <f aca="false">R2003/(1-Resumo!$C$6)</f>
        <v>169.930681818182</v>
      </c>
      <c r="T2003" s="11" t="n">
        <f aca="false">S2003-J2003</f>
        <v>47.6006818181818</v>
      </c>
      <c r="U2003" s="12" t="n">
        <f aca="false">IFERROR(S2003/J2003-1,0)</f>
        <v>0.389116993527195</v>
      </c>
      <c r="V2003" s="2" t="str">
        <f aca="false">IF(S2003&lt;J2003,"SIM","NÃO")</f>
        <v>NÃO</v>
      </c>
      <c r="W2003" s="2" t="n">
        <v>10</v>
      </c>
      <c r="X2003" s="2" t="s">
        <v>161</v>
      </c>
    </row>
    <row r="2004" customFormat="false" ht="15" hidden="false" customHeight="false" outlineLevel="0" collapsed="false">
      <c r="A2004" s="2" t="n">
        <v>398169007</v>
      </c>
      <c r="B2004" s="29" t="n">
        <v>46287.5759953704</v>
      </c>
      <c r="C2004" s="2" t="s">
        <v>158</v>
      </c>
      <c r="D2004" s="2" t="s">
        <v>2005</v>
      </c>
      <c r="E2004" s="2" t="s">
        <v>83</v>
      </c>
      <c r="F2004" s="2" t="s">
        <v>106</v>
      </c>
      <c r="G2004" s="30" t="n">
        <v>31.9</v>
      </c>
      <c r="H2004" s="11" t="n">
        <v>559.99</v>
      </c>
      <c r="I2004" s="11" t="s">
        <v>155</v>
      </c>
      <c r="J2004" s="11" t="n">
        <v>109.86</v>
      </c>
      <c r="K2004" s="11" t="n">
        <v>138.29</v>
      </c>
      <c r="L2004" s="11" t="n">
        <v>0.56</v>
      </c>
      <c r="M2004" s="11" t="n">
        <v>1.12</v>
      </c>
      <c r="N2004" s="11" t="n">
        <v>1</v>
      </c>
      <c r="O2004" s="11" t="n">
        <v>4.5</v>
      </c>
      <c r="P2004" s="11" t="n">
        <v>1.92</v>
      </c>
      <c r="Q2004" s="11" t="n">
        <v>14.4</v>
      </c>
      <c r="R2004" s="11" t="n">
        <f aca="false">SUM(K2004:Q2004)</f>
        <v>161.79</v>
      </c>
      <c r="S2004" s="11" t="n">
        <f aca="false">R2004/(1-Resumo!$C$6)</f>
        <v>183.852272727273</v>
      </c>
      <c r="T2004" s="11" t="n">
        <f aca="false">S2004-J2004</f>
        <v>73.9922727272727</v>
      </c>
      <c r="U2004" s="12" t="n">
        <f aca="false">IFERROR(S2004/J2004-1,0)</f>
        <v>0.673514224715754</v>
      </c>
      <c r="V2004" s="2" t="str">
        <f aca="false">IF(S2004&lt;J2004,"SIM","NÃO")</f>
        <v>NÃO</v>
      </c>
      <c r="W2004" s="2" t="n">
        <v>11</v>
      </c>
      <c r="X2004" s="2" t="s">
        <v>156</v>
      </c>
    </row>
    <row r="2005" customFormat="false" ht="15" hidden="false" customHeight="false" outlineLevel="0" collapsed="false">
      <c r="A2005" s="2" t="n">
        <v>398177624</v>
      </c>
      <c r="B2005" s="29" t="n">
        <v>46287.5958101852</v>
      </c>
      <c r="C2005" s="2" t="s">
        <v>153</v>
      </c>
      <c r="D2005" s="2" t="s">
        <v>2006</v>
      </c>
      <c r="E2005" s="2" t="s">
        <v>188</v>
      </c>
      <c r="F2005" s="2" t="s">
        <v>107</v>
      </c>
      <c r="G2005" s="30" t="n">
        <v>36.9</v>
      </c>
      <c r="H2005" s="11" t="n">
        <v>389.99</v>
      </c>
      <c r="I2005" s="11" t="s">
        <v>155</v>
      </c>
      <c r="J2005" s="11" t="n">
        <v>122.11</v>
      </c>
      <c r="K2005" s="11" t="n">
        <v>124.38</v>
      </c>
      <c r="L2005" s="11" t="n">
        <v>0.39</v>
      </c>
      <c r="M2005" s="11" t="n">
        <v>0.78</v>
      </c>
      <c r="N2005" s="11" t="n">
        <v>1</v>
      </c>
      <c r="O2005" s="11" t="n">
        <v>4.5</v>
      </c>
      <c r="P2005" s="11" t="n">
        <v>2.22</v>
      </c>
      <c r="Q2005" s="11" t="n">
        <v>16.65</v>
      </c>
      <c r="R2005" s="11" t="n">
        <f aca="false">SUM(K2005:Q2005)</f>
        <v>149.92</v>
      </c>
      <c r="S2005" s="11" t="n">
        <f aca="false">R2005/(1-Resumo!$C$6)</f>
        <v>170.363636363636</v>
      </c>
      <c r="T2005" s="11" t="n">
        <f aca="false">S2005-J2005</f>
        <v>48.2536363636363</v>
      </c>
      <c r="U2005" s="12" t="n">
        <f aca="false">IFERROR(S2005/J2005-1,0)</f>
        <v>0.395165312944364</v>
      </c>
      <c r="V2005" s="2" t="str">
        <f aca="false">IF(S2005&lt;J2005,"SIM","NÃO")</f>
        <v>NÃO</v>
      </c>
      <c r="W2005" s="2" t="n">
        <v>10</v>
      </c>
      <c r="X2005" s="2" t="s">
        <v>161</v>
      </c>
    </row>
    <row r="2006" customFormat="false" ht="15" hidden="false" customHeight="false" outlineLevel="0" collapsed="false">
      <c r="A2006" s="2" t="n">
        <v>398189600</v>
      </c>
      <c r="B2006" s="29" t="n">
        <v>46287.6212615741</v>
      </c>
      <c r="C2006" s="2" t="s">
        <v>158</v>
      </c>
      <c r="D2006" s="2" t="s">
        <v>2007</v>
      </c>
      <c r="E2006" s="2" t="s">
        <v>83</v>
      </c>
      <c r="F2006" s="2" t="s">
        <v>106</v>
      </c>
      <c r="G2006" s="30" t="n">
        <v>27.6</v>
      </c>
      <c r="H2006" s="11" t="n">
        <v>599.99</v>
      </c>
      <c r="I2006" s="11" t="s">
        <v>155</v>
      </c>
      <c r="J2006" s="11" t="n">
        <v>110.06</v>
      </c>
      <c r="K2006" s="11" t="n">
        <v>138.29</v>
      </c>
      <c r="L2006" s="11" t="n">
        <v>0.6</v>
      </c>
      <c r="M2006" s="11" t="n">
        <v>1.2</v>
      </c>
      <c r="N2006" s="11" t="n">
        <v>1</v>
      </c>
      <c r="O2006" s="11" t="n">
        <v>4.5</v>
      </c>
      <c r="P2006" s="11" t="n">
        <v>1.68</v>
      </c>
      <c r="Q2006" s="11" t="n">
        <v>12.6</v>
      </c>
      <c r="R2006" s="11" t="n">
        <f aca="false">SUM(K2006:Q2006)</f>
        <v>159.87</v>
      </c>
      <c r="S2006" s="11" t="n">
        <f aca="false">R2006/(1-Resumo!$C$6)</f>
        <v>181.670454545455</v>
      </c>
      <c r="T2006" s="11" t="n">
        <f aca="false">S2006-J2006</f>
        <v>71.6104545454545</v>
      </c>
      <c r="U2006" s="12" t="n">
        <f aca="false">IFERROR(S2006/J2006-1,0)</f>
        <v>0.650649232649959</v>
      </c>
      <c r="V2006" s="2" t="str">
        <f aca="false">IF(S2006&lt;J2006,"SIM","NÃO")</f>
        <v>NÃO</v>
      </c>
      <c r="W2006" s="2" t="n">
        <v>11</v>
      </c>
      <c r="X2006" s="2" t="s">
        <v>156</v>
      </c>
    </row>
    <row r="2007" customFormat="false" ht="15" hidden="false" customHeight="false" outlineLevel="0" collapsed="false">
      <c r="A2007" s="2" t="n">
        <v>398198221</v>
      </c>
      <c r="B2007" s="29" t="n">
        <v>46287.640150463</v>
      </c>
      <c r="C2007" s="2" t="s">
        <v>158</v>
      </c>
      <c r="D2007" s="2" t="s">
        <v>2008</v>
      </c>
      <c r="E2007" s="2" t="s">
        <v>89</v>
      </c>
      <c r="F2007" s="2" t="s">
        <v>110</v>
      </c>
      <c r="G2007" s="30" t="n">
        <v>68.1</v>
      </c>
      <c r="H2007" s="11" t="n">
        <v>768.92</v>
      </c>
      <c r="I2007" s="11" t="s">
        <v>155</v>
      </c>
      <c r="J2007" s="11" t="n">
        <v>155.7</v>
      </c>
      <c r="K2007" s="11" t="n">
        <v>166.05</v>
      </c>
      <c r="L2007" s="11" t="n">
        <v>0.7689</v>
      </c>
      <c r="M2007" s="11" t="n">
        <v>1.5378</v>
      </c>
      <c r="N2007" s="11" t="n">
        <v>1</v>
      </c>
      <c r="O2007" s="11" t="n">
        <v>4.5</v>
      </c>
      <c r="P2007" s="11" t="n">
        <v>4.14</v>
      </c>
      <c r="Q2007" s="11" t="n">
        <v>31.05</v>
      </c>
      <c r="R2007" s="11" t="n">
        <f aca="false">SUM(K2007:Q2007)</f>
        <v>209.0467</v>
      </c>
      <c r="S2007" s="11" t="n">
        <f aca="false">R2007/(1-Resumo!$C$6)</f>
        <v>237.553068181818</v>
      </c>
      <c r="T2007" s="11" t="n">
        <f aca="false">S2007-J2007</f>
        <v>81.8530681818182</v>
      </c>
      <c r="U2007" s="12" t="n">
        <f aca="false">IFERROR(S2007/J2007-1,0)</f>
        <v>0.525710136042506</v>
      </c>
      <c r="V2007" s="2" t="str">
        <f aca="false">IF(S2007&lt;J2007,"SIM","NÃO")</f>
        <v>NÃO</v>
      </c>
      <c r="W2007" s="2" t="n">
        <v>8</v>
      </c>
      <c r="X2007" s="2" t="s">
        <v>156</v>
      </c>
    </row>
    <row r="2008" customFormat="false" ht="15" hidden="false" customHeight="false" outlineLevel="0" collapsed="false">
      <c r="A2008" s="2" t="n">
        <v>398203855</v>
      </c>
      <c r="B2008" s="29" t="n">
        <v>46287.6526736111</v>
      </c>
      <c r="C2008" s="2" t="s">
        <v>158</v>
      </c>
      <c r="D2008" s="2" t="s">
        <v>2009</v>
      </c>
      <c r="E2008" s="2" t="s">
        <v>78</v>
      </c>
      <c r="F2008" s="2" t="s">
        <v>112</v>
      </c>
      <c r="G2008" s="30" t="n">
        <v>89</v>
      </c>
      <c r="H2008" s="11" t="n">
        <v>1371.8</v>
      </c>
      <c r="I2008" s="11" t="s">
        <v>155</v>
      </c>
      <c r="J2008" s="11" t="n">
        <v>165.66</v>
      </c>
      <c r="K2008" s="11" t="n">
        <v>167.99</v>
      </c>
      <c r="L2008" s="11" t="n">
        <v>1.3718</v>
      </c>
      <c r="M2008" s="11" t="n">
        <v>2.7436</v>
      </c>
      <c r="N2008" s="11" t="n">
        <v>1</v>
      </c>
      <c r="O2008" s="11" t="n">
        <v>4.5</v>
      </c>
      <c r="P2008" s="11" t="n">
        <v>5.34</v>
      </c>
      <c r="Q2008" s="11" t="n">
        <v>40.05</v>
      </c>
      <c r="R2008" s="11" t="n">
        <f aca="false">SUM(K2008:Q2008)</f>
        <v>222.9954</v>
      </c>
      <c r="S2008" s="11" t="n">
        <f aca="false">R2008/(1-Resumo!$C$6)</f>
        <v>253.403863636364</v>
      </c>
      <c r="T2008" s="11" t="n">
        <f aca="false">S2008-J2008</f>
        <v>87.7438636363637</v>
      </c>
      <c r="U2008" s="12" t="n">
        <f aca="false">IFERROR(S2008/J2008-1,0)</f>
        <v>0.529662342366073</v>
      </c>
      <c r="V2008" s="2" t="str">
        <f aca="false">IF(S2008&lt;J2008,"SIM","NÃO")</f>
        <v>NÃO</v>
      </c>
      <c r="W2008" s="2" t="n">
        <v>5</v>
      </c>
      <c r="X2008" s="2" t="s">
        <v>156</v>
      </c>
    </row>
    <row r="2009" customFormat="false" ht="15" hidden="false" customHeight="false" outlineLevel="0" collapsed="false">
      <c r="A2009" s="2" t="n">
        <v>398206751</v>
      </c>
      <c r="B2009" s="29" t="n">
        <v>46287.6598958333</v>
      </c>
      <c r="C2009" s="2" t="s">
        <v>153</v>
      </c>
      <c r="D2009" s="2" t="s">
        <v>2010</v>
      </c>
      <c r="E2009" s="2" t="s">
        <v>97</v>
      </c>
      <c r="F2009" s="2" t="s">
        <v>108</v>
      </c>
      <c r="G2009" s="30" t="n">
        <v>45</v>
      </c>
      <c r="H2009" s="11" t="n">
        <v>639.93</v>
      </c>
      <c r="I2009" s="11" t="s">
        <v>155</v>
      </c>
      <c r="J2009" s="11" t="n">
        <v>131.23</v>
      </c>
      <c r="K2009" s="11" t="n">
        <v>129.29</v>
      </c>
      <c r="L2009" s="11" t="n">
        <v>0.6399</v>
      </c>
      <c r="M2009" s="11" t="n">
        <v>1.2799</v>
      </c>
      <c r="N2009" s="11" t="n">
        <v>1</v>
      </c>
      <c r="O2009" s="11" t="n">
        <v>4.5</v>
      </c>
      <c r="P2009" s="11" t="n">
        <v>2.7</v>
      </c>
      <c r="Q2009" s="11" t="n">
        <v>20.25</v>
      </c>
      <c r="R2009" s="11" t="n">
        <f aca="false">SUM(K2009:Q2009)</f>
        <v>159.6598</v>
      </c>
      <c r="S2009" s="11" t="n">
        <f aca="false">R2009/(1-Resumo!$C$6)</f>
        <v>181.431590909091</v>
      </c>
      <c r="T2009" s="11" t="n">
        <f aca="false">S2009-J2009</f>
        <v>50.2015909090909</v>
      </c>
      <c r="U2009" s="12" t="n">
        <f aca="false">IFERROR(S2009/J2009-1,0)</f>
        <v>0.382546604504236</v>
      </c>
      <c r="V2009" s="2" t="str">
        <f aca="false">IF(S2009&lt;J2009,"SIM","NÃO")</f>
        <v>NÃO</v>
      </c>
      <c r="W2009" s="2" t="n">
        <v>10</v>
      </c>
      <c r="X2009" s="2" t="s">
        <v>156</v>
      </c>
    </row>
    <row r="2010" customFormat="false" ht="15" hidden="false" customHeight="false" outlineLevel="0" collapsed="false">
      <c r="A2010" s="2" t="n">
        <v>398211169</v>
      </c>
      <c r="B2010" s="29" t="n">
        <v>46287.6690740741</v>
      </c>
      <c r="C2010" s="2" t="s">
        <v>153</v>
      </c>
      <c r="D2010" s="2" t="s">
        <v>2011</v>
      </c>
      <c r="E2010" s="2" t="s">
        <v>78</v>
      </c>
      <c r="F2010" s="2" t="s">
        <v>109</v>
      </c>
      <c r="G2010" s="30" t="n">
        <v>52.3</v>
      </c>
      <c r="H2010" s="11" t="n">
        <v>699.99</v>
      </c>
      <c r="I2010" s="11" t="s">
        <v>155</v>
      </c>
      <c r="J2010" s="11" t="n">
        <v>114.5</v>
      </c>
      <c r="K2010" s="11" t="n">
        <v>112.3</v>
      </c>
      <c r="L2010" s="11" t="n">
        <v>0.7</v>
      </c>
      <c r="M2010" s="11" t="n">
        <v>1.4</v>
      </c>
      <c r="N2010" s="11" t="n">
        <v>1</v>
      </c>
      <c r="O2010" s="11" t="n">
        <v>4.5</v>
      </c>
      <c r="P2010" s="11" t="n">
        <v>3.18</v>
      </c>
      <c r="Q2010" s="11" t="n">
        <v>23.85</v>
      </c>
      <c r="R2010" s="11" t="n">
        <f aca="false">SUM(K2010:Q2010)</f>
        <v>146.93</v>
      </c>
      <c r="S2010" s="11" t="n">
        <f aca="false">R2010/(1-Resumo!$C$6)</f>
        <v>166.965909090909</v>
      </c>
      <c r="T2010" s="11" t="n">
        <f aca="false">S2010-J2010</f>
        <v>52.4659090909091</v>
      </c>
      <c r="U2010" s="12" t="n">
        <f aca="false">IFERROR(S2010/J2010-1,0)</f>
        <v>0.458217546645494</v>
      </c>
      <c r="V2010" s="2" t="str">
        <f aca="false">IF(S2010&lt;J2010,"SIM","NÃO")</f>
        <v>NÃO</v>
      </c>
      <c r="W2010" s="2" t="n">
        <v>5</v>
      </c>
      <c r="X2010" s="2" t="s">
        <v>156</v>
      </c>
    </row>
    <row r="2011" customFormat="false" ht="15" hidden="false" customHeight="false" outlineLevel="0" collapsed="false">
      <c r="A2011" s="2" t="n">
        <v>398217769</v>
      </c>
      <c r="B2011" s="29" t="n">
        <v>46287.6822569444</v>
      </c>
      <c r="C2011" s="2" t="s">
        <v>153</v>
      </c>
      <c r="D2011" s="2" t="s">
        <v>861</v>
      </c>
      <c r="E2011" s="2" t="s">
        <v>79</v>
      </c>
      <c r="F2011" s="2" t="s">
        <v>106</v>
      </c>
      <c r="G2011" s="30" t="n">
        <v>31</v>
      </c>
      <c r="H2011" s="11" t="n">
        <v>297.99</v>
      </c>
      <c r="I2011" s="11" t="s">
        <v>155</v>
      </c>
      <c r="J2011" s="11" t="n">
        <v>100.83</v>
      </c>
      <c r="K2011" s="11" t="n">
        <v>100.58</v>
      </c>
      <c r="L2011" s="11" t="n">
        <v>0.298</v>
      </c>
      <c r="M2011" s="11" t="n">
        <v>0.596</v>
      </c>
      <c r="N2011" s="11" t="n">
        <v>1</v>
      </c>
      <c r="O2011" s="11" t="n">
        <v>4.5</v>
      </c>
      <c r="P2011" s="11" t="n">
        <v>1.86</v>
      </c>
      <c r="Q2011" s="11" t="n">
        <v>13.95</v>
      </c>
      <c r="R2011" s="11" t="n">
        <f aca="false">SUM(K2011:Q2011)</f>
        <v>122.784</v>
      </c>
      <c r="S2011" s="11" t="n">
        <f aca="false">R2011/(1-Resumo!$C$6)</f>
        <v>139.527272727273</v>
      </c>
      <c r="T2011" s="11" t="n">
        <f aca="false">S2011-J2011</f>
        <v>38.6972727272727</v>
      </c>
      <c r="U2011" s="12" t="n">
        <f aca="false">IFERROR(S2011/J2011-1,0)</f>
        <v>0.383787292742961</v>
      </c>
      <c r="V2011" s="2" t="str">
        <f aca="false">IF(S2011&lt;J2011,"SIM","NÃO")</f>
        <v>NÃO</v>
      </c>
      <c r="W2011" s="2" t="n">
        <v>7</v>
      </c>
      <c r="X2011" s="2" t="s">
        <v>156</v>
      </c>
    </row>
    <row r="2012" customFormat="false" ht="15" hidden="false" customHeight="false" outlineLevel="0" collapsed="false">
      <c r="A2012" s="2" t="n">
        <v>398236163</v>
      </c>
      <c r="B2012" s="29" t="n">
        <v>46287.7195833333</v>
      </c>
      <c r="C2012" s="2" t="s">
        <v>153</v>
      </c>
      <c r="D2012" s="2" t="s">
        <v>2012</v>
      </c>
      <c r="E2012" s="2" t="s">
        <v>81</v>
      </c>
      <c r="F2012" s="2" t="s">
        <v>107</v>
      </c>
      <c r="G2012" s="30" t="n">
        <v>37.5</v>
      </c>
      <c r="H2012" s="11" t="n">
        <v>399.99</v>
      </c>
      <c r="I2012" s="11" t="s">
        <v>155</v>
      </c>
      <c r="J2012" s="11" t="n">
        <v>112.88</v>
      </c>
      <c r="K2012" s="11" t="n">
        <v>93.97</v>
      </c>
      <c r="L2012" s="11" t="n">
        <v>0.4</v>
      </c>
      <c r="M2012" s="11" t="n">
        <v>0.8</v>
      </c>
      <c r="N2012" s="11" t="n">
        <v>1</v>
      </c>
      <c r="O2012" s="11" t="n">
        <v>4.5</v>
      </c>
      <c r="P2012" s="11" t="n">
        <v>2.28</v>
      </c>
      <c r="Q2012" s="11" t="n">
        <v>17.1</v>
      </c>
      <c r="R2012" s="11" t="n">
        <f aca="false">SUM(K2012:Q2012)</f>
        <v>120.05</v>
      </c>
      <c r="S2012" s="11" t="n">
        <f aca="false">R2012/(1-Resumo!$C$6)</f>
        <v>136.420454545455</v>
      </c>
      <c r="T2012" s="11" t="n">
        <f aca="false">S2012-J2012</f>
        <v>23.5404545454546</v>
      </c>
      <c r="U2012" s="12" t="n">
        <f aca="false">IFERROR(S2012/J2012-1,0)</f>
        <v>0.20854406932543</v>
      </c>
      <c r="V2012" s="2" t="str">
        <f aca="false">IF(S2012&lt;J2012,"SIM","NÃO")</f>
        <v>NÃO</v>
      </c>
      <c r="W2012" s="2" t="n">
        <v>5</v>
      </c>
      <c r="X2012" s="2" t="s">
        <v>156</v>
      </c>
    </row>
    <row r="2013" customFormat="false" ht="15" hidden="false" customHeight="false" outlineLevel="0" collapsed="false">
      <c r="A2013" s="2" t="n">
        <v>398238291</v>
      </c>
      <c r="B2013" s="29" t="n">
        <v>46287.7236226852</v>
      </c>
      <c r="C2013" s="2" t="s">
        <v>158</v>
      </c>
      <c r="D2013" s="2" t="s">
        <v>2013</v>
      </c>
      <c r="E2013" s="2" t="s">
        <v>1387</v>
      </c>
      <c r="F2013" s="2" t="s">
        <v>106</v>
      </c>
      <c r="G2013" s="30" t="n">
        <v>22.04</v>
      </c>
      <c r="H2013" s="11" t="n">
        <v>272.33</v>
      </c>
      <c r="I2013" s="11" t="s">
        <v>155</v>
      </c>
      <c r="J2013" s="11" t="n">
        <v>108.48</v>
      </c>
      <c r="K2013" s="11" t="n">
        <v>100.58</v>
      </c>
      <c r="L2013" s="11" t="n">
        <v>0.2723</v>
      </c>
      <c r="M2013" s="11" t="n">
        <v>0.5447</v>
      </c>
      <c r="N2013" s="11" t="n">
        <v>1</v>
      </c>
      <c r="O2013" s="11" t="n">
        <v>4.5</v>
      </c>
      <c r="P2013" s="11" t="n">
        <v>1.38</v>
      </c>
      <c r="Q2013" s="11" t="n">
        <v>10.35</v>
      </c>
      <c r="R2013" s="11" t="n">
        <f aca="false">SUM(K2013:Q2013)</f>
        <v>118.627</v>
      </c>
      <c r="S2013" s="11" t="n">
        <f aca="false">R2013/(1-Resumo!$C$6)</f>
        <v>134.803409090909</v>
      </c>
      <c r="T2013" s="11" t="n">
        <f aca="false">S2013-J2013</f>
        <v>26.3234090909091</v>
      </c>
      <c r="U2013" s="12" t="n">
        <f aca="false">IFERROR(S2013/J2013-1,0)</f>
        <v>0.242656794717082</v>
      </c>
      <c r="V2013" s="2" t="str">
        <f aca="false">IF(S2013&lt;J2013,"SIM","NÃO")</f>
        <v>NÃO</v>
      </c>
      <c r="W2013" s="2" t="n">
        <v>7</v>
      </c>
      <c r="X2013" s="2" t="s">
        <v>161</v>
      </c>
    </row>
    <row r="2014" customFormat="false" ht="15" hidden="false" customHeight="false" outlineLevel="0" collapsed="false">
      <c r="A2014" s="2" t="n">
        <v>398253167</v>
      </c>
      <c r="B2014" s="29" t="n">
        <v>46287.7556828704</v>
      </c>
      <c r="C2014" s="2" t="s">
        <v>153</v>
      </c>
      <c r="D2014" s="2" t="s">
        <v>738</v>
      </c>
      <c r="E2014" s="2" t="s">
        <v>739</v>
      </c>
      <c r="F2014" s="2" t="s">
        <v>107</v>
      </c>
      <c r="G2014" s="30" t="n">
        <v>40</v>
      </c>
      <c r="H2014" s="11" t="n">
        <v>487.99</v>
      </c>
      <c r="I2014" s="11" t="s">
        <v>155</v>
      </c>
      <c r="J2014" s="11" t="n">
        <v>122.59</v>
      </c>
      <c r="K2014" s="11" t="n">
        <v>143.04</v>
      </c>
      <c r="L2014" s="11" t="n">
        <v>0.488</v>
      </c>
      <c r="M2014" s="11" t="n">
        <v>0.976</v>
      </c>
      <c r="N2014" s="11" t="n">
        <v>1</v>
      </c>
      <c r="O2014" s="11" t="n">
        <v>4.5</v>
      </c>
      <c r="P2014" s="11" t="n">
        <v>2.4</v>
      </c>
      <c r="Q2014" s="11" t="n">
        <v>18</v>
      </c>
      <c r="R2014" s="11" t="n">
        <f aca="false">SUM(K2014:Q2014)</f>
        <v>170.404</v>
      </c>
      <c r="S2014" s="11" t="n">
        <f aca="false">R2014/(1-Resumo!$C$6)</f>
        <v>193.640909090909</v>
      </c>
      <c r="T2014" s="11" t="n">
        <f aca="false">S2014-J2014</f>
        <v>71.0509090909091</v>
      </c>
      <c r="U2014" s="12" t="n">
        <f aca="false">IFERROR(S2014/J2014-1,0)</f>
        <v>0.579581606092741</v>
      </c>
      <c r="V2014" s="2" t="str">
        <f aca="false">IF(S2014&lt;J2014,"SIM","NÃO")</f>
        <v>NÃO</v>
      </c>
      <c r="W2014" s="2" t="n">
        <v>11</v>
      </c>
      <c r="X2014" s="2" t="s">
        <v>161</v>
      </c>
    </row>
    <row r="2015" customFormat="false" ht="15" hidden="false" customHeight="false" outlineLevel="0" collapsed="false">
      <c r="A2015" s="2" t="n">
        <v>398288231</v>
      </c>
      <c r="B2015" s="29" t="n">
        <v>46287.8164583333</v>
      </c>
      <c r="C2015" s="2" t="s">
        <v>158</v>
      </c>
      <c r="D2015" s="2" t="s">
        <v>1853</v>
      </c>
      <c r="E2015" s="2" t="s">
        <v>78</v>
      </c>
      <c r="F2015" s="2" t="s">
        <v>106</v>
      </c>
      <c r="G2015" s="30" t="n">
        <v>27.5</v>
      </c>
      <c r="H2015" s="11" t="n">
        <v>343.52</v>
      </c>
      <c r="I2015" s="11" t="s">
        <v>155</v>
      </c>
      <c r="J2015" s="11" t="n">
        <v>81.98</v>
      </c>
      <c r="K2015" s="11" t="n">
        <v>82.21</v>
      </c>
      <c r="L2015" s="11" t="n">
        <v>0.3435</v>
      </c>
      <c r="M2015" s="11" t="n">
        <v>0.687</v>
      </c>
      <c r="N2015" s="11" t="n">
        <v>1</v>
      </c>
      <c r="O2015" s="11" t="n">
        <v>4.5</v>
      </c>
      <c r="P2015" s="11" t="n">
        <v>1.68</v>
      </c>
      <c r="Q2015" s="11" t="n">
        <v>12.6</v>
      </c>
      <c r="R2015" s="11" t="n">
        <f aca="false">SUM(K2015:Q2015)</f>
        <v>103.0205</v>
      </c>
      <c r="S2015" s="11" t="n">
        <f aca="false">R2015/(1-Resumo!$C$6)</f>
        <v>117.06875</v>
      </c>
      <c r="T2015" s="11" t="n">
        <f aca="false">S2015-J2015</f>
        <v>35.08875</v>
      </c>
      <c r="U2015" s="12" t="n">
        <f aca="false">IFERROR(S2015/J2015-1,0)</f>
        <v>0.428015979507197</v>
      </c>
      <c r="V2015" s="2" t="str">
        <f aca="false">IF(S2015&lt;J2015,"SIM","NÃO")</f>
        <v>NÃO</v>
      </c>
      <c r="W2015" s="2" t="n">
        <v>5</v>
      </c>
      <c r="X2015" s="2" t="s">
        <v>156</v>
      </c>
    </row>
    <row r="2016" customFormat="false" ht="15" hidden="false" customHeight="false" outlineLevel="0" collapsed="false">
      <c r="A2016" s="2" t="n">
        <v>398296492</v>
      </c>
      <c r="B2016" s="29" t="n">
        <v>46287.8327199074</v>
      </c>
      <c r="C2016" s="2" t="s">
        <v>153</v>
      </c>
      <c r="D2016" s="2" t="s">
        <v>2014</v>
      </c>
      <c r="E2016" s="2" t="s">
        <v>78</v>
      </c>
      <c r="F2016" s="2" t="s">
        <v>106</v>
      </c>
      <c r="G2016" s="30" t="n">
        <v>30.5</v>
      </c>
      <c r="H2016" s="11" t="n">
        <v>406.6</v>
      </c>
      <c r="I2016" s="11" t="s">
        <v>155</v>
      </c>
      <c r="J2016" s="11" t="n">
        <v>82.26</v>
      </c>
      <c r="K2016" s="11" t="n">
        <v>82.21</v>
      </c>
      <c r="L2016" s="11" t="n">
        <v>0.4066</v>
      </c>
      <c r="M2016" s="11" t="n">
        <v>0.8132</v>
      </c>
      <c r="N2016" s="11" t="n">
        <v>1</v>
      </c>
      <c r="O2016" s="11" t="n">
        <v>4.5</v>
      </c>
      <c r="P2016" s="11" t="n">
        <v>1.86</v>
      </c>
      <c r="Q2016" s="11" t="n">
        <v>13.95</v>
      </c>
      <c r="R2016" s="11" t="n">
        <f aca="false">SUM(K2016:Q2016)</f>
        <v>104.7398</v>
      </c>
      <c r="S2016" s="11" t="n">
        <f aca="false">R2016/(1-Resumo!$C$6)</f>
        <v>119.0225</v>
      </c>
      <c r="T2016" s="11" t="n">
        <f aca="false">S2016-J2016</f>
        <v>36.7625</v>
      </c>
      <c r="U2016" s="12" t="n">
        <f aca="false">IFERROR(S2016/J2016-1,0)</f>
        <v>0.446906151227814</v>
      </c>
      <c r="V2016" s="2" t="str">
        <f aca="false">IF(S2016&lt;J2016,"SIM","NÃO")</f>
        <v>NÃO</v>
      </c>
      <c r="W2016" s="2" t="n">
        <v>5</v>
      </c>
      <c r="X2016" s="2" t="s">
        <v>156</v>
      </c>
    </row>
    <row r="2017" customFormat="false" ht="15" hidden="false" customHeight="false" outlineLevel="0" collapsed="false">
      <c r="A2017" s="2" t="n">
        <v>398306012</v>
      </c>
      <c r="B2017" s="29" t="n">
        <v>46287.8519675926</v>
      </c>
      <c r="C2017" s="2" t="s">
        <v>158</v>
      </c>
      <c r="D2017" s="2" t="s">
        <v>2015</v>
      </c>
      <c r="E2017" s="2" t="s">
        <v>78</v>
      </c>
      <c r="F2017" s="2" t="s">
        <v>107</v>
      </c>
      <c r="G2017" s="30" t="n">
        <v>36.8</v>
      </c>
      <c r="H2017" s="11" t="n">
        <v>469.99</v>
      </c>
      <c r="I2017" s="11" t="s">
        <v>155</v>
      </c>
      <c r="J2017" s="11" t="n">
        <v>92.11</v>
      </c>
      <c r="K2017" s="11" t="n">
        <v>93.97</v>
      </c>
      <c r="L2017" s="11" t="n">
        <v>0.47</v>
      </c>
      <c r="M2017" s="11" t="n">
        <v>0.94</v>
      </c>
      <c r="N2017" s="11" t="n">
        <v>1</v>
      </c>
      <c r="O2017" s="11" t="n">
        <v>4.5</v>
      </c>
      <c r="P2017" s="11" t="n">
        <v>2.22</v>
      </c>
      <c r="Q2017" s="11" t="n">
        <v>16.65</v>
      </c>
      <c r="R2017" s="11" t="n">
        <f aca="false">SUM(K2017:Q2017)</f>
        <v>119.75</v>
      </c>
      <c r="S2017" s="11" t="n">
        <f aca="false">R2017/(1-Resumo!$C$6)</f>
        <v>136.079545454545</v>
      </c>
      <c r="T2017" s="11" t="n">
        <f aca="false">S2017-J2017</f>
        <v>43.9695454545455</v>
      </c>
      <c r="U2017" s="12" t="n">
        <f aca="false">IFERROR(S2017/J2017-1,0)</f>
        <v>0.477359086467761</v>
      </c>
      <c r="V2017" s="2" t="str">
        <f aca="false">IF(S2017&lt;J2017,"SIM","NÃO")</f>
        <v>NÃO</v>
      </c>
      <c r="W2017" s="2" t="n">
        <v>5</v>
      </c>
      <c r="X2017" s="2" t="s">
        <v>156</v>
      </c>
    </row>
    <row r="2018" customFormat="false" ht="15" hidden="false" customHeight="false" outlineLevel="0" collapsed="false">
      <c r="A2018" s="2" t="n">
        <v>398309939</v>
      </c>
      <c r="B2018" s="29" t="n">
        <v>46287.8618634259</v>
      </c>
      <c r="C2018" s="2" t="s">
        <v>194</v>
      </c>
      <c r="D2018" s="2" t="s">
        <v>317</v>
      </c>
      <c r="E2018" s="2" t="s">
        <v>78</v>
      </c>
      <c r="F2018" s="2" t="s">
        <v>107</v>
      </c>
      <c r="G2018" s="30" t="n">
        <v>35.4</v>
      </c>
      <c r="H2018" s="11" t="n">
        <v>539.99</v>
      </c>
      <c r="I2018" s="11" t="s">
        <v>155</v>
      </c>
      <c r="J2018" s="11" t="n">
        <v>92.44</v>
      </c>
      <c r="K2018" s="11" t="n">
        <v>93.97</v>
      </c>
      <c r="L2018" s="11" t="n">
        <v>0.54</v>
      </c>
      <c r="M2018" s="11" t="n">
        <v>1.08</v>
      </c>
      <c r="N2018" s="11" t="n">
        <v>1</v>
      </c>
      <c r="O2018" s="11" t="n">
        <v>4.5</v>
      </c>
      <c r="P2018" s="11" t="n">
        <v>2.16</v>
      </c>
      <c r="Q2018" s="11" t="n">
        <v>16.2</v>
      </c>
      <c r="R2018" s="11" t="n">
        <f aca="false">SUM(K2018:Q2018)</f>
        <v>119.45</v>
      </c>
      <c r="S2018" s="11" t="n">
        <f aca="false">R2018/(1-Resumo!$C$6)</f>
        <v>135.738636363636</v>
      </c>
      <c r="T2018" s="11" t="n">
        <f aca="false">S2018-J2018</f>
        <v>43.2986363636364</v>
      </c>
      <c r="U2018" s="12" t="n">
        <f aca="false">IFERROR(S2018/J2018-1,0)</f>
        <v>0.468397191298533</v>
      </c>
      <c r="V2018" s="2" t="str">
        <f aca="false">IF(S2018&lt;J2018,"SIM","NÃO")</f>
        <v>NÃO</v>
      </c>
      <c r="W2018" s="2" t="n">
        <v>5</v>
      </c>
      <c r="X2018" s="2" t="s">
        <v>156</v>
      </c>
    </row>
    <row r="2019" customFormat="false" ht="15" hidden="false" customHeight="false" outlineLevel="0" collapsed="false">
      <c r="A2019" s="2" t="n">
        <v>398317590</v>
      </c>
      <c r="B2019" s="29" t="n">
        <v>46287.8776736111</v>
      </c>
      <c r="C2019" s="2" t="s">
        <v>153</v>
      </c>
      <c r="D2019" s="2" t="s">
        <v>2016</v>
      </c>
      <c r="E2019" s="2" t="s">
        <v>78</v>
      </c>
      <c r="F2019" s="2" t="s">
        <v>106</v>
      </c>
      <c r="G2019" s="30" t="n">
        <v>33.3</v>
      </c>
      <c r="H2019" s="11" t="n">
        <v>389.99</v>
      </c>
      <c r="I2019" s="11" t="s">
        <v>155</v>
      </c>
      <c r="J2019" s="11" t="n">
        <v>82.19</v>
      </c>
      <c r="K2019" s="11" t="n">
        <v>82.21</v>
      </c>
      <c r="L2019" s="11" t="n">
        <v>0.39</v>
      </c>
      <c r="M2019" s="11" t="n">
        <v>0.78</v>
      </c>
      <c r="N2019" s="11" t="n">
        <v>1</v>
      </c>
      <c r="O2019" s="11" t="n">
        <v>4.5</v>
      </c>
      <c r="P2019" s="11" t="n">
        <v>2.04</v>
      </c>
      <c r="Q2019" s="11" t="n">
        <v>15.3</v>
      </c>
      <c r="R2019" s="11" t="n">
        <f aca="false">SUM(K2019:Q2019)</f>
        <v>106.22</v>
      </c>
      <c r="S2019" s="11" t="n">
        <f aca="false">R2019/(1-Resumo!$C$6)</f>
        <v>120.704545454545</v>
      </c>
      <c r="T2019" s="11" t="n">
        <f aca="false">S2019-J2019</f>
        <v>38.5145454545454</v>
      </c>
      <c r="U2019" s="12" t="n">
        <f aca="false">IFERROR(S2019/J2019-1,0)</f>
        <v>0.468603789445741</v>
      </c>
      <c r="V2019" s="2" t="str">
        <f aca="false">IF(S2019&lt;J2019,"SIM","NÃO")</f>
        <v>NÃO</v>
      </c>
      <c r="W2019" s="2" t="n">
        <v>5</v>
      </c>
      <c r="X2019" s="2" t="s">
        <v>156</v>
      </c>
    </row>
    <row r="2020" customFormat="false" ht="15" hidden="false" customHeight="false" outlineLevel="0" collapsed="false">
      <c r="A2020" s="2" t="n">
        <v>398323895</v>
      </c>
      <c r="B2020" s="29" t="n">
        <v>46287.8911458333</v>
      </c>
      <c r="C2020" s="2" t="s">
        <v>158</v>
      </c>
      <c r="D2020" s="2" t="s">
        <v>2017</v>
      </c>
      <c r="E2020" s="2" t="s">
        <v>78</v>
      </c>
      <c r="F2020" s="2" t="s">
        <v>106</v>
      </c>
      <c r="G2020" s="30" t="n">
        <v>22.6</v>
      </c>
      <c r="H2020" s="11" t="n">
        <v>460</v>
      </c>
      <c r="I2020" s="11" t="s">
        <v>155</v>
      </c>
      <c r="J2020" s="11" t="n">
        <v>82.53</v>
      </c>
      <c r="K2020" s="11" t="n">
        <v>82.21</v>
      </c>
      <c r="L2020" s="11" t="n">
        <v>0.46</v>
      </c>
      <c r="M2020" s="11" t="n">
        <v>0.92</v>
      </c>
      <c r="N2020" s="11" t="n">
        <v>1</v>
      </c>
      <c r="O2020" s="11" t="n">
        <v>4.5</v>
      </c>
      <c r="P2020" s="11" t="n">
        <v>1.38</v>
      </c>
      <c r="Q2020" s="11" t="n">
        <v>10.35</v>
      </c>
      <c r="R2020" s="11" t="n">
        <f aca="false">SUM(K2020:Q2020)</f>
        <v>100.82</v>
      </c>
      <c r="S2020" s="11" t="n">
        <f aca="false">R2020/(1-Resumo!$C$6)</f>
        <v>114.568181818182</v>
      </c>
      <c r="T2020" s="11" t="n">
        <f aca="false">S2020-J2020</f>
        <v>32.0381818181818</v>
      </c>
      <c r="U2020" s="12" t="n">
        <f aca="false">IFERROR(S2020/J2020-1,0)</f>
        <v>0.388200434001961</v>
      </c>
      <c r="V2020" s="2" t="str">
        <f aca="false">IF(S2020&lt;J2020,"SIM","NÃO")</f>
        <v>NÃO</v>
      </c>
      <c r="W2020" s="2" t="n">
        <v>5</v>
      </c>
      <c r="X2020" s="2" t="s">
        <v>156</v>
      </c>
    </row>
    <row r="2021" customFormat="false" ht="15" hidden="false" customHeight="false" outlineLevel="0" collapsed="false">
      <c r="A2021" s="2" t="n">
        <v>398328489</v>
      </c>
      <c r="B2021" s="29" t="n">
        <v>46287.9007175926</v>
      </c>
      <c r="C2021" s="2" t="s">
        <v>153</v>
      </c>
      <c r="D2021" s="2" t="s">
        <v>2018</v>
      </c>
      <c r="E2021" s="2" t="s">
        <v>650</v>
      </c>
      <c r="F2021" s="2" t="s">
        <v>106</v>
      </c>
      <c r="G2021" s="30" t="n">
        <v>33</v>
      </c>
      <c r="H2021" s="11" t="n">
        <v>438.93</v>
      </c>
      <c r="I2021" s="11" t="s">
        <v>155</v>
      </c>
      <c r="J2021" s="11" t="n">
        <v>109.28</v>
      </c>
      <c r="K2021" s="11" t="n">
        <v>114.95</v>
      </c>
      <c r="L2021" s="11" t="n">
        <v>0.4389</v>
      </c>
      <c r="M2021" s="11" t="n">
        <v>0.8779</v>
      </c>
      <c r="N2021" s="11" t="n">
        <v>1</v>
      </c>
      <c r="O2021" s="11" t="n">
        <v>4.5</v>
      </c>
      <c r="P2021" s="11" t="n">
        <v>1.98</v>
      </c>
      <c r="Q2021" s="11" t="n">
        <v>14.85</v>
      </c>
      <c r="R2021" s="11" t="n">
        <f aca="false">SUM(K2021:Q2021)</f>
        <v>138.5968</v>
      </c>
      <c r="S2021" s="11" t="n">
        <f aca="false">R2021/(1-Resumo!$C$6)</f>
        <v>157.496363636364</v>
      </c>
      <c r="T2021" s="11" t="n">
        <f aca="false">S2021-J2021</f>
        <v>48.2163636363636</v>
      </c>
      <c r="U2021" s="12" t="n">
        <f aca="false">IFERROR(S2021/J2021-1,0)</f>
        <v>0.441218554505524</v>
      </c>
      <c r="V2021" s="2" t="str">
        <f aca="false">IF(S2021&lt;J2021,"SIM","NÃO")</f>
        <v>NÃO</v>
      </c>
      <c r="W2021" s="2" t="n">
        <v>10</v>
      </c>
      <c r="X2021" s="2" t="s">
        <v>161</v>
      </c>
    </row>
    <row r="2022" customFormat="false" ht="15" hidden="false" customHeight="false" outlineLevel="0" collapsed="false">
      <c r="A2022" s="2" t="n">
        <v>398339007</v>
      </c>
      <c r="B2022" s="29" t="n">
        <v>46287.9239814815</v>
      </c>
      <c r="C2022" s="2" t="s">
        <v>153</v>
      </c>
      <c r="D2022" s="2" t="s">
        <v>2019</v>
      </c>
      <c r="E2022" s="2" t="s">
        <v>78</v>
      </c>
      <c r="F2022" s="2" t="s">
        <v>106</v>
      </c>
      <c r="G2022" s="30" t="n">
        <v>22.4</v>
      </c>
      <c r="H2022" s="11" t="n">
        <v>508.23</v>
      </c>
      <c r="I2022" s="11" t="s">
        <v>155</v>
      </c>
      <c r="J2022" s="11" t="n">
        <v>82.77</v>
      </c>
      <c r="K2022" s="11" t="n">
        <v>82.21</v>
      </c>
      <c r="L2022" s="11" t="n">
        <v>0.5082</v>
      </c>
      <c r="M2022" s="11" t="n">
        <v>1.0165</v>
      </c>
      <c r="N2022" s="11" t="n">
        <v>1</v>
      </c>
      <c r="O2022" s="11" t="n">
        <v>4.5</v>
      </c>
      <c r="P2022" s="11" t="n">
        <v>1.38</v>
      </c>
      <c r="Q2022" s="11" t="n">
        <v>10.35</v>
      </c>
      <c r="R2022" s="11" t="n">
        <f aca="false">SUM(K2022:Q2022)</f>
        <v>100.9647</v>
      </c>
      <c r="S2022" s="11" t="n">
        <f aca="false">R2022/(1-Resumo!$C$6)</f>
        <v>114.732613636364</v>
      </c>
      <c r="T2022" s="11" t="n">
        <f aca="false">S2022-J2022</f>
        <v>31.9626136363636</v>
      </c>
      <c r="U2022" s="12" t="n">
        <f aca="false">IFERROR(S2022/J2022-1,0)</f>
        <v>0.386161817522818</v>
      </c>
      <c r="V2022" s="2" t="str">
        <f aca="false">IF(S2022&lt;J2022,"SIM","NÃO")</f>
        <v>NÃO</v>
      </c>
      <c r="W2022" s="2" t="n">
        <v>5</v>
      </c>
      <c r="X2022" s="2" t="s">
        <v>156</v>
      </c>
    </row>
    <row r="2023" customFormat="false" ht="15" hidden="false" customHeight="false" outlineLevel="0" collapsed="false">
      <c r="A2023" s="2" t="n">
        <v>398353086</v>
      </c>
      <c r="B2023" s="29" t="n">
        <v>46287.9556365741</v>
      </c>
      <c r="C2023" s="2" t="s">
        <v>198</v>
      </c>
      <c r="D2023" s="2" t="s">
        <v>2020</v>
      </c>
      <c r="E2023" s="2" t="s">
        <v>97</v>
      </c>
      <c r="F2023" s="2" t="s">
        <v>108</v>
      </c>
      <c r="G2023" s="30" t="n">
        <v>49.6</v>
      </c>
      <c r="H2023" s="11" t="n">
        <v>719.99</v>
      </c>
      <c r="I2023" s="11" t="s">
        <v>155</v>
      </c>
      <c r="J2023" s="11" t="n">
        <v>131.61</v>
      </c>
      <c r="K2023" s="11" t="n">
        <v>129.29</v>
      </c>
      <c r="L2023" s="11" t="n">
        <v>0.72</v>
      </c>
      <c r="M2023" s="11" t="n">
        <v>1.44</v>
      </c>
      <c r="N2023" s="11" t="n">
        <v>1</v>
      </c>
      <c r="O2023" s="11" t="n">
        <v>4.5</v>
      </c>
      <c r="P2023" s="11" t="n">
        <v>3</v>
      </c>
      <c r="Q2023" s="11" t="n">
        <v>22.5</v>
      </c>
      <c r="R2023" s="11" t="n">
        <f aca="false">SUM(K2023:Q2023)</f>
        <v>162.45</v>
      </c>
      <c r="S2023" s="11" t="n">
        <f aca="false">R2023/(1-Resumo!$C$6)</f>
        <v>184.602272727273</v>
      </c>
      <c r="T2023" s="11" t="n">
        <f aca="false">S2023-J2023</f>
        <v>52.9922727272727</v>
      </c>
      <c r="U2023" s="12" t="n">
        <f aca="false">IFERROR(S2023/J2023-1,0)</f>
        <v>0.402646248212694</v>
      </c>
      <c r="V2023" s="2" t="str">
        <f aca="false">IF(S2023&lt;J2023,"SIM","NÃO")</f>
        <v>NÃO</v>
      </c>
      <c r="W2023" s="2" t="n">
        <v>10</v>
      </c>
      <c r="X2023" s="2" t="s">
        <v>156</v>
      </c>
    </row>
    <row r="2024" customFormat="false" ht="15" hidden="false" customHeight="false" outlineLevel="0" collapsed="false">
      <c r="A2024" s="2" t="n">
        <v>398373246</v>
      </c>
      <c r="B2024" s="29" t="n">
        <v>46288.0153703704</v>
      </c>
      <c r="C2024" s="2" t="s">
        <v>191</v>
      </c>
      <c r="D2024" s="2" t="s">
        <v>2021</v>
      </c>
      <c r="E2024" s="2" t="s">
        <v>78</v>
      </c>
      <c r="F2024" s="2" t="s">
        <v>107</v>
      </c>
      <c r="G2024" s="30" t="n">
        <v>37.2</v>
      </c>
      <c r="H2024" s="11" t="n">
        <v>419.99</v>
      </c>
      <c r="I2024" s="11" t="s">
        <v>155</v>
      </c>
      <c r="J2024" s="11" t="n">
        <v>91.86</v>
      </c>
      <c r="K2024" s="11" t="n">
        <v>93.97</v>
      </c>
      <c r="L2024" s="11" t="n">
        <v>0.42</v>
      </c>
      <c r="M2024" s="11" t="n">
        <v>0.84</v>
      </c>
      <c r="N2024" s="11" t="n">
        <v>1</v>
      </c>
      <c r="O2024" s="11" t="n">
        <v>4.5</v>
      </c>
      <c r="P2024" s="11" t="n">
        <v>2.28</v>
      </c>
      <c r="Q2024" s="11" t="n">
        <v>17.1</v>
      </c>
      <c r="R2024" s="11" t="n">
        <f aca="false">SUM(K2024:Q2024)</f>
        <v>120.11</v>
      </c>
      <c r="S2024" s="11" t="n">
        <f aca="false">R2024/(1-Resumo!$C$6)</f>
        <v>136.488636363636</v>
      </c>
      <c r="T2024" s="11" t="n">
        <f aca="false">S2024-J2024</f>
        <v>44.6286363636364</v>
      </c>
      <c r="U2024" s="12" t="n">
        <f aca="false">IFERROR(S2024/J2024-1,0)</f>
        <v>0.485833184886092</v>
      </c>
      <c r="V2024" s="2" t="str">
        <f aca="false">IF(S2024&lt;J2024,"SIM","NÃO")</f>
        <v>NÃO</v>
      </c>
      <c r="W2024" s="2" t="n">
        <v>5</v>
      </c>
      <c r="X2024" s="2" t="s">
        <v>156</v>
      </c>
    </row>
    <row r="2025" customFormat="false" ht="15" hidden="false" customHeight="false" outlineLevel="0" collapsed="false">
      <c r="A2025" s="2" t="n">
        <v>398380093</v>
      </c>
      <c r="B2025" s="29" t="n">
        <v>46288.0337384259</v>
      </c>
      <c r="C2025" s="2" t="s">
        <v>153</v>
      </c>
      <c r="D2025" s="2" t="s">
        <v>2022</v>
      </c>
      <c r="E2025" s="2" t="s">
        <v>89</v>
      </c>
      <c r="F2025" s="2" t="s">
        <v>107</v>
      </c>
      <c r="G2025" s="30" t="n">
        <v>37.2</v>
      </c>
      <c r="H2025" s="11" t="n">
        <v>387.95</v>
      </c>
      <c r="I2025" s="11" t="s">
        <v>155</v>
      </c>
      <c r="J2025" s="11" t="n">
        <v>122.11</v>
      </c>
      <c r="K2025" s="11" t="n">
        <v>124.38</v>
      </c>
      <c r="L2025" s="11" t="n">
        <v>0.388</v>
      </c>
      <c r="M2025" s="11" t="n">
        <v>0.7759</v>
      </c>
      <c r="N2025" s="11" t="n">
        <v>1</v>
      </c>
      <c r="O2025" s="11" t="n">
        <v>4.5</v>
      </c>
      <c r="P2025" s="11" t="n">
        <v>2.28</v>
      </c>
      <c r="Q2025" s="11" t="n">
        <v>17.1</v>
      </c>
      <c r="R2025" s="11" t="n">
        <f aca="false">SUM(K2025:Q2025)</f>
        <v>150.4239</v>
      </c>
      <c r="S2025" s="11" t="n">
        <f aca="false">R2025/(1-Resumo!$C$6)</f>
        <v>170.93625</v>
      </c>
      <c r="T2025" s="11" t="n">
        <f aca="false">S2025-J2025</f>
        <v>48.82625</v>
      </c>
      <c r="U2025" s="12" t="n">
        <f aca="false">IFERROR(S2025/J2025-1,0)</f>
        <v>0.399854639259684</v>
      </c>
      <c r="V2025" s="2" t="str">
        <f aca="false">IF(S2025&lt;J2025,"SIM","NÃO")</f>
        <v>NÃO</v>
      </c>
      <c r="W2025" s="2" t="n">
        <v>8</v>
      </c>
      <c r="X2025" s="2" t="s">
        <v>156</v>
      </c>
    </row>
    <row r="2026" customFormat="false" ht="15" hidden="false" customHeight="false" outlineLevel="0" collapsed="false">
      <c r="A2026" s="2" t="n">
        <v>398453641</v>
      </c>
      <c r="B2026" s="29" t="n">
        <v>46288.3158680556</v>
      </c>
      <c r="C2026" s="2" t="s">
        <v>153</v>
      </c>
      <c r="D2026" s="2" t="s">
        <v>2023</v>
      </c>
      <c r="E2026" s="2" t="s">
        <v>78</v>
      </c>
      <c r="F2026" s="2" t="s">
        <v>107</v>
      </c>
      <c r="G2026" s="30" t="n">
        <v>37.2</v>
      </c>
      <c r="H2026" s="11" t="n">
        <v>366.5</v>
      </c>
      <c r="I2026" s="11" t="s">
        <v>155</v>
      </c>
      <c r="J2026" s="11" t="n">
        <v>91.6</v>
      </c>
      <c r="K2026" s="11" t="n">
        <v>93.97</v>
      </c>
      <c r="L2026" s="11" t="n">
        <v>0.3665</v>
      </c>
      <c r="M2026" s="11" t="n">
        <v>0.733</v>
      </c>
      <c r="N2026" s="11" t="n">
        <v>1</v>
      </c>
      <c r="O2026" s="11" t="n">
        <v>4.5</v>
      </c>
      <c r="P2026" s="11" t="n">
        <v>2.28</v>
      </c>
      <c r="Q2026" s="11" t="n">
        <v>17.1</v>
      </c>
      <c r="R2026" s="11" t="n">
        <f aca="false">SUM(K2026:Q2026)</f>
        <v>119.9495</v>
      </c>
      <c r="S2026" s="11" t="n">
        <f aca="false">R2026/(1-Resumo!$C$6)</f>
        <v>136.30625</v>
      </c>
      <c r="T2026" s="11" t="n">
        <f aca="false">S2026-J2026</f>
        <v>44.70625</v>
      </c>
      <c r="U2026" s="12" t="n">
        <f aca="false">IFERROR(S2026/J2026-1,0)</f>
        <v>0.488059497816594</v>
      </c>
      <c r="V2026" s="2" t="str">
        <f aca="false">IF(S2026&lt;J2026,"SIM","NÃO")</f>
        <v>NÃO</v>
      </c>
      <c r="W2026" s="2" t="n">
        <v>5</v>
      </c>
      <c r="X2026" s="2" t="s">
        <v>156</v>
      </c>
    </row>
    <row r="2027" customFormat="false" ht="15" hidden="false" customHeight="false" outlineLevel="0" collapsed="false">
      <c r="A2027" s="2" t="n">
        <v>398481770</v>
      </c>
      <c r="B2027" s="29" t="n">
        <v>46288.3858101852</v>
      </c>
      <c r="C2027" s="2" t="s">
        <v>153</v>
      </c>
      <c r="D2027" s="2" t="s">
        <v>524</v>
      </c>
      <c r="E2027" s="2" t="s">
        <v>525</v>
      </c>
      <c r="F2027" s="2" t="s">
        <v>106</v>
      </c>
      <c r="G2027" s="30" t="n">
        <v>33</v>
      </c>
      <c r="H2027" s="11" t="n">
        <v>438.93</v>
      </c>
      <c r="I2027" s="11" t="s">
        <v>155</v>
      </c>
      <c r="J2027" s="11" t="n">
        <v>109.28</v>
      </c>
      <c r="K2027" s="11" t="n">
        <v>138.29</v>
      </c>
      <c r="L2027" s="11" t="n">
        <v>0.4389</v>
      </c>
      <c r="M2027" s="11" t="n">
        <v>0.8779</v>
      </c>
      <c r="N2027" s="11" t="n">
        <v>1</v>
      </c>
      <c r="O2027" s="11" t="n">
        <v>4.5</v>
      </c>
      <c r="P2027" s="11" t="n">
        <v>1.98</v>
      </c>
      <c r="Q2027" s="11" t="n">
        <v>14.85</v>
      </c>
      <c r="R2027" s="11" t="n">
        <f aca="false">SUM(K2027:Q2027)</f>
        <v>161.9368</v>
      </c>
      <c r="S2027" s="11" t="n">
        <f aca="false">R2027/(1-Resumo!$C$6)</f>
        <v>184.019090909091</v>
      </c>
      <c r="T2027" s="11" t="n">
        <f aca="false">S2027-J2027</f>
        <v>74.7390909090909</v>
      </c>
      <c r="U2027" s="12" t="n">
        <f aca="false">IFERROR(S2027/J2027-1,0)</f>
        <v>0.68392286703048</v>
      </c>
      <c r="V2027" s="2" t="str">
        <f aca="false">IF(S2027&lt;J2027,"SIM","NÃO")</f>
        <v>NÃO</v>
      </c>
      <c r="W2027" s="2" t="n">
        <v>11</v>
      </c>
      <c r="X2027" s="2" t="s">
        <v>161</v>
      </c>
    </row>
    <row r="2028" customFormat="false" ht="15" hidden="false" customHeight="false" outlineLevel="0" collapsed="false">
      <c r="A2028" s="2" t="n">
        <v>398486155</v>
      </c>
      <c r="B2028" s="29" t="n">
        <v>46288.3939351852</v>
      </c>
      <c r="C2028" s="2" t="s">
        <v>153</v>
      </c>
      <c r="D2028" s="2" t="s">
        <v>924</v>
      </c>
      <c r="E2028" s="2" t="s">
        <v>78</v>
      </c>
      <c r="F2028" s="2" t="s">
        <v>108</v>
      </c>
      <c r="G2028" s="30" t="n">
        <v>41.4</v>
      </c>
      <c r="H2028" s="11" t="n">
        <v>413.47</v>
      </c>
      <c r="I2028" s="11" t="s">
        <v>155</v>
      </c>
      <c r="J2028" s="11" t="n">
        <v>102.58</v>
      </c>
      <c r="K2028" s="11" t="n">
        <v>93.97</v>
      </c>
      <c r="L2028" s="11" t="n">
        <v>0.4135</v>
      </c>
      <c r="M2028" s="11" t="n">
        <v>0.8269</v>
      </c>
      <c r="N2028" s="11" t="n">
        <v>1</v>
      </c>
      <c r="O2028" s="11" t="n">
        <v>4.5</v>
      </c>
      <c r="P2028" s="11" t="n">
        <v>2.52</v>
      </c>
      <c r="Q2028" s="11" t="n">
        <v>18.9</v>
      </c>
      <c r="R2028" s="11" t="n">
        <f aca="false">SUM(K2028:Q2028)</f>
        <v>122.1304</v>
      </c>
      <c r="S2028" s="11" t="n">
        <f aca="false">R2028/(1-Resumo!$C$6)</f>
        <v>138.784545454545</v>
      </c>
      <c r="T2028" s="11" t="n">
        <f aca="false">S2028-J2028</f>
        <v>36.2045454545455</v>
      </c>
      <c r="U2028" s="12" t="n">
        <f aca="false">IFERROR(S2028/J2028-1,0)</f>
        <v>0.352939612541874</v>
      </c>
      <c r="V2028" s="2" t="str">
        <f aca="false">IF(S2028&lt;J2028,"SIM","NÃO")</f>
        <v>NÃO</v>
      </c>
      <c r="W2028" s="2" t="n">
        <v>5</v>
      </c>
      <c r="X2028" s="2" t="s">
        <v>156</v>
      </c>
    </row>
    <row r="2029" customFormat="false" ht="15" hidden="false" customHeight="false" outlineLevel="0" collapsed="false">
      <c r="A2029" s="2" t="n">
        <v>398486807</v>
      </c>
      <c r="B2029" s="29" t="n">
        <v>46288.3951967593</v>
      </c>
      <c r="C2029" s="2" t="s">
        <v>153</v>
      </c>
      <c r="D2029" s="2" t="s">
        <v>2024</v>
      </c>
      <c r="E2029" s="2" t="s">
        <v>316</v>
      </c>
      <c r="F2029" s="2" t="s">
        <v>107</v>
      </c>
      <c r="G2029" s="30" t="n">
        <v>37.5</v>
      </c>
      <c r="H2029" s="11" t="n">
        <v>399.99</v>
      </c>
      <c r="I2029" s="11" t="s">
        <v>155</v>
      </c>
      <c r="J2029" s="11" t="n">
        <v>122.16</v>
      </c>
      <c r="K2029" s="11" t="n">
        <v>125.63</v>
      </c>
      <c r="L2029" s="11" t="n">
        <v>0.4</v>
      </c>
      <c r="M2029" s="11" t="n">
        <v>0.8</v>
      </c>
      <c r="N2029" s="11" t="n">
        <v>1</v>
      </c>
      <c r="O2029" s="11" t="n">
        <v>4.5</v>
      </c>
      <c r="P2029" s="11" t="n">
        <v>2.28</v>
      </c>
      <c r="Q2029" s="11" t="n">
        <v>17.1</v>
      </c>
      <c r="R2029" s="11" t="n">
        <f aca="false">SUM(K2029:Q2029)</f>
        <v>151.71</v>
      </c>
      <c r="S2029" s="11" t="n">
        <f aca="false">R2029/(1-Resumo!$C$6)</f>
        <v>172.397727272727</v>
      </c>
      <c r="T2029" s="11" t="n">
        <f aca="false">S2029-J2029</f>
        <v>50.2377272727273</v>
      </c>
      <c r="U2029" s="12" t="n">
        <f aca="false">IFERROR(S2029/J2029-1,0)</f>
        <v>0.411245311662797</v>
      </c>
      <c r="V2029" s="2" t="str">
        <f aca="false">IF(S2029&lt;J2029,"SIM","NÃO")</f>
        <v>NÃO</v>
      </c>
      <c r="W2029" s="2" t="n">
        <v>10</v>
      </c>
      <c r="X2029" s="2" t="s">
        <v>161</v>
      </c>
    </row>
    <row r="2030" customFormat="false" ht="15" hidden="false" customHeight="false" outlineLevel="0" collapsed="false">
      <c r="A2030" s="2" t="n">
        <v>398530057</v>
      </c>
      <c r="B2030" s="29" t="n">
        <v>46288.4775925926</v>
      </c>
      <c r="C2030" s="2" t="s">
        <v>153</v>
      </c>
      <c r="D2030" s="2" t="s">
        <v>2025</v>
      </c>
      <c r="E2030" s="2" t="s">
        <v>86</v>
      </c>
      <c r="F2030" s="2" t="s">
        <v>109</v>
      </c>
      <c r="G2030" s="30" t="n">
        <v>52.3</v>
      </c>
      <c r="H2030" s="11" t="n">
        <v>699.99</v>
      </c>
      <c r="I2030" s="11" t="s">
        <v>155</v>
      </c>
      <c r="J2030" s="11" t="n">
        <v>128.64</v>
      </c>
      <c r="K2030" s="11" t="n">
        <v>112.3</v>
      </c>
      <c r="L2030" s="11" t="n">
        <v>0.7</v>
      </c>
      <c r="M2030" s="11" t="n">
        <v>1.4</v>
      </c>
      <c r="N2030" s="11" t="n">
        <v>1</v>
      </c>
      <c r="O2030" s="11" t="n">
        <v>4.5</v>
      </c>
      <c r="P2030" s="11" t="n">
        <v>3.18</v>
      </c>
      <c r="Q2030" s="11" t="n">
        <v>23.85</v>
      </c>
      <c r="R2030" s="11" t="n">
        <f aca="false">SUM(K2030:Q2030)</f>
        <v>146.93</v>
      </c>
      <c r="S2030" s="11" t="n">
        <f aca="false">R2030/(1-Resumo!$C$6)</f>
        <v>166.965909090909</v>
      </c>
      <c r="T2030" s="11" t="n">
        <f aca="false">S2030-J2030</f>
        <v>38.3259090909091</v>
      </c>
      <c r="U2030" s="12" t="n">
        <f aca="false">IFERROR(S2030/J2030-1,0)</f>
        <v>0.297931507236545</v>
      </c>
      <c r="V2030" s="2" t="str">
        <f aca="false">IF(S2030&lt;J2030,"SIM","NÃO")</f>
        <v>NÃO</v>
      </c>
      <c r="W2030" s="2" t="n">
        <v>5</v>
      </c>
      <c r="X2030" s="2" t="s">
        <v>156</v>
      </c>
    </row>
    <row r="2031" customFormat="false" ht="15" hidden="false" customHeight="false" outlineLevel="0" collapsed="false">
      <c r="A2031" s="2" t="n">
        <v>398544094</v>
      </c>
      <c r="B2031" s="29" t="n">
        <v>46288.4872916667</v>
      </c>
      <c r="C2031" s="2" t="s">
        <v>369</v>
      </c>
      <c r="D2031" s="2" t="s">
        <v>2026</v>
      </c>
      <c r="E2031" s="2" t="s">
        <v>78</v>
      </c>
      <c r="F2031" s="2" t="s">
        <v>106</v>
      </c>
      <c r="G2031" s="30" t="n">
        <v>27</v>
      </c>
      <c r="H2031" s="11" t="n">
        <v>349.99</v>
      </c>
      <c r="I2031" s="11" t="s">
        <v>155</v>
      </c>
      <c r="J2031" s="11" t="n">
        <v>82</v>
      </c>
      <c r="K2031" s="11" t="n">
        <v>82.21</v>
      </c>
      <c r="L2031" s="11" t="n">
        <v>0.35</v>
      </c>
      <c r="M2031" s="11" t="n">
        <v>0.7</v>
      </c>
      <c r="N2031" s="11" t="n">
        <v>1</v>
      </c>
      <c r="O2031" s="11" t="n">
        <v>4.5</v>
      </c>
      <c r="P2031" s="11" t="n">
        <v>1.62</v>
      </c>
      <c r="Q2031" s="11" t="n">
        <v>12.15</v>
      </c>
      <c r="R2031" s="11" t="n">
        <f aca="false">SUM(K2031:Q2031)</f>
        <v>102.53</v>
      </c>
      <c r="S2031" s="11" t="n">
        <f aca="false">R2031/(1-Resumo!$C$6)</f>
        <v>116.511363636364</v>
      </c>
      <c r="T2031" s="11" t="n">
        <f aca="false">S2031-J2031</f>
        <v>34.5113636363636</v>
      </c>
      <c r="U2031" s="12" t="n">
        <f aca="false">IFERROR(S2031/J2031-1,0)</f>
        <v>0.420870288248337</v>
      </c>
      <c r="V2031" s="2" t="str">
        <f aca="false">IF(S2031&lt;J2031,"SIM","NÃO")</f>
        <v>NÃO</v>
      </c>
      <c r="W2031" s="2" t="n">
        <v>5</v>
      </c>
      <c r="X2031" s="2" t="s">
        <v>156</v>
      </c>
    </row>
    <row r="2032" customFormat="false" ht="15" hidden="false" customHeight="false" outlineLevel="0" collapsed="false">
      <c r="A2032" s="2" t="n">
        <v>398538779</v>
      </c>
      <c r="B2032" s="29" t="n">
        <v>46288.4946180556</v>
      </c>
      <c r="C2032" s="2" t="s">
        <v>153</v>
      </c>
      <c r="D2032" s="2" t="s">
        <v>2027</v>
      </c>
      <c r="E2032" s="2" t="s">
        <v>81</v>
      </c>
      <c r="F2032" s="2" t="s">
        <v>109</v>
      </c>
      <c r="G2032" s="30" t="n">
        <v>59.3</v>
      </c>
      <c r="H2032" s="11" t="n">
        <v>859.99</v>
      </c>
      <c r="I2032" s="11" t="s">
        <v>155</v>
      </c>
      <c r="J2032" s="11" t="n">
        <v>129.41</v>
      </c>
      <c r="K2032" s="11" t="n">
        <v>112.3</v>
      </c>
      <c r="L2032" s="11" t="n">
        <v>0.86</v>
      </c>
      <c r="M2032" s="11" t="n">
        <v>1.72</v>
      </c>
      <c r="N2032" s="11" t="n">
        <v>1</v>
      </c>
      <c r="O2032" s="11" t="n">
        <v>4.5</v>
      </c>
      <c r="P2032" s="11" t="n">
        <v>3.6</v>
      </c>
      <c r="Q2032" s="11" t="n">
        <v>27</v>
      </c>
      <c r="R2032" s="11" t="n">
        <f aca="false">SUM(K2032:Q2032)</f>
        <v>150.98</v>
      </c>
      <c r="S2032" s="11" t="n">
        <f aca="false">R2032/(1-Resumo!$C$6)</f>
        <v>171.568181818182</v>
      </c>
      <c r="T2032" s="11" t="n">
        <f aca="false">S2032-J2032</f>
        <v>42.1581818181818</v>
      </c>
      <c r="U2032" s="12" t="n">
        <f aca="false">IFERROR(S2032/J2032-1,0)</f>
        <v>0.325772210943373</v>
      </c>
      <c r="V2032" s="2" t="str">
        <f aca="false">IF(S2032&lt;J2032,"SIM","NÃO")</f>
        <v>NÃO</v>
      </c>
      <c r="W2032" s="2" t="n">
        <v>5</v>
      </c>
      <c r="X2032" s="2" t="s">
        <v>156</v>
      </c>
    </row>
    <row r="2033" customFormat="false" ht="15" hidden="false" customHeight="false" outlineLevel="0" collapsed="false">
      <c r="A2033" s="2" t="n">
        <v>398549710</v>
      </c>
      <c r="B2033" s="29" t="n">
        <v>46288.5146990741</v>
      </c>
      <c r="C2033" s="2" t="s">
        <v>158</v>
      </c>
      <c r="D2033" s="2" t="s">
        <v>2028</v>
      </c>
      <c r="E2033" s="2" t="s">
        <v>219</v>
      </c>
      <c r="F2033" s="2" t="s">
        <v>107</v>
      </c>
      <c r="G2033" s="30" t="n">
        <v>36.8</v>
      </c>
      <c r="H2033" s="11" t="n">
        <v>422.64</v>
      </c>
      <c r="I2033" s="11" t="s">
        <v>155</v>
      </c>
      <c r="J2033" s="11" t="n">
        <v>122.28</v>
      </c>
      <c r="K2033" s="11" t="n">
        <v>124.38</v>
      </c>
      <c r="L2033" s="11" t="n">
        <v>0.4226</v>
      </c>
      <c r="M2033" s="11" t="n">
        <v>0.8453</v>
      </c>
      <c r="N2033" s="11" t="n">
        <v>1</v>
      </c>
      <c r="O2033" s="11" t="n">
        <v>4.5</v>
      </c>
      <c r="P2033" s="11" t="n">
        <v>2.22</v>
      </c>
      <c r="Q2033" s="11" t="n">
        <v>16.65</v>
      </c>
      <c r="R2033" s="11" t="n">
        <f aca="false">SUM(K2033:Q2033)</f>
        <v>150.0179</v>
      </c>
      <c r="S2033" s="11" t="n">
        <f aca="false">R2033/(1-Resumo!$C$6)</f>
        <v>170.474886363636</v>
      </c>
      <c r="T2033" s="11" t="n">
        <f aca="false">S2033-J2033</f>
        <v>48.1948863636364</v>
      </c>
      <c r="U2033" s="12" t="n">
        <f aca="false">IFERROR(S2033/J2033-1,0)</f>
        <v>0.394135478930621</v>
      </c>
      <c r="V2033" s="2" t="str">
        <f aca="false">IF(S2033&lt;J2033,"SIM","NÃO")</f>
        <v>NÃO</v>
      </c>
      <c r="W2033" s="2" t="n">
        <v>10</v>
      </c>
      <c r="X2033" s="2" t="s">
        <v>161</v>
      </c>
    </row>
    <row r="2034" customFormat="false" ht="15" hidden="false" customHeight="false" outlineLevel="0" collapsed="false">
      <c r="A2034" s="2" t="n">
        <v>398556399</v>
      </c>
      <c r="B2034" s="29" t="n">
        <v>46288.5267361111</v>
      </c>
      <c r="C2034" s="2" t="s">
        <v>153</v>
      </c>
      <c r="D2034" s="2" t="s">
        <v>2029</v>
      </c>
      <c r="E2034" s="2" t="s">
        <v>78</v>
      </c>
      <c r="F2034" s="2" t="s">
        <v>110</v>
      </c>
      <c r="G2034" s="30" t="n">
        <v>66.8</v>
      </c>
      <c r="H2034" s="11" t="n">
        <v>719.99</v>
      </c>
      <c r="I2034" s="11" t="s">
        <v>155</v>
      </c>
      <c r="J2034" s="11" t="n">
        <v>124.66</v>
      </c>
      <c r="K2034" s="11" t="n">
        <v>131.02</v>
      </c>
      <c r="L2034" s="11" t="n">
        <v>0.72</v>
      </c>
      <c r="M2034" s="11" t="n">
        <v>1.44</v>
      </c>
      <c r="N2034" s="11" t="n">
        <v>1</v>
      </c>
      <c r="O2034" s="11" t="n">
        <v>4.5</v>
      </c>
      <c r="P2034" s="11" t="n">
        <v>4.02</v>
      </c>
      <c r="Q2034" s="11" t="n">
        <v>30.15</v>
      </c>
      <c r="R2034" s="11" t="n">
        <f aca="false">SUM(K2034:Q2034)</f>
        <v>172.85</v>
      </c>
      <c r="S2034" s="11" t="n">
        <f aca="false">R2034/(1-Resumo!$C$6)</f>
        <v>196.420454545455</v>
      </c>
      <c r="T2034" s="11" t="n">
        <f aca="false">S2034-J2034</f>
        <v>71.7604545454546</v>
      </c>
      <c r="U2034" s="12" t="n">
        <f aca="false">IFERROR(S2034/J2034-1,0)</f>
        <v>0.575649402739087</v>
      </c>
      <c r="V2034" s="2" t="str">
        <f aca="false">IF(S2034&lt;J2034,"SIM","NÃO")</f>
        <v>NÃO</v>
      </c>
      <c r="W2034" s="2" t="n">
        <v>5</v>
      </c>
      <c r="X2034" s="2" t="s">
        <v>156</v>
      </c>
    </row>
    <row r="2035" customFormat="false" ht="15" hidden="false" customHeight="false" outlineLevel="0" collapsed="false">
      <c r="A2035" s="2" t="n">
        <v>398560371</v>
      </c>
      <c r="B2035" s="29" t="n">
        <v>46288.5336111111</v>
      </c>
      <c r="C2035" s="2" t="s">
        <v>158</v>
      </c>
      <c r="D2035" s="2" t="s">
        <v>2030</v>
      </c>
      <c r="E2035" s="2" t="s">
        <v>95</v>
      </c>
      <c r="F2035" s="2" t="s">
        <v>110</v>
      </c>
      <c r="G2035" s="30" t="n">
        <v>64.7</v>
      </c>
      <c r="H2035" s="11" t="n">
        <v>767</v>
      </c>
      <c r="I2035" s="11" t="s">
        <v>155</v>
      </c>
      <c r="J2035" s="11" t="n">
        <v>155.68</v>
      </c>
      <c r="K2035" s="11" t="n">
        <v>136.53</v>
      </c>
      <c r="L2035" s="11" t="n">
        <v>0.767</v>
      </c>
      <c r="M2035" s="11" t="n">
        <v>1.534</v>
      </c>
      <c r="N2035" s="11" t="n">
        <v>1</v>
      </c>
      <c r="O2035" s="11" t="n">
        <v>4.5</v>
      </c>
      <c r="P2035" s="11" t="n">
        <v>3.9</v>
      </c>
      <c r="Q2035" s="11" t="n">
        <v>29.25</v>
      </c>
      <c r="R2035" s="11" t="n">
        <f aca="false">SUM(K2035:Q2035)</f>
        <v>177.481</v>
      </c>
      <c r="S2035" s="11" t="n">
        <f aca="false">R2035/(1-Resumo!$C$6)</f>
        <v>201.682954545455</v>
      </c>
      <c r="T2035" s="11" t="n">
        <f aca="false">S2035-J2035</f>
        <v>46.0029545454545</v>
      </c>
      <c r="U2035" s="12" t="n">
        <f aca="false">IFERROR(S2035/J2035-1,0)</f>
        <v>0.295496881715407</v>
      </c>
      <c r="V2035" s="2" t="str">
        <f aca="false">IF(S2035&lt;J2035,"SIM","NÃO")</f>
        <v>NÃO</v>
      </c>
      <c r="W2035" s="2" t="n">
        <v>6</v>
      </c>
      <c r="X2035" s="2" t="s">
        <v>156</v>
      </c>
    </row>
    <row r="2036" customFormat="false" ht="15" hidden="false" customHeight="false" outlineLevel="0" collapsed="false">
      <c r="A2036" s="2" t="n">
        <v>398561244</v>
      </c>
      <c r="B2036" s="29" t="n">
        <v>46288.535150463</v>
      </c>
      <c r="C2036" s="2" t="s">
        <v>158</v>
      </c>
      <c r="D2036" s="2" t="s">
        <v>2031</v>
      </c>
      <c r="E2036" s="2" t="s">
        <v>78</v>
      </c>
      <c r="F2036" s="2" t="s">
        <v>106</v>
      </c>
      <c r="G2036" s="30" t="n">
        <v>22.4</v>
      </c>
      <c r="H2036" s="11" t="n">
        <v>480.58</v>
      </c>
      <c r="I2036" s="11" t="s">
        <v>155</v>
      </c>
      <c r="J2036" s="11" t="n">
        <v>82.62</v>
      </c>
      <c r="K2036" s="11" t="n">
        <v>82.21</v>
      </c>
      <c r="L2036" s="11" t="n">
        <v>0.4806</v>
      </c>
      <c r="M2036" s="11" t="n">
        <v>0.9612</v>
      </c>
      <c r="N2036" s="11" t="n">
        <v>1</v>
      </c>
      <c r="O2036" s="11" t="n">
        <v>4.5</v>
      </c>
      <c r="P2036" s="11" t="n">
        <v>1.38</v>
      </c>
      <c r="Q2036" s="11" t="n">
        <v>10.35</v>
      </c>
      <c r="R2036" s="11" t="n">
        <f aca="false">SUM(K2036:Q2036)</f>
        <v>100.8818</v>
      </c>
      <c r="S2036" s="11" t="n">
        <f aca="false">R2036/(1-Resumo!$C$6)</f>
        <v>114.638409090909</v>
      </c>
      <c r="T2036" s="11" t="n">
        <f aca="false">S2036-J2036</f>
        <v>32.0184090909091</v>
      </c>
      <c r="U2036" s="12" t="n">
        <f aca="false">IFERROR(S2036/J2036-1,0)</f>
        <v>0.387538236394445</v>
      </c>
      <c r="V2036" s="2" t="str">
        <f aca="false">IF(S2036&lt;J2036,"SIM","NÃO")</f>
        <v>NÃO</v>
      </c>
      <c r="W2036" s="2" t="n">
        <v>5</v>
      </c>
      <c r="X2036" s="2" t="s">
        <v>156</v>
      </c>
    </row>
    <row r="2037" customFormat="false" ht="15" hidden="false" customHeight="false" outlineLevel="0" collapsed="false">
      <c r="A2037" s="2" t="n">
        <v>398567585</v>
      </c>
      <c r="B2037" s="29" t="n">
        <v>46288.5474537037</v>
      </c>
      <c r="C2037" s="2" t="s">
        <v>153</v>
      </c>
      <c r="D2037" s="2" t="s">
        <v>1784</v>
      </c>
      <c r="E2037" s="2" t="s">
        <v>83</v>
      </c>
      <c r="F2037" s="2" t="s">
        <v>107</v>
      </c>
      <c r="G2037" s="30" t="n">
        <v>37.59</v>
      </c>
      <c r="H2037" s="11" t="n">
        <v>469.95</v>
      </c>
      <c r="I2037" s="11" t="s">
        <v>155</v>
      </c>
      <c r="J2037" s="11" t="n">
        <v>122.5</v>
      </c>
      <c r="K2037" s="11" t="n">
        <v>143.04</v>
      </c>
      <c r="L2037" s="11" t="n">
        <v>0.47</v>
      </c>
      <c r="M2037" s="11" t="n">
        <v>0.9399</v>
      </c>
      <c r="N2037" s="11" t="n">
        <v>1</v>
      </c>
      <c r="O2037" s="11" t="n">
        <v>4.5</v>
      </c>
      <c r="P2037" s="11" t="n">
        <v>2.28</v>
      </c>
      <c r="Q2037" s="11" t="n">
        <v>17.1</v>
      </c>
      <c r="R2037" s="11" t="n">
        <f aca="false">SUM(K2037:Q2037)</f>
        <v>169.3299</v>
      </c>
      <c r="S2037" s="11" t="n">
        <f aca="false">R2037/(1-Resumo!$C$6)</f>
        <v>192.420340909091</v>
      </c>
      <c r="T2037" s="11" t="n">
        <f aca="false">S2037-J2037</f>
        <v>69.9203409090909</v>
      </c>
      <c r="U2037" s="12" t="n">
        <f aca="false">IFERROR(S2037/J2037-1,0)</f>
        <v>0.570778293135436</v>
      </c>
      <c r="V2037" s="2" t="str">
        <f aca="false">IF(S2037&lt;J2037,"SIM","NÃO")</f>
        <v>NÃO</v>
      </c>
      <c r="W2037" s="2" t="n">
        <v>11</v>
      </c>
      <c r="X2037" s="2" t="s">
        <v>156</v>
      </c>
    </row>
    <row r="2038" customFormat="false" ht="15" hidden="false" customHeight="false" outlineLevel="0" collapsed="false">
      <c r="A2038" s="2" t="n">
        <v>398569588</v>
      </c>
      <c r="B2038" s="29" t="n">
        <v>46288.557974537</v>
      </c>
      <c r="C2038" s="2" t="s">
        <v>178</v>
      </c>
      <c r="D2038" s="2" t="s">
        <v>2032</v>
      </c>
      <c r="E2038" s="2" t="s">
        <v>203</v>
      </c>
      <c r="F2038" s="2" t="s">
        <v>112</v>
      </c>
      <c r="G2038" s="30" t="n">
        <v>85</v>
      </c>
      <c r="H2038" s="11" t="n">
        <v>1329.99</v>
      </c>
      <c r="I2038" s="11" t="s">
        <v>155</v>
      </c>
      <c r="J2038" s="11" t="n">
        <v>194.97</v>
      </c>
      <c r="K2038" s="11" t="n">
        <v>177.99</v>
      </c>
      <c r="L2038" s="11" t="n">
        <v>1.33</v>
      </c>
      <c r="M2038" s="11" t="n">
        <v>2.66</v>
      </c>
      <c r="N2038" s="11" t="n">
        <v>1</v>
      </c>
      <c r="O2038" s="11" t="n">
        <v>4.5</v>
      </c>
      <c r="P2038" s="11" t="n">
        <v>5.1</v>
      </c>
      <c r="Q2038" s="11" t="n">
        <v>38.25</v>
      </c>
      <c r="R2038" s="11" t="n">
        <f aca="false">SUM(K2038:Q2038)</f>
        <v>230.83</v>
      </c>
      <c r="S2038" s="11" t="n">
        <f aca="false">R2038/(1-Resumo!$C$6)</f>
        <v>262.306818181818</v>
      </c>
      <c r="T2038" s="11" t="n">
        <f aca="false">S2038-J2038</f>
        <v>67.3368181818182</v>
      </c>
      <c r="U2038" s="12" t="n">
        <f aca="false">IFERROR(S2038/J2038-1,0)</f>
        <v>0.345370150186276</v>
      </c>
      <c r="V2038" s="2" t="str">
        <f aca="false">IF(S2038&lt;J2038,"SIM","NÃO")</f>
        <v>NÃO</v>
      </c>
      <c r="W2038" s="2" t="n">
        <v>5</v>
      </c>
      <c r="X2038" s="2" t="s">
        <v>161</v>
      </c>
    </row>
    <row r="2039" customFormat="false" ht="15" hidden="false" customHeight="false" outlineLevel="0" collapsed="false">
      <c r="A2039" s="2" t="n">
        <v>398575266</v>
      </c>
      <c r="B2039" s="29" t="n">
        <v>46288.5615277778</v>
      </c>
      <c r="C2039" s="2" t="s">
        <v>153</v>
      </c>
      <c r="D2039" s="2" t="s">
        <v>2033</v>
      </c>
      <c r="E2039" s="2" t="s">
        <v>80</v>
      </c>
      <c r="F2039" s="2" t="s">
        <v>107</v>
      </c>
      <c r="G2039" s="30" t="n">
        <v>37.2</v>
      </c>
      <c r="H2039" s="11" t="n">
        <v>366.5</v>
      </c>
      <c r="I2039" s="11" t="s">
        <v>155</v>
      </c>
      <c r="J2039" s="11" t="n">
        <v>112.7</v>
      </c>
      <c r="K2039" s="11" t="n">
        <v>93.97</v>
      </c>
      <c r="L2039" s="11" t="n">
        <v>0.3665</v>
      </c>
      <c r="M2039" s="11" t="n">
        <v>0.733</v>
      </c>
      <c r="N2039" s="11" t="n">
        <v>1</v>
      </c>
      <c r="O2039" s="11" t="n">
        <v>4.5</v>
      </c>
      <c r="P2039" s="11" t="n">
        <v>2.28</v>
      </c>
      <c r="Q2039" s="11" t="n">
        <v>17.1</v>
      </c>
      <c r="R2039" s="11" t="n">
        <f aca="false">SUM(K2039:Q2039)</f>
        <v>119.9495</v>
      </c>
      <c r="S2039" s="11" t="n">
        <f aca="false">R2039/(1-Resumo!$C$6)</f>
        <v>136.30625</v>
      </c>
      <c r="T2039" s="11" t="n">
        <f aca="false">S2039-J2039</f>
        <v>23.60625</v>
      </c>
      <c r="U2039" s="12" t="n">
        <f aca="false">IFERROR(S2039/J2039-1,0)</f>
        <v>0.209460958296362</v>
      </c>
      <c r="V2039" s="2" t="str">
        <f aca="false">IF(S2039&lt;J2039,"SIM","NÃO")</f>
        <v>NÃO</v>
      </c>
      <c r="W2039" s="2" t="n">
        <v>5</v>
      </c>
      <c r="X2039" s="2" t="s">
        <v>156</v>
      </c>
    </row>
    <row r="2040" customFormat="false" ht="15" hidden="false" customHeight="false" outlineLevel="0" collapsed="false">
      <c r="A2040" s="2" t="n">
        <v>398587464</v>
      </c>
      <c r="B2040" s="29" t="n">
        <v>46288.5857638889</v>
      </c>
      <c r="C2040" s="2" t="s">
        <v>153</v>
      </c>
      <c r="D2040" s="2" t="s">
        <v>2034</v>
      </c>
      <c r="E2040" s="2" t="s">
        <v>78</v>
      </c>
      <c r="F2040" s="2" t="s">
        <v>108</v>
      </c>
      <c r="G2040" s="30" t="n">
        <v>47.1</v>
      </c>
      <c r="H2040" s="11" t="n">
        <v>619.99</v>
      </c>
      <c r="I2040" s="11" t="s">
        <v>155</v>
      </c>
      <c r="J2040" s="11" t="n">
        <v>103.56</v>
      </c>
      <c r="K2040" s="11" t="n">
        <v>93.97</v>
      </c>
      <c r="L2040" s="11" t="n">
        <v>0.62</v>
      </c>
      <c r="M2040" s="11" t="n">
        <v>1.24</v>
      </c>
      <c r="N2040" s="11" t="n">
        <v>1</v>
      </c>
      <c r="O2040" s="11" t="n">
        <v>4.5</v>
      </c>
      <c r="P2040" s="11" t="n">
        <v>2.88</v>
      </c>
      <c r="Q2040" s="11" t="n">
        <v>21.6</v>
      </c>
      <c r="R2040" s="11" t="n">
        <f aca="false">SUM(K2040:Q2040)</f>
        <v>125.81</v>
      </c>
      <c r="S2040" s="11" t="n">
        <f aca="false">R2040/(1-Resumo!$C$6)</f>
        <v>142.965909090909</v>
      </c>
      <c r="T2040" s="11" t="n">
        <f aca="false">S2040-J2040</f>
        <v>39.4059090909091</v>
      </c>
      <c r="U2040" s="12" t="n">
        <f aca="false">IFERROR(S2040/J2040-1,0)</f>
        <v>0.380512834018048</v>
      </c>
      <c r="V2040" s="2" t="str">
        <f aca="false">IF(S2040&lt;J2040,"SIM","NÃO")</f>
        <v>NÃO</v>
      </c>
      <c r="W2040" s="2" t="n">
        <v>5</v>
      </c>
      <c r="X2040" s="2" t="s">
        <v>156</v>
      </c>
    </row>
    <row r="2041" customFormat="false" ht="15" hidden="false" customHeight="false" outlineLevel="0" collapsed="false">
      <c r="A2041" s="2" t="n">
        <v>398588702</v>
      </c>
      <c r="B2041" s="29" t="n">
        <v>46288.5884953704</v>
      </c>
      <c r="C2041" s="2" t="s">
        <v>158</v>
      </c>
      <c r="D2041" s="2" t="s">
        <v>2035</v>
      </c>
      <c r="E2041" s="2" t="s">
        <v>78</v>
      </c>
      <c r="F2041" s="2" t="s">
        <v>108</v>
      </c>
      <c r="G2041" s="30" t="n">
        <v>46.8</v>
      </c>
      <c r="H2041" s="11" t="n">
        <v>522.49</v>
      </c>
      <c r="I2041" s="11" t="s">
        <v>155</v>
      </c>
      <c r="J2041" s="11" t="n">
        <v>103.08</v>
      </c>
      <c r="K2041" s="11" t="n">
        <v>93.97</v>
      </c>
      <c r="L2041" s="11" t="n">
        <v>0.5225</v>
      </c>
      <c r="M2041" s="11" t="n">
        <v>1.045</v>
      </c>
      <c r="N2041" s="11" t="n">
        <v>1</v>
      </c>
      <c r="O2041" s="11" t="n">
        <v>4.5</v>
      </c>
      <c r="P2041" s="11" t="n">
        <v>2.82</v>
      </c>
      <c r="Q2041" s="11" t="n">
        <v>21.15</v>
      </c>
      <c r="R2041" s="11" t="n">
        <f aca="false">SUM(K2041:Q2041)</f>
        <v>125.0075</v>
      </c>
      <c r="S2041" s="11" t="n">
        <f aca="false">R2041/(1-Resumo!$C$6)</f>
        <v>142.053977272727</v>
      </c>
      <c r="T2041" s="11" t="n">
        <f aca="false">S2041-J2041</f>
        <v>38.9739772727273</v>
      </c>
      <c r="U2041" s="12" t="n">
        <f aca="false">IFERROR(S2041/J2041-1,0)</f>
        <v>0.378094463258899</v>
      </c>
      <c r="V2041" s="2" t="str">
        <f aca="false">IF(S2041&lt;J2041,"SIM","NÃO")</f>
        <v>NÃO</v>
      </c>
      <c r="W2041" s="2" t="n">
        <v>5</v>
      </c>
      <c r="X2041" s="2" t="s">
        <v>156</v>
      </c>
    </row>
    <row r="2042" customFormat="false" ht="15" hidden="false" customHeight="false" outlineLevel="0" collapsed="false">
      <c r="A2042" s="2" t="n">
        <v>398589505</v>
      </c>
      <c r="B2042" s="29" t="n">
        <v>46288.5903125</v>
      </c>
      <c r="C2042" s="2" t="s">
        <v>158</v>
      </c>
      <c r="D2042" s="2" t="s">
        <v>781</v>
      </c>
      <c r="E2042" s="2" t="s">
        <v>78</v>
      </c>
      <c r="F2042" s="2" t="s">
        <v>106</v>
      </c>
      <c r="G2042" s="30" t="n">
        <v>29.2</v>
      </c>
      <c r="H2042" s="11" t="n">
        <v>474.99</v>
      </c>
      <c r="I2042" s="11" t="s">
        <v>155</v>
      </c>
      <c r="J2042" s="11" t="n">
        <v>82.6</v>
      </c>
      <c r="K2042" s="11" t="n">
        <v>82.21</v>
      </c>
      <c r="L2042" s="11" t="n">
        <v>0.475</v>
      </c>
      <c r="M2042" s="11" t="n">
        <v>0.95</v>
      </c>
      <c r="N2042" s="11" t="n">
        <v>1</v>
      </c>
      <c r="O2042" s="11" t="n">
        <v>4.5</v>
      </c>
      <c r="P2042" s="11" t="n">
        <v>1.8</v>
      </c>
      <c r="Q2042" s="11" t="n">
        <v>13.5</v>
      </c>
      <c r="R2042" s="11" t="n">
        <f aca="false">SUM(K2042:Q2042)</f>
        <v>104.435</v>
      </c>
      <c r="S2042" s="11" t="n">
        <f aca="false">R2042/(1-Resumo!$C$6)</f>
        <v>118.676136363636</v>
      </c>
      <c r="T2042" s="11" t="n">
        <f aca="false">S2042-J2042</f>
        <v>36.0761363636364</v>
      </c>
      <c r="U2042" s="12" t="n">
        <f aca="false">IFERROR(S2042/J2042-1,0)</f>
        <v>0.43675709883337</v>
      </c>
      <c r="V2042" s="2" t="str">
        <f aca="false">IF(S2042&lt;J2042,"SIM","NÃO")</f>
        <v>NÃO</v>
      </c>
      <c r="W2042" s="2" t="n">
        <v>5</v>
      </c>
      <c r="X2042" s="2" t="s">
        <v>156</v>
      </c>
    </row>
    <row r="2043" customFormat="false" ht="15" hidden="false" customHeight="false" outlineLevel="0" collapsed="false">
      <c r="A2043" s="2" t="n">
        <v>398602283</v>
      </c>
      <c r="B2043" s="29" t="n">
        <v>46288.6174305556</v>
      </c>
      <c r="C2043" s="2" t="s">
        <v>158</v>
      </c>
      <c r="D2043" s="2" t="s">
        <v>2036</v>
      </c>
      <c r="E2043" s="2" t="s">
        <v>2037</v>
      </c>
      <c r="F2043" s="2" t="s">
        <v>110</v>
      </c>
      <c r="G2043" s="30" t="n">
        <v>66.8</v>
      </c>
      <c r="H2043" s="11" t="n">
        <v>691.9</v>
      </c>
      <c r="I2043" s="11" t="s">
        <v>155</v>
      </c>
      <c r="J2043" s="11" t="n">
        <v>155.33</v>
      </c>
      <c r="K2043" s="11" t="n">
        <v>166.05</v>
      </c>
      <c r="L2043" s="11" t="n">
        <v>0.6919</v>
      </c>
      <c r="M2043" s="11" t="n">
        <v>1.3838</v>
      </c>
      <c r="N2043" s="11" t="n">
        <v>1</v>
      </c>
      <c r="O2043" s="11" t="n">
        <v>4.5</v>
      </c>
      <c r="P2043" s="11" t="n">
        <v>4.02</v>
      </c>
      <c r="Q2043" s="11" t="n">
        <v>30.15</v>
      </c>
      <c r="R2043" s="11" t="n">
        <f aca="false">SUM(K2043:Q2043)</f>
        <v>207.7957</v>
      </c>
      <c r="S2043" s="11" t="n">
        <f aca="false">R2043/(1-Resumo!$C$6)</f>
        <v>236.131477272727</v>
      </c>
      <c r="T2043" s="11" t="n">
        <f aca="false">S2043-J2043</f>
        <v>80.8014772727273</v>
      </c>
      <c r="U2043" s="12" t="n">
        <f aca="false">IFERROR(S2043/J2043-1,0)</f>
        <v>0.520192347085092</v>
      </c>
      <c r="V2043" s="2" t="str">
        <f aca="false">IF(S2043&lt;J2043,"SIM","NÃO")</f>
        <v>NÃO</v>
      </c>
      <c r="W2043" s="2" t="n">
        <v>10</v>
      </c>
      <c r="X2043" s="2" t="s">
        <v>161</v>
      </c>
    </row>
    <row r="2044" customFormat="false" ht="15" hidden="false" customHeight="false" outlineLevel="0" collapsed="false">
      <c r="A2044" s="2" t="n">
        <v>398604606</v>
      </c>
      <c r="B2044" s="29" t="n">
        <v>46288.6230555556</v>
      </c>
      <c r="C2044" s="2" t="s">
        <v>194</v>
      </c>
      <c r="D2044" s="2" t="s">
        <v>2038</v>
      </c>
      <c r="E2044" s="2" t="s">
        <v>85</v>
      </c>
      <c r="F2044" s="2" t="s">
        <v>106</v>
      </c>
      <c r="G2044" s="30" t="n">
        <v>31.4</v>
      </c>
      <c r="H2044" s="11" t="n">
        <v>419.99</v>
      </c>
      <c r="I2044" s="11" t="s">
        <v>155</v>
      </c>
      <c r="J2044" s="11" t="n">
        <v>109.19</v>
      </c>
      <c r="K2044" s="11" t="n">
        <v>138.29</v>
      </c>
      <c r="L2044" s="11" t="n">
        <v>0.42</v>
      </c>
      <c r="M2044" s="11" t="n">
        <v>0.84</v>
      </c>
      <c r="N2044" s="11" t="n">
        <v>1</v>
      </c>
      <c r="O2044" s="11" t="n">
        <v>4.5</v>
      </c>
      <c r="P2044" s="11" t="n">
        <v>1.92</v>
      </c>
      <c r="Q2044" s="11" t="n">
        <v>14.4</v>
      </c>
      <c r="R2044" s="11" t="n">
        <f aca="false">SUM(K2044:Q2044)</f>
        <v>161.37</v>
      </c>
      <c r="S2044" s="11" t="n">
        <f aca="false">R2044/(1-Resumo!$C$6)</f>
        <v>183.375</v>
      </c>
      <c r="T2044" s="11" t="n">
        <f aca="false">S2044-J2044</f>
        <v>74.185</v>
      </c>
      <c r="U2044" s="12" t="n">
        <f aca="false">IFERROR(S2044/J2044-1,0)</f>
        <v>0.679412034069054</v>
      </c>
      <c r="V2044" s="2" t="str">
        <f aca="false">IF(S2044&lt;J2044,"SIM","NÃO")</f>
        <v>NÃO</v>
      </c>
      <c r="W2044" s="2" t="n">
        <v>11</v>
      </c>
      <c r="X2044" s="2" t="s">
        <v>156</v>
      </c>
    </row>
    <row r="2045" customFormat="false" ht="15" hidden="false" customHeight="false" outlineLevel="0" collapsed="false">
      <c r="A2045" s="2" t="n">
        <v>398607745</v>
      </c>
      <c r="B2045" s="29" t="n">
        <v>46288.6290046296</v>
      </c>
      <c r="C2045" s="2" t="s">
        <v>153</v>
      </c>
      <c r="D2045" s="2" t="s">
        <v>2039</v>
      </c>
      <c r="E2045" s="2" t="s">
        <v>78</v>
      </c>
      <c r="F2045" s="2" t="s">
        <v>107</v>
      </c>
      <c r="G2045" s="30" t="n">
        <v>36.9</v>
      </c>
      <c r="H2045" s="11" t="n">
        <v>439.99</v>
      </c>
      <c r="I2045" s="11" t="s">
        <v>155</v>
      </c>
      <c r="J2045" s="11" t="n">
        <v>91.97</v>
      </c>
      <c r="K2045" s="11" t="n">
        <v>93.97</v>
      </c>
      <c r="L2045" s="11" t="n">
        <v>0.44</v>
      </c>
      <c r="M2045" s="11" t="n">
        <v>0.88</v>
      </c>
      <c r="N2045" s="11" t="n">
        <v>1</v>
      </c>
      <c r="O2045" s="11" t="n">
        <v>4.5</v>
      </c>
      <c r="P2045" s="11" t="n">
        <v>2.22</v>
      </c>
      <c r="Q2045" s="11" t="n">
        <v>16.65</v>
      </c>
      <c r="R2045" s="11" t="n">
        <f aca="false">SUM(K2045:Q2045)</f>
        <v>119.66</v>
      </c>
      <c r="S2045" s="11" t="n">
        <f aca="false">R2045/(1-Resumo!$C$6)</f>
        <v>135.977272727273</v>
      </c>
      <c r="T2045" s="11" t="n">
        <f aca="false">S2045-J2045</f>
        <v>44.0072727272727</v>
      </c>
      <c r="U2045" s="12" t="n">
        <f aca="false">IFERROR(S2045/J2045-1,0)</f>
        <v>0.47849595223739</v>
      </c>
      <c r="V2045" s="2" t="str">
        <f aca="false">IF(S2045&lt;J2045,"SIM","NÃO")</f>
        <v>NÃO</v>
      </c>
      <c r="W2045" s="2" t="n">
        <v>5</v>
      </c>
      <c r="X2045" s="2" t="s">
        <v>156</v>
      </c>
    </row>
    <row r="2046" customFormat="false" ht="15" hidden="false" customHeight="false" outlineLevel="0" collapsed="false">
      <c r="A2046" s="2" t="n">
        <v>398611702</v>
      </c>
      <c r="B2046" s="29" t="n">
        <v>46288.6371759259</v>
      </c>
      <c r="C2046" s="2" t="s">
        <v>153</v>
      </c>
      <c r="D2046" s="2" t="s">
        <v>2040</v>
      </c>
      <c r="E2046" s="2" t="s">
        <v>86</v>
      </c>
      <c r="F2046" s="2" t="s">
        <v>110</v>
      </c>
      <c r="G2046" s="30" t="n">
        <v>66.8</v>
      </c>
      <c r="H2046" s="11" t="n">
        <v>666.23</v>
      </c>
      <c r="I2046" s="11" t="s">
        <v>155</v>
      </c>
      <c r="J2046" s="11" t="n">
        <v>139.62</v>
      </c>
      <c r="K2046" s="11" t="n">
        <v>131.02</v>
      </c>
      <c r="L2046" s="11" t="n">
        <v>0.6662</v>
      </c>
      <c r="M2046" s="11" t="n">
        <v>1.3325</v>
      </c>
      <c r="N2046" s="11" t="n">
        <v>1</v>
      </c>
      <c r="O2046" s="11" t="n">
        <v>4.5</v>
      </c>
      <c r="P2046" s="11" t="n">
        <v>4.02</v>
      </c>
      <c r="Q2046" s="11" t="n">
        <v>30.15</v>
      </c>
      <c r="R2046" s="11" t="n">
        <f aca="false">SUM(K2046:Q2046)</f>
        <v>172.6887</v>
      </c>
      <c r="S2046" s="11" t="n">
        <f aca="false">R2046/(1-Resumo!$C$6)</f>
        <v>196.237159090909</v>
      </c>
      <c r="T2046" s="11" t="n">
        <f aca="false">S2046-J2046</f>
        <v>56.6171590909091</v>
      </c>
      <c r="U2046" s="12" t="n">
        <f aca="false">IFERROR(S2046/J2046-1,0)</f>
        <v>0.405508946360902</v>
      </c>
      <c r="V2046" s="2" t="str">
        <f aca="false">IF(S2046&lt;J2046,"SIM","NÃO")</f>
        <v>NÃO</v>
      </c>
      <c r="W2046" s="2" t="n">
        <v>5</v>
      </c>
      <c r="X2046" s="2" t="s">
        <v>156</v>
      </c>
    </row>
    <row r="2047" customFormat="false" ht="15" hidden="false" customHeight="false" outlineLevel="0" collapsed="false">
      <c r="A2047" s="2" t="n">
        <v>398628166</v>
      </c>
      <c r="B2047" s="29" t="n">
        <v>46288.6532523148</v>
      </c>
      <c r="C2047" s="2" t="s">
        <v>369</v>
      </c>
      <c r="D2047" s="2" t="s">
        <v>2041</v>
      </c>
      <c r="E2047" s="2" t="s">
        <v>78</v>
      </c>
      <c r="F2047" s="2" t="s">
        <v>106</v>
      </c>
      <c r="G2047" s="30" t="n">
        <v>21.3</v>
      </c>
      <c r="H2047" s="11" t="n">
        <v>218.02</v>
      </c>
      <c r="I2047" s="11" t="s">
        <v>155</v>
      </c>
      <c r="J2047" s="11" t="n">
        <v>81.38</v>
      </c>
      <c r="K2047" s="11" t="n">
        <v>82.21</v>
      </c>
      <c r="L2047" s="11" t="n">
        <v>0.218</v>
      </c>
      <c r="M2047" s="11" t="n">
        <v>0.436</v>
      </c>
      <c r="N2047" s="11" t="n">
        <v>1</v>
      </c>
      <c r="O2047" s="11" t="n">
        <v>4.5</v>
      </c>
      <c r="P2047" s="11" t="n">
        <v>1.32</v>
      </c>
      <c r="Q2047" s="11" t="n">
        <v>9.9</v>
      </c>
      <c r="R2047" s="11" t="n">
        <f aca="false">SUM(K2047:Q2047)</f>
        <v>99.584</v>
      </c>
      <c r="S2047" s="11" t="n">
        <f aca="false">R2047/(1-Resumo!$C$6)</f>
        <v>113.163636363636</v>
      </c>
      <c r="T2047" s="11" t="n">
        <f aca="false">S2047-J2047</f>
        <v>31.7836363636364</v>
      </c>
      <c r="U2047" s="12" t="n">
        <f aca="false">IFERROR(S2047/J2047-1,0)</f>
        <v>0.390558323465672</v>
      </c>
      <c r="V2047" s="2" t="str">
        <f aca="false">IF(S2047&lt;J2047,"SIM","NÃO")</f>
        <v>NÃO</v>
      </c>
      <c r="W2047" s="2" t="n">
        <v>5</v>
      </c>
      <c r="X2047" s="2" t="s">
        <v>156</v>
      </c>
    </row>
    <row r="2048" customFormat="false" ht="15" hidden="false" customHeight="false" outlineLevel="0" collapsed="false">
      <c r="A2048" s="2" t="n">
        <v>398638838</v>
      </c>
      <c r="B2048" s="29" t="n">
        <v>46288.6967592593</v>
      </c>
      <c r="C2048" s="2" t="s">
        <v>153</v>
      </c>
      <c r="D2048" s="2" t="s">
        <v>2042</v>
      </c>
      <c r="E2048" s="2" t="s">
        <v>78</v>
      </c>
      <c r="F2048" s="2" t="s">
        <v>109</v>
      </c>
      <c r="G2048" s="30" t="n">
        <v>52.3</v>
      </c>
      <c r="H2048" s="11" t="n">
        <v>592.37</v>
      </c>
      <c r="I2048" s="11" t="s">
        <v>155</v>
      </c>
      <c r="J2048" s="11" t="n">
        <v>113.98</v>
      </c>
      <c r="K2048" s="11" t="n">
        <v>112.3</v>
      </c>
      <c r="L2048" s="11" t="n">
        <v>0.5924</v>
      </c>
      <c r="M2048" s="11" t="n">
        <v>1.1847</v>
      </c>
      <c r="N2048" s="11" t="n">
        <v>1</v>
      </c>
      <c r="O2048" s="11" t="n">
        <v>4.5</v>
      </c>
      <c r="P2048" s="11" t="n">
        <v>3.18</v>
      </c>
      <c r="Q2048" s="11" t="n">
        <v>23.85</v>
      </c>
      <c r="R2048" s="11" t="n">
        <f aca="false">SUM(K2048:Q2048)</f>
        <v>146.6071</v>
      </c>
      <c r="S2048" s="11" t="n">
        <f aca="false">R2048/(1-Resumo!$C$6)</f>
        <v>166.598977272727</v>
      </c>
      <c r="T2048" s="11" t="n">
        <f aca="false">S2048-J2048</f>
        <v>52.6189772727273</v>
      </c>
      <c r="U2048" s="12" t="n">
        <f aca="false">IFERROR(S2048/J2048-1,0)</f>
        <v>0.461650967474357</v>
      </c>
      <c r="V2048" s="2" t="str">
        <f aca="false">IF(S2048&lt;J2048,"SIM","NÃO")</f>
        <v>NÃO</v>
      </c>
      <c r="W2048" s="2" t="n">
        <v>5</v>
      </c>
      <c r="X2048" s="2" t="s">
        <v>156</v>
      </c>
    </row>
    <row r="2049" customFormat="false" ht="15" hidden="false" customHeight="false" outlineLevel="0" collapsed="false">
      <c r="A2049" s="2" t="n">
        <v>398643005</v>
      </c>
      <c r="B2049" s="29" t="n">
        <v>46288.7064467593</v>
      </c>
      <c r="C2049" s="2" t="s">
        <v>153</v>
      </c>
      <c r="D2049" s="2" t="s">
        <v>2043</v>
      </c>
      <c r="E2049" s="2" t="s">
        <v>87</v>
      </c>
      <c r="F2049" s="2" t="s">
        <v>106</v>
      </c>
      <c r="G2049" s="30" t="n">
        <v>27.4</v>
      </c>
      <c r="H2049" s="11" t="n">
        <v>369.99</v>
      </c>
      <c r="I2049" s="11" t="s">
        <v>155</v>
      </c>
      <c r="J2049" s="11" t="n">
        <v>108.95</v>
      </c>
      <c r="K2049" s="11" t="n">
        <v>108.83</v>
      </c>
      <c r="L2049" s="11" t="n">
        <v>0.37</v>
      </c>
      <c r="M2049" s="11" t="n">
        <v>0.74</v>
      </c>
      <c r="N2049" s="11" t="n">
        <v>1</v>
      </c>
      <c r="O2049" s="11" t="n">
        <v>4.5</v>
      </c>
      <c r="P2049" s="11" t="n">
        <v>1.68</v>
      </c>
      <c r="Q2049" s="11" t="n">
        <v>12.6</v>
      </c>
      <c r="R2049" s="11" t="n">
        <f aca="false">SUM(K2049:Q2049)</f>
        <v>129.72</v>
      </c>
      <c r="S2049" s="11" t="n">
        <f aca="false">R2049/(1-Resumo!$C$6)</f>
        <v>147.409090909091</v>
      </c>
      <c r="T2049" s="11" t="n">
        <f aca="false">S2049-J2049</f>
        <v>38.4590909090909</v>
      </c>
      <c r="U2049" s="12" t="n">
        <f aca="false">IFERROR(S2049/J2049-1,0)</f>
        <v>0.352997621928324</v>
      </c>
      <c r="V2049" s="2" t="str">
        <f aca="false">IF(S2049&lt;J2049,"SIM","NÃO")</f>
        <v>NÃO</v>
      </c>
      <c r="W2049" s="2" t="n">
        <v>10</v>
      </c>
      <c r="X2049" s="2" t="s">
        <v>156</v>
      </c>
    </row>
    <row r="2050" customFormat="false" ht="15" hidden="false" customHeight="false" outlineLevel="0" collapsed="false">
      <c r="A2050" s="2" t="n">
        <v>398642492</v>
      </c>
      <c r="B2050" s="29" t="n">
        <v>46288.7096296296</v>
      </c>
      <c r="C2050" s="2" t="s">
        <v>178</v>
      </c>
      <c r="D2050" s="2" t="s">
        <v>2044</v>
      </c>
      <c r="E2050" s="2" t="s">
        <v>79</v>
      </c>
      <c r="F2050" s="2" t="s">
        <v>106</v>
      </c>
      <c r="G2050" s="30" t="n">
        <v>22.4</v>
      </c>
      <c r="H2050" s="11" t="n">
        <v>559.99</v>
      </c>
      <c r="I2050" s="11" t="s">
        <v>155</v>
      </c>
      <c r="J2050" s="11" t="n">
        <v>102.07</v>
      </c>
      <c r="K2050" s="11" t="n">
        <v>100.58</v>
      </c>
      <c r="L2050" s="11" t="n">
        <v>0.56</v>
      </c>
      <c r="M2050" s="11" t="n">
        <v>1.12</v>
      </c>
      <c r="N2050" s="11" t="n">
        <v>1</v>
      </c>
      <c r="O2050" s="11" t="n">
        <v>4.5</v>
      </c>
      <c r="P2050" s="11" t="n">
        <v>1.38</v>
      </c>
      <c r="Q2050" s="11" t="n">
        <v>10.35</v>
      </c>
      <c r="R2050" s="11" t="n">
        <f aca="false">SUM(K2050:Q2050)</f>
        <v>119.49</v>
      </c>
      <c r="S2050" s="11" t="n">
        <f aca="false">R2050/(1-Resumo!$C$6)</f>
        <v>135.784090909091</v>
      </c>
      <c r="T2050" s="11" t="n">
        <f aca="false">S2050-J2050</f>
        <v>33.7140909090909</v>
      </c>
      <c r="U2050" s="12" t="n">
        <f aca="false">IFERROR(S2050/J2050-1,0)</f>
        <v>0.330303624072606</v>
      </c>
      <c r="V2050" s="2" t="str">
        <f aca="false">IF(S2050&lt;J2050,"SIM","NÃO")</f>
        <v>NÃO</v>
      </c>
      <c r="W2050" s="2" t="n">
        <v>7</v>
      </c>
      <c r="X2050" s="2" t="s">
        <v>156</v>
      </c>
    </row>
    <row r="2051" customFormat="false" ht="15" hidden="false" customHeight="false" outlineLevel="0" collapsed="false">
      <c r="A2051" s="2" t="n">
        <v>398645942</v>
      </c>
      <c r="B2051" s="29" t="n">
        <v>46288.7116319445</v>
      </c>
      <c r="C2051" s="2" t="s">
        <v>158</v>
      </c>
      <c r="D2051" s="2" t="s">
        <v>2045</v>
      </c>
      <c r="E2051" s="2" t="s">
        <v>78</v>
      </c>
      <c r="F2051" s="2" t="s">
        <v>108</v>
      </c>
      <c r="G2051" s="30" t="n">
        <v>48</v>
      </c>
      <c r="H2051" s="11" t="n">
        <v>829.99</v>
      </c>
      <c r="I2051" s="11" t="s">
        <v>155</v>
      </c>
      <c r="J2051" s="11" t="n">
        <v>104.57</v>
      </c>
      <c r="K2051" s="11" t="n">
        <v>93.97</v>
      </c>
      <c r="L2051" s="11" t="n">
        <v>0.83</v>
      </c>
      <c r="M2051" s="11" t="n">
        <v>1.66</v>
      </c>
      <c r="N2051" s="11" t="n">
        <v>1</v>
      </c>
      <c r="O2051" s="11" t="n">
        <v>4.5</v>
      </c>
      <c r="P2051" s="11" t="n">
        <v>2.88</v>
      </c>
      <c r="Q2051" s="11" t="n">
        <v>21.6</v>
      </c>
      <c r="R2051" s="11" t="n">
        <f aca="false">SUM(K2051:Q2051)</f>
        <v>126.44</v>
      </c>
      <c r="S2051" s="11" t="n">
        <f aca="false">R2051/(1-Resumo!$C$6)</f>
        <v>143.681818181818</v>
      </c>
      <c r="T2051" s="11" t="n">
        <f aca="false">S2051-J2051</f>
        <v>39.1118181818182</v>
      </c>
      <c r="U2051" s="12" t="n">
        <f aca="false">IFERROR(S2051/J2051-1,0)</f>
        <v>0.374025228859311</v>
      </c>
      <c r="V2051" s="2" t="str">
        <f aca="false">IF(S2051&lt;J2051,"SIM","NÃO")</f>
        <v>NÃO</v>
      </c>
      <c r="W2051" s="2" t="n">
        <v>5</v>
      </c>
      <c r="X2051" s="2" t="s">
        <v>156</v>
      </c>
    </row>
    <row r="2052" customFormat="false" ht="15" hidden="false" customHeight="false" outlineLevel="0" collapsed="false">
      <c r="A2052" s="2" t="n">
        <v>398661449</v>
      </c>
      <c r="B2052" s="29" t="n">
        <v>46288.7463657407</v>
      </c>
      <c r="C2052" s="2" t="s">
        <v>158</v>
      </c>
      <c r="D2052" s="2" t="s">
        <v>2046</v>
      </c>
      <c r="E2052" s="2" t="s">
        <v>2047</v>
      </c>
      <c r="F2052" s="2" t="s">
        <v>106</v>
      </c>
      <c r="G2052" s="30" t="n">
        <v>31.9</v>
      </c>
      <c r="H2052" s="11" t="n">
        <v>494.99</v>
      </c>
      <c r="I2052" s="11" t="s">
        <v>155</v>
      </c>
      <c r="J2052" s="11" t="n">
        <v>109.56</v>
      </c>
      <c r="K2052" s="11" t="n">
        <v>138.29</v>
      </c>
      <c r="L2052" s="11" t="n">
        <v>0.495</v>
      </c>
      <c r="M2052" s="11" t="n">
        <v>0.99</v>
      </c>
      <c r="N2052" s="11" t="n">
        <v>1</v>
      </c>
      <c r="O2052" s="11" t="n">
        <v>4.5</v>
      </c>
      <c r="P2052" s="11" t="n">
        <v>1.92</v>
      </c>
      <c r="Q2052" s="11" t="n">
        <v>14.4</v>
      </c>
      <c r="R2052" s="11" t="n">
        <f aca="false">SUM(K2052:Q2052)</f>
        <v>161.595</v>
      </c>
      <c r="S2052" s="11" t="n">
        <f aca="false">R2052/(1-Resumo!$C$6)</f>
        <v>183.630681818182</v>
      </c>
      <c r="T2052" s="11" t="n">
        <f aca="false">S2052-J2052</f>
        <v>74.0706818181818</v>
      </c>
      <c r="U2052" s="12" t="n">
        <f aca="false">IFERROR(S2052/J2052-1,0)</f>
        <v>0.676074131235686</v>
      </c>
      <c r="V2052" s="2" t="str">
        <f aca="false">IF(S2052&lt;J2052,"SIM","NÃO")</f>
        <v>NÃO</v>
      </c>
      <c r="W2052" s="2" t="n">
        <v>11</v>
      </c>
      <c r="X2052" s="2" t="s">
        <v>161</v>
      </c>
    </row>
    <row r="2053" customFormat="false" ht="15" hidden="false" customHeight="false" outlineLevel="0" collapsed="false">
      <c r="A2053" s="2" t="n">
        <v>398671721</v>
      </c>
      <c r="B2053" s="29" t="n">
        <v>46288.7692939815</v>
      </c>
      <c r="C2053" s="2" t="s">
        <v>153</v>
      </c>
      <c r="D2053" s="2" t="s">
        <v>794</v>
      </c>
      <c r="E2053" s="2" t="s">
        <v>78</v>
      </c>
      <c r="F2053" s="2" t="s">
        <v>110</v>
      </c>
      <c r="G2053" s="30" t="n">
        <v>66.8</v>
      </c>
      <c r="H2053" s="11" t="n">
        <v>666.23</v>
      </c>
      <c r="I2053" s="11" t="s">
        <v>155</v>
      </c>
      <c r="J2053" s="11" t="n">
        <v>124.4</v>
      </c>
      <c r="K2053" s="11" t="n">
        <v>131.02</v>
      </c>
      <c r="L2053" s="11" t="n">
        <v>0.6662</v>
      </c>
      <c r="M2053" s="11" t="n">
        <v>1.3325</v>
      </c>
      <c r="N2053" s="11" t="n">
        <v>1</v>
      </c>
      <c r="O2053" s="11" t="n">
        <v>4.5</v>
      </c>
      <c r="P2053" s="11" t="n">
        <v>4.02</v>
      </c>
      <c r="Q2053" s="11" t="n">
        <v>30.15</v>
      </c>
      <c r="R2053" s="11" t="n">
        <f aca="false">SUM(K2053:Q2053)</f>
        <v>172.6887</v>
      </c>
      <c r="S2053" s="11" t="n">
        <f aca="false">R2053/(1-Resumo!$C$6)</f>
        <v>196.237159090909</v>
      </c>
      <c r="T2053" s="11" t="n">
        <f aca="false">S2053-J2053</f>
        <v>71.8371590909091</v>
      </c>
      <c r="U2053" s="12" t="n">
        <f aca="false">IFERROR(S2053/J2053-1,0)</f>
        <v>0.577469124524993</v>
      </c>
      <c r="V2053" s="2" t="str">
        <f aca="false">IF(S2053&lt;J2053,"SIM","NÃO")</f>
        <v>NÃO</v>
      </c>
      <c r="W2053" s="2" t="n">
        <v>5</v>
      </c>
      <c r="X2053" s="2" t="s">
        <v>156</v>
      </c>
    </row>
    <row r="2054" customFormat="false" ht="15" hidden="false" customHeight="false" outlineLevel="0" collapsed="false">
      <c r="A2054" s="2" t="n">
        <v>398676857</v>
      </c>
      <c r="B2054" s="29" t="n">
        <v>46288.7808333333</v>
      </c>
      <c r="C2054" s="2" t="s">
        <v>158</v>
      </c>
      <c r="D2054" s="2" t="s">
        <v>2048</v>
      </c>
      <c r="E2054" s="2" t="s">
        <v>78</v>
      </c>
      <c r="F2054" s="2" t="s">
        <v>108</v>
      </c>
      <c r="G2054" s="30" t="n">
        <v>46.8</v>
      </c>
      <c r="H2054" s="11" t="n">
        <v>503.49</v>
      </c>
      <c r="I2054" s="11" t="s">
        <v>155</v>
      </c>
      <c r="J2054" s="11" t="n">
        <v>103.01</v>
      </c>
      <c r="K2054" s="11" t="n">
        <v>93.97</v>
      </c>
      <c r="L2054" s="11" t="n">
        <v>0.5035</v>
      </c>
      <c r="M2054" s="11" t="n">
        <v>1.007</v>
      </c>
      <c r="N2054" s="11" t="n">
        <v>1</v>
      </c>
      <c r="O2054" s="11" t="n">
        <v>4.5</v>
      </c>
      <c r="P2054" s="11" t="n">
        <v>2.82</v>
      </c>
      <c r="Q2054" s="11" t="n">
        <v>21.15</v>
      </c>
      <c r="R2054" s="11" t="n">
        <f aca="false">SUM(K2054:Q2054)</f>
        <v>124.9505</v>
      </c>
      <c r="S2054" s="11" t="n">
        <f aca="false">R2054/(1-Resumo!$C$6)</f>
        <v>141.989204545455</v>
      </c>
      <c r="T2054" s="11" t="n">
        <f aca="false">S2054-J2054</f>
        <v>38.9792045454546</v>
      </c>
      <c r="U2054" s="12" t="n">
        <f aca="false">IFERROR(S2054/J2054-1,0)</f>
        <v>0.37840214101014</v>
      </c>
      <c r="V2054" s="2" t="str">
        <f aca="false">IF(S2054&lt;J2054,"SIM","NÃO")</f>
        <v>NÃO</v>
      </c>
      <c r="W2054" s="2" t="n">
        <v>5</v>
      </c>
      <c r="X2054" s="2" t="s">
        <v>156</v>
      </c>
    </row>
    <row r="2055" customFormat="false" ht="15" hidden="false" customHeight="false" outlineLevel="0" collapsed="false">
      <c r="A2055" s="2" t="n">
        <v>398680742</v>
      </c>
      <c r="B2055" s="29" t="n">
        <v>46288.7902662037</v>
      </c>
      <c r="C2055" s="2" t="s">
        <v>153</v>
      </c>
      <c r="D2055" s="2" t="s">
        <v>524</v>
      </c>
      <c r="E2055" s="2" t="s">
        <v>525</v>
      </c>
      <c r="F2055" s="2" t="s">
        <v>110</v>
      </c>
      <c r="G2055" s="30" t="n">
        <v>66.8</v>
      </c>
      <c r="H2055" s="11" t="n">
        <v>666.23</v>
      </c>
      <c r="I2055" s="11" t="s">
        <v>155</v>
      </c>
      <c r="J2055" s="11" t="n">
        <v>155.2</v>
      </c>
      <c r="K2055" s="11" t="n">
        <v>171.54</v>
      </c>
      <c r="L2055" s="11" t="n">
        <v>0.6662</v>
      </c>
      <c r="M2055" s="11" t="n">
        <v>1.3325</v>
      </c>
      <c r="N2055" s="11" t="n">
        <v>1</v>
      </c>
      <c r="O2055" s="11" t="n">
        <v>4.5</v>
      </c>
      <c r="P2055" s="11" t="n">
        <v>4.02</v>
      </c>
      <c r="Q2055" s="11" t="n">
        <v>30.15</v>
      </c>
      <c r="R2055" s="11" t="n">
        <f aca="false">SUM(K2055:Q2055)</f>
        <v>213.2087</v>
      </c>
      <c r="S2055" s="11" t="n">
        <f aca="false">R2055/(1-Resumo!$C$6)</f>
        <v>242.282613636364</v>
      </c>
      <c r="T2055" s="11" t="n">
        <f aca="false">S2055-J2055</f>
        <v>87.0826136363637</v>
      </c>
      <c r="U2055" s="12" t="n">
        <f aca="false">IFERROR(S2055/J2055-1,0)</f>
        <v>0.561099314667292</v>
      </c>
      <c r="V2055" s="2" t="str">
        <f aca="false">IF(S2055&lt;J2055,"SIM","NÃO")</f>
        <v>NÃO</v>
      </c>
      <c r="W2055" s="2" t="n">
        <v>11</v>
      </c>
      <c r="X2055" s="2" t="s">
        <v>161</v>
      </c>
    </row>
    <row r="2056" customFormat="false" ht="15" hidden="false" customHeight="false" outlineLevel="0" collapsed="false">
      <c r="A2056" s="2" t="n">
        <v>398691486</v>
      </c>
      <c r="B2056" s="29" t="n">
        <v>46288.8142013889</v>
      </c>
      <c r="C2056" s="2" t="s">
        <v>158</v>
      </c>
      <c r="D2056" s="2" t="s">
        <v>2049</v>
      </c>
      <c r="E2056" s="2" t="s">
        <v>78</v>
      </c>
      <c r="F2056" s="2" t="s">
        <v>107</v>
      </c>
      <c r="G2056" s="30" t="n">
        <v>40</v>
      </c>
      <c r="H2056" s="11" t="n">
        <v>554.4</v>
      </c>
      <c r="I2056" s="11" t="s">
        <v>155</v>
      </c>
      <c r="J2056" s="11" t="n">
        <v>92.51</v>
      </c>
      <c r="K2056" s="11" t="n">
        <v>93.97</v>
      </c>
      <c r="L2056" s="11" t="n">
        <v>0.5544</v>
      </c>
      <c r="M2056" s="11" t="n">
        <v>1.1088</v>
      </c>
      <c r="N2056" s="11" t="n">
        <v>1</v>
      </c>
      <c r="O2056" s="11" t="n">
        <v>4.5</v>
      </c>
      <c r="P2056" s="11" t="n">
        <v>2.4</v>
      </c>
      <c r="Q2056" s="11" t="n">
        <v>18</v>
      </c>
      <c r="R2056" s="11" t="n">
        <f aca="false">SUM(K2056:Q2056)</f>
        <v>121.5332</v>
      </c>
      <c r="S2056" s="11" t="n">
        <f aca="false">R2056/(1-Resumo!$C$6)</f>
        <v>138.105909090909</v>
      </c>
      <c r="T2056" s="11" t="n">
        <f aca="false">S2056-J2056</f>
        <v>45.5959090909091</v>
      </c>
      <c r="U2056" s="12" t="n">
        <f aca="false">IFERROR(S2056/J2056-1,0)</f>
        <v>0.492875463094899</v>
      </c>
      <c r="V2056" s="2" t="str">
        <f aca="false">IF(S2056&lt;J2056,"SIM","NÃO")</f>
        <v>NÃO</v>
      </c>
      <c r="W2056" s="2" t="n">
        <v>5</v>
      </c>
      <c r="X2056" s="2" t="s">
        <v>156</v>
      </c>
    </row>
    <row r="2057" customFormat="false" ht="15" hidden="false" customHeight="false" outlineLevel="0" collapsed="false">
      <c r="A2057" s="2" t="n">
        <v>398708162</v>
      </c>
      <c r="B2057" s="29" t="n">
        <v>46288.8500347222</v>
      </c>
      <c r="C2057" s="2" t="s">
        <v>158</v>
      </c>
      <c r="D2057" s="2" t="s">
        <v>1305</v>
      </c>
      <c r="E2057" s="2" t="s">
        <v>78</v>
      </c>
      <c r="F2057" s="2" t="s">
        <v>106</v>
      </c>
      <c r="G2057" s="30" t="n">
        <v>33</v>
      </c>
      <c r="H2057" s="11" t="n">
        <v>355.44</v>
      </c>
      <c r="I2057" s="11" t="s">
        <v>155</v>
      </c>
      <c r="J2057" s="11" t="n">
        <v>82.02</v>
      </c>
      <c r="K2057" s="11" t="n">
        <v>82.21</v>
      </c>
      <c r="L2057" s="11" t="n">
        <v>0.3554</v>
      </c>
      <c r="M2057" s="11" t="n">
        <v>0.7109</v>
      </c>
      <c r="N2057" s="11" t="n">
        <v>1</v>
      </c>
      <c r="O2057" s="11" t="n">
        <v>4.5</v>
      </c>
      <c r="P2057" s="11" t="n">
        <v>1.98</v>
      </c>
      <c r="Q2057" s="11" t="n">
        <v>14.85</v>
      </c>
      <c r="R2057" s="11" t="n">
        <f aca="false">SUM(K2057:Q2057)</f>
        <v>105.6063</v>
      </c>
      <c r="S2057" s="11" t="n">
        <f aca="false">R2057/(1-Resumo!$C$6)</f>
        <v>120.007159090909</v>
      </c>
      <c r="T2057" s="11" t="n">
        <f aca="false">S2057-J2057</f>
        <v>37.9871590909091</v>
      </c>
      <c r="U2057" s="12" t="n">
        <f aca="false">IFERROR(S2057/J2057-1,0)</f>
        <v>0.463145075480482</v>
      </c>
      <c r="V2057" s="2" t="str">
        <f aca="false">IF(S2057&lt;J2057,"SIM","NÃO")</f>
        <v>NÃO</v>
      </c>
      <c r="W2057" s="2" t="n">
        <v>5</v>
      </c>
      <c r="X2057" s="2" t="s">
        <v>156</v>
      </c>
    </row>
    <row r="2058" customFormat="false" ht="15" hidden="false" customHeight="false" outlineLevel="0" collapsed="false">
      <c r="A2058" s="2" t="n">
        <v>398713488</v>
      </c>
      <c r="B2058" s="29" t="n">
        <v>46288.8611689815</v>
      </c>
      <c r="C2058" s="2" t="s">
        <v>158</v>
      </c>
      <c r="D2058" s="2" t="s">
        <v>2050</v>
      </c>
      <c r="E2058" s="2" t="s">
        <v>80</v>
      </c>
      <c r="F2058" s="2" t="s">
        <v>107</v>
      </c>
      <c r="G2058" s="30" t="n">
        <v>37.5</v>
      </c>
      <c r="H2058" s="11" t="n">
        <v>379.19</v>
      </c>
      <c r="I2058" s="11" t="s">
        <v>155</v>
      </c>
      <c r="J2058" s="11" t="n">
        <v>112.77</v>
      </c>
      <c r="K2058" s="11" t="n">
        <v>93.97</v>
      </c>
      <c r="L2058" s="11" t="n">
        <v>0.3792</v>
      </c>
      <c r="M2058" s="11" t="n">
        <v>0.7584</v>
      </c>
      <c r="N2058" s="11" t="n">
        <v>1</v>
      </c>
      <c r="O2058" s="11" t="n">
        <v>4.5</v>
      </c>
      <c r="P2058" s="11" t="n">
        <v>2.28</v>
      </c>
      <c r="Q2058" s="11" t="n">
        <v>17.1</v>
      </c>
      <c r="R2058" s="11" t="n">
        <f aca="false">SUM(K2058:Q2058)</f>
        <v>119.9876</v>
      </c>
      <c r="S2058" s="11" t="n">
        <f aca="false">R2058/(1-Resumo!$C$6)</f>
        <v>136.349545454545</v>
      </c>
      <c r="T2058" s="11" t="n">
        <f aca="false">S2058-J2058</f>
        <v>23.5795454545455</v>
      </c>
      <c r="U2058" s="12" t="n">
        <f aca="false">IFERROR(S2058/J2058-1,0)</f>
        <v>0.209094133675139</v>
      </c>
      <c r="V2058" s="2" t="str">
        <f aca="false">IF(S2058&lt;J2058,"SIM","NÃO")</f>
        <v>NÃO</v>
      </c>
      <c r="W2058" s="2" t="n">
        <v>5</v>
      </c>
      <c r="X2058" s="2" t="s">
        <v>156</v>
      </c>
    </row>
    <row r="2059" customFormat="false" ht="15" hidden="false" customHeight="false" outlineLevel="0" collapsed="false">
      <c r="A2059" s="2" t="n">
        <v>398721258</v>
      </c>
      <c r="B2059" s="29" t="n">
        <v>46288.8773148148</v>
      </c>
      <c r="C2059" s="2" t="s">
        <v>153</v>
      </c>
      <c r="D2059" s="2" t="s">
        <v>1806</v>
      </c>
      <c r="E2059" s="2" t="s">
        <v>1387</v>
      </c>
      <c r="F2059" s="2" t="s">
        <v>109</v>
      </c>
      <c r="G2059" s="30" t="n">
        <v>52.3</v>
      </c>
      <c r="H2059" s="11" t="n">
        <v>592.37</v>
      </c>
      <c r="I2059" s="11" t="s">
        <v>155</v>
      </c>
      <c r="J2059" s="11" t="n">
        <v>142.5</v>
      </c>
      <c r="K2059" s="11" t="n">
        <v>128.14</v>
      </c>
      <c r="L2059" s="11" t="n">
        <v>0.5924</v>
      </c>
      <c r="M2059" s="11" t="n">
        <v>1.1847</v>
      </c>
      <c r="N2059" s="11" t="n">
        <v>1</v>
      </c>
      <c r="O2059" s="11" t="n">
        <v>4.5</v>
      </c>
      <c r="P2059" s="11" t="n">
        <v>3.18</v>
      </c>
      <c r="Q2059" s="11" t="n">
        <v>23.85</v>
      </c>
      <c r="R2059" s="11" t="n">
        <f aca="false">SUM(K2059:Q2059)</f>
        <v>162.4471</v>
      </c>
      <c r="S2059" s="11" t="n">
        <f aca="false">R2059/(1-Resumo!$C$6)</f>
        <v>184.598977272727</v>
      </c>
      <c r="T2059" s="11" t="n">
        <f aca="false">S2059-J2059</f>
        <v>42.0989772727272</v>
      </c>
      <c r="U2059" s="12" t="n">
        <f aca="false">IFERROR(S2059/J2059-1,0)</f>
        <v>0.295431419457735</v>
      </c>
      <c r="V2059" s="2" t="str">
        <f aca="false">IF(S2059&lt;J2059,"SIM","NÃO")</f>
        <v>NÃO</v>
      </c>
      <c r="W2059" s="2" t="n">
        <v>7</v>
      </c>
      <c r="X2059" s="2" t="s">
        <v>161</v>
      </c>
    </row>
    <row r="2060" customFormat="false" ht="15" hidden="false" customHeight="false" outlineLevel="0" collapsed="false">
      <c r="A2060" s="2" t="n">
        <v>398734139</v>
      </c>
      <c r="B2060" s="29" t="n">
        <v>46288.9042476852</v>
      </c>
      <c r="C2060" s="2" t="s">
        <v>153</v>
      </c>
      <c r="D2060" s="2" t="s">
        <v>2051</v>
      </c>
      <c r="E2060" s="2" t="s">
        <v>84</v>
      </c>
      <c r="F2060" s="2" t="s">
        <v>108</v>
      </c>
      <c r="G2060" s="30" t="n">
        <v>47.1</v>
      </c>
      <c r="H2060" s="11" t="n">
        <v>619.99</v>
      </c>
      <c r="I2060" s="11" t="s">
        <v>155</v>
      </c>
      <c r="J2060" s="11" t="n">
        <v>117.05</v>
      </c>
      <c r="K2060" s="11" t="n">
        <v>93.97</v>
      </c>
      <c r="L2060" s="11" t="n">
        <v>0.62</v>
      </c>
      <c r="M2060" s="11" t="n">
        <v>1.24</v>
      </c>
      <c r="N2060" s="11" t="n">
        <v>1</v>
      </c>
      <c r="O2060" s="11" t="n">
        <v>4.5</v>
      </c>
      <c r="P2060" s="11" t="n">
        <v>2.88</v>
      </c>
      <c r="Q2060" s="11" t="n">
        <v>21.6</v>
      </c>
      <c r="R2060" s="11" t="n">
        <f aca="false">SUM(K2060:Q2060)</f>
        <v>125.81</v>
      </c>
      <c r="S2060" s="11" t="n">
        <f aca="false">R2060/(1-Resumo!$C$6)</f>
        <v>142.965909090909</v>
      </c>
      <c r="T2060" s="11" t="n">
        <f aca="false">S2060-J2060</f>
        <v>25.9159090909091</v>
      </c>
      <c r="U2060" s="12" t="n">
        <f aca="false">IFERROR(S2060/J2060-1,0)</f>
        <v>0.221408877325153</v>
      </c>
      <c r="V2060" s="2" t="str">
        <f aca="false">IF(S2060&lt;J2060,"SIM","NÃO")</f>
        <v>NÃO</v>
      </c>
      <c r="W2060" s="2" t="n">
        <v>5</v>
      </c>
      <c r="X2060" s="2" t="s">
        <v>156</v>
      </c>
    </row>
    <row r="2061" customFormat="false" ht="15" hidden="false" customHeight="false" outlineLevel="0" collapsed="false">
      <c r="A2061" s="2" t="n">
        <v>398742768</v>
      </c>
      <c r="B2061" s="29" t="n">
        <v>46288.9232523148</v>
      </c>
      <c r="C2061" s="2" t="s">
        <v>158</v>
      </c>
      <c r="D2061" s="2" t="s">
        <v>2052</v>
      </c>
      <c r="E2061" s="2" t="s">
        <v>94</v>
      </c>
      <c r="F2061" s="2" t="s">
        <v>107</v>
      </c>
      <c r="G2061" s="30" t="n">
        <v>40</v>
      </c>
      <c r="H2061" s="11" t="n">
        <v>636.49</v>
      </c>
      <c r="I2061" s="11" t="s">
        <v>155</v>
      </c>
      <c r="J2061" s="11" t="n">
        <v>114</v>
      </c>
      <c r="K2061" s="11" t="n">
        <v>93.97</v>
      </c>
      <c r="L2061" s="11" t="n">
        <v>0.6365</v>
      </c>
      <c r="M2061" s="11" t="n">
        <v>1.273</v>
      </c>
      <c r="N2061" s="11" t="n">
        <v>1</v>
      </c>
      <c r="O2061" s="11" t="n">
        <v>4.5</v>
      </c>
      <c r="P2061" s="11" t="n">
        <v>2.4</v>
      </c>
      <c r="Q2061" s="11" t="n">
        <v>18</v>
      </c>
      <c r="R2061" s="11" t="n">
        <f aca="false">SUM(K2061:Q2061)</f>
        <v>121.7795</v>
      </c>
      <c r="S2061" s="11" t="n">
        <f aca="false">R2061/(1-Resumo!$C$6)</f>
        <v>138.385795454545</v>
      </c>
      <c r="T2061" s="11" t="n">
        <f aca="false">S2061-J2061</f>
        <v>24.3857954545454</v>
      </c>
      <c r="U2061" s="12" t="n">
        <f aca="false">IFERROR(S2061/J2061-1,0)</f>
        <v>0.213910486443381</v>
      </c>
      <c r="V2061" s="2" t="str">
        <f aca="false">IF(S2061&lt;J2061,"SIM","NÃO")</f>
        <v>NÃO</v>
      </c>
      <c r="W2061" s="2" t="n">
        <v>5</v>
      </c>
      <c r="X2061" s="2" t="s">
        <v>156</v>
      </c>
    </row>
    <row r="2062" customFormat="false" ht="15" hidden="false" customHeight="false" outlineLevel="0" collapsed="false">
      <c r="A2062" s="2" t="n">
        <v>398751117</v>
      </c>
      <c r="B2062" s="29" t="n">
        <v>46288.9422916667</v>
      </c>
      <c r="C2062" s="2" t="s">
        <v>153</v>
      </c>
      <c r="D2062" s="2" t="s">
        <v>2053</v>
      </c>
      <c r="E2062" s="2" t="s">
        <v>80</v>
      </c>
      <c r="F2062" s="2" t="s">
        <v>109</v>
      </c>
      <c r="G2062" s="30" t="n">
        <v>52.3</v>
      </c>
      <c r="H2062" s="11" t="n">
        <v>592.37</v>
      </c>
      <c r="I2062" s="11" t="s">
        <v>155</v>
      </c>
      <c r="J2062" s="11" t="n">
        <v>128.11</v>
      </c>
      <c r="K2062" s="11" t="n">
        <v>112.3</v>
      </c>
      <c r="L2062" s="11" t="n">
        <v>0.5924</v>
      </c>
      <c r="M2062" s="11" t="n">
        <v>1.1847</v>
      </c>
      <c r="N2062" s="11" t="n">
        <v>1</v>
      </c>
      <c r="O2062" s="11" t="n">
        <v>4.5</v>
      </c>
      <c r="P2062" s="11" t="n">
        <v>3.18</v>
      </c>
      <c r="Q2062" s="11" t="n">
        <v>23.85</v>
      </c>
      <c r="R2062" s="11" t="n">
        <f aca="false">SUM(K2062:Q2062)</f>
        <v>146.6071</v>
      </c>
      <c r="S2062" s="11" t="n">
        <f aca="false">R2062/(1-Resumo!$C$6)</f>
        <v>166.598977272727</v>
      </c>
      <c r="T2062" s="11" t="n">
        <f aca="false">S2062-J2062</f>
        <v>38.4889772727273</v>
      </c>
      <c r="U2062" s="12" t="n">
        <f aca="false">IFERROR(S2062/J2062-1,0)</f>
        <v>0.300436946941904</v>
      </c>
      <c r="V2062" s="2" t="str">
        <f aca="false">IF(S2062&lt;J2062,"SIM","NÃO")</f>
        <v>NÃO</v>
      </c>
      <c r="W2062" s="2" t="n">
        <v>5</v>
      </c>
      <c r="X2062" s="2" t="s">
        <v>156</v>
      </c>
    </row>
    <row r="2063" customFormat="false" ht="15" hidden="false" customHeight="false" outlineLevel="0" collapsed="false">
      <c r="A2063" s="2" t="n">
        <v>398752401</v>
      </c>
      <c r="B2063" s="29" t="n">
        <v>46288.9453703704</v>
      </c>
      <c r="C2063" s="2" t="s">
        <v>158</v>
      </c>
      <c r="D2063" s="2" t="s">
        <v>2054</v>
      </c>
      <c r="E2063" s="2" t="s">
        <v>83</v>
      </c>
      <c r="F2063" s="2" t="s">
        <v>112</v>
      </c>
      <c r="G2063" s="30" t="n">
        <v>99</v>
      </c>
      <c r="H2063" s="11" t="n">
        <v>1122.28</v>
      </c>
      <c r="I2063" s="11" t="s">
        <v>155</v>
      </c>
      <c r="J2063" s="11" t="n">
        <v>193.97</v>
      </c>
      <c r="K2063" s="11" t="n">
        <v>200.04</v>
      </c>
      <c r="L2063" s="11" t="n">
        <v>1.1223</v>
      </c>
      <c r="M2063" s="11" t="n">
        <v>2.2446</v>
      </c>
      <c r="N2063" s="11" t="n">
        <v>1</v>
      </c>
      <c r="O2063" s="11" t="n">
        <v>4.5</v>
      </c>
      <c r="P2063" s="11" t="n">
        <v>5.94</v>
      </c>
      <c r="Q2063" s="11" t="n">
        <v>44.55</v>
      </c>
      <c r="R2063" s="11" t="n">
        <f aca="false">SUM(K2063:Q2063)</f>
        <v>259.3969</v>
      </c>
      <c r="S2063" s="11" t="n">
        <f aca="false">R2063/(1-Resumo!$C$6)</f>
        <v>294.769204545455</v>
      </c>
      <c r="T2063" s="11" t="n">
        <f aca="false">S2063-J2063</f>
        <v>100.799204545455</v>
      </c>
      <c r="U2063" s="12" t="n">
        <f aca="false">IFERROR(S2063/J2063-1,0)</f>
        <v>0.519663888980021</v>
      </c>
      <c r="V2063" s="2" t="str">
        <f aca="false">IF(S2063&lt;J2063,"SIM","NÃO")</f>
        <v>NÃO</v>
      </c>
      <c r="W2063" s="2" t="n">
        <v>11</v>
      </c>
      <c r="X2063" s="2" t="s">
        <v>156</v>
      </c>
    </row>
    <row r="2064" customFormat="false" ht="15" hidden="false" customHeight="false" outlineLevel="0" collapsed="false">
      <c r="A2064" s="2" t="n">
        <v>398754037</v>
      </c>
      <c r="B2064" s="29" t="n">
        <v>46288.9496875</v>
      </c>
      <c r="C2064" s="2" t="s">
        <v>153</v>
      </c>
      <c r="D2064" s="2" t="s">
        <v>234</v>
      </c>
      <c r="E2064" s="2" t="s">
        <v>78</v>
      </c>
      <c r="F2064" s="2" t="s">
        <v>106</v>
      </c>
      <c r="G2064" s="30" t="n">
        <v>20.9</v>
      </c>
      <c r="H2064" s="11" t="n">
        <v>469.99</v>
      </c>
      <c r="I2064" s="11" t="s">
        <v>155</v>
      </c>
      <c r="J2064" s="11" t="n">
        <v>82.58</v>
      </c>
      <c r="K2064" s="11" t="n">
        <v>82.21</v>
      </c>
      <c r="L2064" s="11" t="n">
        <v>0.47</v>
      </c>
      <c r="M2064" s="11" t="n">
        <v>0.94</v>
      </c>
      <c r="N2064" s="11" t="n">
        <v>1</v>
      </c>
      <c r="O2064" s="11" t="n">
        <v>4.5</v>
      </c>
      <c r="P2064" s="11" t="n">
        <v>1.26</v>
      </c>
      <c r="Q2064" s="11" t="n">
        <v>9.45</v>
      </c>
      <c r="R2064" s="11" t="n">
        <f aca="false">SUM(K2064:Q2064)</f>
        <v>99.83</v>
      </c>
      <c r="S2064" s="11" t="n">
        <f aca="false">R2064/(1-Resumo!$C$6)</f>
        <v>113.443181818182</v>
      </c>
      <c r="T2064" s="11" t="n">
        <f aca="false">S2064-J2064</f>
        <v>30.8631818181818</v>
      </c>
      <c r="U2064" s="12" t="n">
        <f aca="false">IFERROR(S2064/J2064-1,0)</f>
        <v>0.373736762148</v>
      </c>
      <c r="V2064" s="2" t="str">
        <f aca="false">IF(S2064&lt;J2064,"SIM","NÃO")</f>
        <v>NÃO</v>
      </c>
      <c r="W2064" s="2" t="n">
        <v>5</v>
      </c>
      <c r="X2064" s="2" t="s">
        <v>156</v>
      </c>
    </row>
    <row r="2065" customFormat="false" ht="15" hidden="false" customHeight="false" outlineLevel="0" collapsed="false">
      <c r="A2065" s="2" t="n">
        <v>398763185</v>
      </c>
      <c r="B2065" s="29" t="n">
        <v>46288.9741203704</v>
      </c>
      <c r="C2065" s="2" t="s">
        <v>153</v>
      </c>
      <c r="D2065" s="2" t="s">
        <v>2055</v>
      </c>
      <c r="E2065" s="2" t="s">
        <v>78</v>
      </c>
      <c r="F2065" s="2" t="s">
        <v>109</v>
      </c>
      <c r="G2065" s="30" t="n">
        <v>52.3</v>
      </c>
      <c r="H2065" s="11" t="n">
        <v>592.37</v>
      </c>
      <c r="I2065" s="11" t="s">
        <v>155</v>
      </c>
      <c r="J2065" s="11" t="n">
        <v>113.98</v>
      </c>
      <c r="K2065" s="11" t="n">
        <v>112.3</v>
      </c>
      <c r="L2065" s="11" t="n">
        <v>0.5924</v>
      </c>
      <c r="M2065" s="11" t="n">
        <v>1.1847</v>
      </c>
      <c r="N2065" s="11" t="n">
        <v>1</v>
      </c>
      <c r="O2065" s="11" t="n">
        <v>4.5</v>
      </c>
      <c r="P2065" s="11" t="n">
        <v>3.18</v>
      </c>
      <c r="Q2065" s="11" t="n">
        <v>23.85</v>
      </c>
      <c r="R2065" s="11" t="n">
        <f aca="false">SUM(K2065:Q2065)</f>
        <v>146.6071</v>
      </c>
      <c r="S2065" s="11" t="n">
        <f aca="false">R2065/(1-Resumo!$C$6)</f>
        <v>166.598977272727</v>
      </c>
      <c r="T2065" s="11" t="n">
        <f aca="false">S2065-J2065</f>
        <v>52.6189772727273</v>
      </c>
      <c r="U2065" s="12" t="n">
        <f aca="false">IFERROR(S2065/J2065-1,0)</f>
        <v>0.461650967474357</v>
      </c>
      <c r="V2065" s="2" t="str">
        <f aca="false">IF(S2065&lt;J2065,"SIM","NÃO")</f>
        <v>NÃO</v>
      </c>
      <c r="W2065" s="2" t="n">
        <v>5</v>
      </c>
      <c r="X2065" s="2" t="s">
        <v>156</v>
      </c>
    </row>
    <row r="2066" customFormat="false" ht="15" hidden="false" customHeight="false" outlineLevel="0" collapsed="false">
      <c r="A2066" s="2" t="n">
        <v>398771461</v>
      </c>
      <c r="B2066" s="29" t="n">
        <v>46288.9985532407</v>
      </c>
      <c r="C2066" s="2" t="s">
        <v>153</v>
      </c>
      <c r="D2066" s="2" t="s">
        <v>2056</v>
      </c>
      <c r="E2066" s="2" t="s">
        <v>78</v>
      </c>
      <c r="F2066" s="2" t="s">
        <v>106</v>
      </c>
      <c r="G2066" s="30" t="n">
        <v>34</v>
      </c>
      <c r="H2066" s="11" t="n">
        <v>539.98</v>
      </c>
      <c r="I2066" s="11" t="s">
        <v>155</v>
      </c>
      <c r="J2066" s="11" t="n">
        <v>82.91</v>
      </c>
      <c r="K2066" s="11" t="n">
        <v>82.21</v>
      </c>
      <c r="L2066" s="11" t="n">
        <v>0.54</v>
      </c>
      <c r="M2066" s="11" t="n">
        <v>1.08</v>
      </c>
      <c r="N2066" s="11" t="n">
        <v>1</v>
      </c>
      <c r="O2066" s="11" t="n">
        <v>4.5</v>
      </c>
      <c r="P2066" s="11" t="n">
        <v>2.04</v>
      </c>
      <c r="Q2066" s="11" t="n">
        <v>15.3</v>
      </c>
      <c r="R2066" s="11" t="n">
        <f aca="false">SUM(K2066:Q2066)</f>
        <v>106.67</v>
      </c>
      <c r="S2066" s="11" t="n">
        <f aca="false">R2066/(1-Resumo!$C$6)</f>
        <v>121.215909090909</v>
      </c>
      <c r="T2066" s="11" t="n">
        <f aca="false">S2066-J2066</f>
        <v>38.3059090909091</v>
      </c>
      <c r="U2066" s="12" t="n">
        <f aca="false">IFERROR(S2066/J2066-1,0)</f>
        <v>0.462017960329382</v>
      </c>
      <c r="V2066" s="2" t="str">
        <f aca="false">IF(S2066&lt;J2066,"SIM","NÃO")</f>
        <v>NÃO</v>
      </c>
      <c r="W2066" s="2" t="n">
        <v>5</v>
      </c>
      <c r="X2066" s="2" t="s">
        <v>156</v>
      </c>
    </row>
    <row r="2067" customFormat="false" ht="15" hidden="false" customHeight="false" outlineLevel="0" collapsed="false">
      <c r="A2067" s="2" t="n">
        <v>398776795</v>
      </c>
      <c r="B2067" s="29" t="n">
        <v>46289.0162268519</v>
      </c>
      <c r="C2067" s="2" t="s">
        <v>158</v>
      </c>
      <c r="D2067" s="2" t="s">
        <v>2057</v>
      </c>
      <c r="E2067" s="2" t="s">
        <v>78</v>
      </c>
      <c r="F2067" s="2" t="s">
        <v>107</v>
      </c>
      <c r="G2067" s="30" t="n">
        <v>36.8</v>
      </c>
      <c r="H2067" s="11" t="n">
        <v>435.08</v>
      </c>
      <c r="I2067" s="11" t="s">
        <v>155</v>
      </c>
      <c r="J2067" s="11" t="n">
        <v>91.94</v>
      </c>
      <c r="K2067" s="11" t="n">
        <v>93.97</v>
      </c>
      <c r="L2067" s="11" t="n">
        <v>0.4351</v>
      </c>
      <c r="M2067" s="11" t="n">
        <v>0.8702</v>
      </c>
      <c r="N2067" s="11" t="n">
        <v>1</v>
      </c>
      <c r="O2067" s="11" t="n">
        <v>4.5</v>
      </c>
      <c r="P2067" s="11" t="n">
        <v>2.22</v>
      </c>
      <c r="Q2067" s="11" t="n">
        <v>16.65</v>
      </c>
      <c r="R2067" s="11" t="n">
        <f aca="false">SUM(K2067:Q2067)</f>
        <v>119.6453</v>
      </c>
      <c r="S2067" s="11" t="n">
        <f aca="false">R2067/(1-Resumo!$C$6)</f>
        <v>135.960568181818</v>
      </c>
      <c r="T2067" s="11" t="n">
        <f aca="false">S2067-J2067</f>
        <v>44.0205681818182</v>
      </c>
      <c r="U2067" s="12" t="n">
        <f aca="false">IFERROR(S2067/J2067-1,0)</f>
        <v>0.478796695473332</v>
      </c>
      <c r="V2067" s="2" t="str">
        <f aca="false">IF(S2067&lt;J2067,"SIM","NÃO")</f>
        <v>NÃO</v>
      </c>
      <c r="W2067" s="2" t="n">
        <v>5</v>
      </c>
      <c r="X2067" s="2" t="s">
        <v>156</v>
      </c>
    </row>
    <row r="2068" customFormat="false" ht="15" hidden="false" customHeight="false" outlineLevel="0" collapsed="false">
      <c r="A2068" s="2" t="n">
        <v>398798838</v>
      </c>
      <c r="B2068" s="29" t="n">
        <v>46289.1094675926</v>
      </c>
      <c r="C2068" s="2" t="s">
        <v>158</v>
      </c>
      <c r="D2068" s="2" t="s">
        <v>2058</v>
      </c>
      <c r="E2068" s="2" t="s">
        <v>80</v>
      </c>
      <c r="F2068" s="2" t="s">
        <v>107</v>
      </c>
      <c r="G2068" s="30" t="n">
        <v>40</v>
      </c>
      <c r="H2068" s="11" t="n">
        <v>629.99</v>
      </c>
      <c r="I2068" s="11" t="s">
        <v>155</v>
      </c>
      <c r="J2068" s="11" t="n">
        <v>113.98</v>
      </c>
      <c r="K2068" s="11" t="n">
        <v>93.97</v>
      </c>
      <c r="L2068" s="11" t="n">
        <v>0.63</v>
      </c>
      <c r="M2068" s="11" t="n">
        <v>1.26</v>
      </c>
      <c r="N2068" s="11" t="n">
        <v>1</v>
      </c>
      <c r="O2068" s="11" t="n">
        <v>4.5</v>
      </c>
      <c r="P2068" s="11" t="n">
        <v>2.4</v>
      </c>
      <c r="Q2068" s="11" t="n">
        <v>18</v>
      </c>
      <c r="R2068" s="11" t="n">
        <f aca="false">SUM(K2068:Q2068)</f>
        <v>121.76</v>
      </c>
      <c r="S2068" s="11" t="n">
        <f aca="false">R2068/(1-Resumo!$C$6)</f>
        <v>138.363636363636</v>
      </c>
      <c r="T2068" s="11" t="n">
        <f aca="false">S2068-J2068</f>
        <v>24.3836363636364</v>
      </c>
      <c r="U2068" s="12" t="n">
        <f aca="false">IFERROR(S2068/J2068-1,0)</f>
        <v>0.213929078466717</v>
      </c>
      <c r="V2068" s="2" t="str">
        <f aca="false">IF(S2068&lt;J2068,"SIM","NÃO")</f>
        <v>NÃO</v>
      </c>
      <c r="W2068" s="2" t="n">
        <v>5</v>
      </c>
      <c r="X2068" s="2" t="s">
        <v>156</v>
      </c>
    </row>
    <row r="2069" customFormat="false" ht="15" hidden="false" customHeight="false" outlineLevel="0" collapsed="false">
      <c r="A2069" s="2" t="n">
        <v>398818471</v>
      </c>
      <c r="B2069" s="29" t="n">
        <v>46289.2061458333</v>
      </c>
      <c r="C2069" s="2" t="s">
        <v>153</v>
      </c>
      <c r="D2069" s="2" t="s">
        <v>2059</v>
      </c>
      <c r="E2069" s="2" t="s">
        <v>169</v>
      </c>
      <c r="F2069" s="2" t="s">
        <v>108</v>
      </c>
      <c r="G2069" s="30" t="n">
        <v>48</v>
      </c>
      <c r="H2069" s="11" t="n">
        <v>828.99</v>
      </c>
      <c r="I2069" s="11" t="s">
        <v>155</v>
      </c>
      <c r="J2069" s="11" t="n">
        <v>132.14</v>
      </c>
      <c r="K2069" s="11" t="n">
        <v>117.23</v>
      </c>
      <c r="L2069" s="11" t="n">
        <v>0.829</v>
      </c>
      <c r="M2069" s="11" t="n">
        <v>1.658</v>
      </c>
      <c r="N2069" s="11" t="n">
        <v>1</v>
      </c>
      <c r="O2069" s="11" t="n">
        <v>4.5</v>
      </c>
      <c r="P2069" s="11" t="n">
        <v>2.88</v>
      </c>
      <c r="Q2069" s="11" t="n">
        <v>21.6</v>
      </c>
      <c r="R2069" s="11" t="n">
        <f aca="false">SUM(K2069:Q2069)</f>
        <v>149.697</v>
      </c>
      <c r="S2069" s="11" t="n">
        <f aca="false">R2069/(1-Resumo!$C$6)</f>
        <v>170.110227272727</v>
      </c>
      <c r="T2069" s="11" t="n">
        <f aca="false">S2069-J2069</f>
        <v>37.9702272727273</v>
      </c>
      <c r="U2069" s="12" t="n">
        <f aca="false">IFERROR(S2069/J2069-1,0)</f>
        <v>0.287348473382226</v>
      </c>
      <c r="V2069" s="2" t="str">
        <f aca="false">IF(S2069&lt;J2069,"SIM","NÃO")</f>
        <v>NÃO</v>
      </c>
      <c r="W2069" s="2" t="n">
        <v>6</v>
      </c>
      <c r="X2069" s="2" t="s">
        <v>161</v>
      </c>
    </row>
    <row r="2070" customFormat="false" ht="15" hidden="false" customHeight="false" outlineLevel="0" collapsed="false">
      <c r="A2070" s="2" t="n">
        <v>398821118</v>
      </c>
      <c r="B2070" s="29" t="n">
        <v>46289.2205439815</v>
      </c>
      <c r="C2070" s="2" t="s">
        <v>153</v>
      </c>
      <c r="D2070" s="2" t="s">
        <v>2060</v>
      </c>
      <c r="E2070" s="2" t="s">
        <v>78</v>
      </c>
      <c r="F2070" s="2" t="s">
        <v>107</v>
      </c>
      <c r="G2070" s="30" t="n">
        <v>36.8</v>
      </c>
      <c r="H2070" s="11" t="n">
        <v>371.8</v>
      </c>
      <c r="I2070" s="11" t="s">
        <v>155</v>
      </c>
      <c r="J2070" s="11" t="n">
        <v>91.63</v>
      </c>
      <c r="K2070" s="11" t="n">
        <v>93.97</v>
      </c>
      <c r="L2070" s="11" t="n">
        <v>0.3718</v>
      </c>
      <c r="M2070" s="11" t="n">
        <v>0.7436</v>
      </c>
      <c r="N2070" s="11" t="n">
        <v>1</v>
      </c>
      <c r="O2070" s="11" t="n">
        <v>4.5</v>
      </c>
      <c r="P2070" s="11" t="n">
        <v>2.22</v>
      </c>
      <c r="Q2070" s="11" t="n">
        <v>16.65</v>
      </c>
      <c r="R2070" s="11" t="n">
        <f aca="false">SUM(K2070:Q2070)</f>
        <v>119.4554</v>
      </c>
      <c r="S2070" s="11" t="n">
        <f aca="false">R2070/(1-Resumo!$C$6)</f>
        <v>135.744772727273</v>
      </c>
      <c r="T2070" s="11" t="n">
        <f aca="false">S2070-J2070</f>
        <v>44.1147727272727</v>
      </c>
      <c r="U2070" s="12" t="n">
        <f aca="false">IFERROR(S2070/J2070-1,0)</f>
        <v>0.481444643973292</v>
      </c>
      <c r="V2070" s="2" t="str">
        <f aca="false">IF(S2070&lt;J2070,"SIM","NÃO")</f>
        <v>NÃO</v>
      </c>
      <c r="W2070" s="2" t="n">
        <v>5</v>
      </c>
      <c r="X2070" s="2" t="s">
        <v>156</v>
      </c>
    </row>
    <row r="2071" customFormat="false" ht="15" hidden="false" customHeight="false" outlineLevel="0" collapsed="false">
      <c r="A2071" s="2" t="n">
        <v>398844891</v>
      </c>
      <c r="B2071" s="29" t="n">
        <v>46289.3199768519</v>
      </c>
      <c r="C2071" s="2" t="s">
        <v>153</v>
      </c>
      <c r="D2071" s="2" t="s">
        <v>2061</v>
      </c>
      <c r="E2071" s="2" t="s">
        <v>78</v>
      </c>
      <c r="F2071" s="2" t="s">
        <v>106</v>
      </c>
      <c r="G2071" s="30" t="n">
        <v>24.4</v>
      </c>
      <c r="H2071" s="11" t="n">
        <v>329.69</v>
      </c>
      <c r="I2071" s="11" t="s">
        <v>155</v>
      </c>
      <c r="J2071" s="11" t="n">
        <v>81.91</v>
      </c>
      <c r="K2071" s="11" t="n">
        <v>82.21</v>
      </c>
      <c r="L2071" s="11" t="n">
        <v>0.3297</v>
      </c>
      <c r="M2071" s="11" t="n">
        <v>0.6594</v>
      </c>
      <c r="N2071" s="11" t="n">
        <v>1</v>
      </c>
      <c r="O2071" s="11" t="n">
        <v>4.5</v>
      </c>
      <c r="P2071" s="11" t="n">
        <v>1.5</v>
      </c>
      <c r="Q2071" s="11" t="n">
        <v>11.25</v>
      </c>
      <c r="R2071" s="11" t="n">
        <f aca="false">SUM(K2071:Q2071)</f>
        <v>101.4491</v>
      </c>
      <c r="S2071" s="11" t="n">
        <f aca="false">R2071/(1-Resumo!$C$6)</f>
        <v>115.283068181818</v>
      </c>
      <c r="T2071" s="11" t="n">
        <f aca="false">S2071-J2071</f>
        <v>33.3730681818182</v>
      </c>
      <c r="U2071" s="12" t="n">
        <f aca="false">IFERROR(S2071/J2071-1,0)</f>
        <v>0.407435822021953</v>
      </c>
      <c r="V2071" s="2" t="str">
        <f aca="false">IF(S2071&lt;J2071,"SIM","NÃO")</f>
        <v>NÃO</v>
      </c>
      <c r="W2071" s="2" t="n">
        <v>5</v>
      </c>
      <c r="X2071" s="2" t="s">
        <v>156</v>
      </c>
    </row>
    <row r="2072" customFormat="false" ht="15" hidden="false" customHeight="false" outlineLevel="0" collapsed="false">
      <c r="A2072" s="2" t="n">
        <v>398855281</v>
      </c>
      <c r="B2072" s="29" t="n">
        <v>46289.3527546296</v>
      </c>
      <c r="C2072" s="2" t="s">
        <v>153</v>
      </c>
      <c r="D2072" s="2" t="s">
        <v>754</v>
      </c>
      <c r="E2072" s="2" t="s">
        <v>755</v>
      </c>
      <c r="F2072" s="2" t="s">
        <v>107</v>
      </c>
      <c r="G2072" s="30" t="n">
        <v>36.9</v>
      </c>
      <c r="H2072" s="11" t="n">
        <v>399.99</v>
      </c>
      <c r="I2072" s="11" t="s">
        <v>155</v>
      </c>
      <c r="J2072" s="11" t="n">
        <v>122.16</v>
      </c>
      <c r="K2072" s="11" t="n">
        <v>124.38</v>
      </c>
      <c r="L2072" s="11" t="n">
        <v>0.4</v>
      </c>
      <c r="M2072" s="11" t="n">
        <v>0.8</v>
      </c>
      <c r="N2072" s="11" t="n">
        <v>1</v>
      </c>
      <c r="O2072" s="11" t="n">
        <v>4.5</v>
      </c>
      <c r="P2072" s="11" t="n">
        <v>2.22</v>
      </c>
      <c r="Q2072" s="11" t="n">
        <v>16.65</v>
      </c>
      <c r="R2072" s="11" t="n">
        <f aca="false">SUM(K2072:Q2072)</f>
        <v>149.95</v>
      </c>
      <c r="S2072" s="11" t="n">
        <f aca="false">R2072/(1-Resumo!$C$6)</f>
        <v>170.397727272727</v>
      </c>
      <c r="T2072" s="11" t="n">
        <f aca="false">S2072-J2072</f>
        <v>48.2377272727273</v>
      </c>
      <c r="U2072" s="12" t="n">
        <f aca="false">IFERROR(S2072/J2072-1,0)</f>
        <v>0.394873340477466</v>
      </c>
      <c r="V2072" s="2" t="str">
        <f aca="false">IF(S2072&lt;J2072,"SIM","NÃO")</f>
        <v>NÃO</v>
      </c>
      <c r="W2072" s="2" t="n">
        <v>10</v>
      </c>
      <c r="X2072" s="2" t="s">
        <v>161</v>
      </c>
    </row>
    <row r="2073" customFormat="false" ht="15" hidden="false" customHeight="false" outlineLevel="0" collapsed="false">
      <c r="A2073" s="2" t="n">
        <v>398857073</v>
      </c>
      <c r="B2073" s="29" t="n">
        <v>46289.3577893519</v>
      </c>
      <c r="C2073" s="2" t="s">
        <v>153</v>
      </c>
      <c r="D2073" s="2" t="s">
        <v>2062</v>
      </c>
      <c r="E2073" s="2" t="s">
        <v>813</v>
      </c>
      <c r="F2073" s="2" t="s">
        <v>108</v>
      </c>
      <c r="G2073" s="30" t="n">
        <v>41</v>
      </c>
      <c r="H2073" s="11" t="n">
        <v>487.99</v>
      </c>
      <c r="I2073" s="11" t="s">
        <v>155</v>
      </c>
      <c r="J2073" s="11" t="n">
        <v>130.51</v>
      </c>
      <c r="K2073" s="11" t="n">
        <v>129.29</v>
      </c>
      <c r="L2073" s="11" t="n">
        <v>0.488</v>
      </c>
      <c r="M2073" s="11" t="n">
        <v>0.976</v>
      </c>
      <c r="N2073" s="11" t="n">
        <v>1</v>
      </c>
      <c r="O2073" s="11" t="n">
        <v>4.5</v>
      </c>
      <c r="P2073" s="11" t="n">
        <v>2.46</v>
      </c>
      <c r="Q2073" s="11" t="n">
        <v>18.45</v>
      </c>
      <c r="R2073" s="11" t="n">
        <f aca="false">SUM(K2073:Q2073)</f>
        <v>157.164</v>
      </c>
      <c r="S2073" s="11" t="n">
        <f aca="false">R2073/(1-Resumo!$C$6)</f>
        <v>178.595454545455</v>
      </c>
      <c r="T2073" s="11" t="n">
        <f aca="false">S2073-J2073</f>
        <v>48.0854545454546</v>
      </c>
      <c r="U2073" s="12" t="n">
        <f aca="false">IFERROR(S2073/J2073-1,0)</f>
        <v>0.368442682901345</v>
      </c>
      <c r="V2073" s="2" t="str">
        <f aca="false">IF(S2073&lt;J2073,"SIM","NÃO")</f>
        <v>NÃO</v>
      </c>
      <c r="W2073" s="2" t="n">
        <v>10</v>
      </c>
      <c r="X2073" s="2" t="s">
        <v>161</v>
      </c>
    </row>
    <row r="2074" customFormat="false" ht="15" hidden="false" customHeight="false" outlineLevel="0" collapsed="false">
      <c r="A2074" s="2" t="n">
        <v>398863457</v>
      </c>
      <c r="B2074" s="29" t="n">
        <v>46289.3761458333</v>
      </c>
      <c r="C2074" s="2" t="s">
        <v>153</v>
      </c>
      <c r="D2074" s="2" t="s">
        <v>2063</v>
      </c>
      <c r="E2074" s="2" t="s">
        <v>86</v>
      </c>
      <c r="F2074" s="2" t="s">
        <v>109</v>
      </c>
      <c r="G2074" s="30" t="n">
        <v>52.3</v>
      </c>
      <c r="H2074" s="11" t="n">
        <v>592.37</v>
      </c>
      <c r="I2074" s="11" t="s">
        <v>155</v>
      </c>
      <c r="J2074" s="11" t="n">
        <v>128.11</v>
      </c>
      <c r="K2074" s="11" t="n">
        <v>112.3</v>
      </c>
      <c r="L2074" s="11" t="n">
        <v>0.5924</v>
      </c>
      <c r="M2074" s="11" t="n">
        <v>1.1847</v>
      </c>
      <c r="N2074" s="11" t="n">
        <v>1</v>
      </c>
      <c r="O2074" s="11" t="n">
        <v>4.5</v>
      </c>
      <c r="P2074" s="11" t="n">
        <v>3.18</v>
      </c>
      <c r="Q2074" s="11" t="n">
        <v>23.85</v>
      </c>
      <c r="R2074" s="11" t="n">
        <f aca="false">SUM(K2074:Q2074)</f>
        <v>146.6071</v>
      </c>
      <c r="S2074" s="11" t="n">
        <f aca="false">R2074/(1-Resumo!$C$6)</f>
        <v>166.598977272727</v>
      </c>
      <c r="T2074" s="11" t="n">
        <f aca="false">S2074-J2074</f>
        <v>38.4889772727273</v>
      </c>
      <c r="U2074" s="12" t="n">
        <f aca="false">IFERROR(S2074/J2074-1,0)</f>
        <v>0.300436946941904</v>
      </c>
      <c r="V2074" s="2" t="str">
        <f aca="false">IF(S2074&lt;J2074,"SIM","NÃO")</f>
        <v>NÃO</v>
      </c>
      <c r="W2074" s="2" t="n">
        <v>5</v>
      </c>
      <c r="X2074" s="2" t="s">
        <v>156</v>
      </c>
    </row>
    <row r="2075" customFormat="false" ht="15" hidden="false" customHeight="false" outlineLevel="0" collapsed="false">
      <c r="A2075" s="2" t="n">
        <v>398867853</v>
      </c>
      <c r="B2075" s="29" t="n">
        <v>46289.3873726852</v>
      </c>
      <c r="C2075" s="2" t="s">
        <v>153</v>
      </c>
      <c r="D2075" s="2" t="s">
        <v>2064</v>
      </c>
      <c r="E2075" s="2" t="s">
        <v>172</v>
      </c>
      <c r="F2075" s="2" t="s">
        <v>110</v>
      </c>
      <c r="G2075" s="30" t="n">
        <v>66.8</v>
      </c>
      <c r="H2075" s="11" t="n">
        <v>644.99</v>
      </c>
      <c r="I2075" s="11" t="s">
        <v>155</v>
      </c>
      <c r="J2075" s="11" t="n">
        <v>155.11</v>
      </c>
      <c r="K2075" s="11" t="n">
        <v>166.05</v>
      </c>
      <c r="L2075" s="11" t="n">
        <v>0.645</v>
      </c>
      <c r="M2075" s="11" t="n">
        <v>1.29</v>
      </c>
      <c r="N2075" s="11" t="n">
        <v>1</v>
      </c>
      <c r="O2075" s="11" t="n">
        <v>4.5</v>
      </c>
      <c r="P2075" s="11" t="n">
        <v>4.02</v>
      </c>
      <c r="Q2075" s="11" t="n">
        <v>30.15</v>
      </c>
      <c r="R2075" s="11" t="n">
        <f aca="false">SUM(K2075:Q2075)</f>
        <v>207.655</v>
      </c>
      <c r="S2075" s="11" t="n">
        <f aca="false">R2075/(1-Resumo!$C$6)</f>
        <v>235.971590909091</v>
      </c>
      <c r="T2075" s="11" t="n">
        <f aca="false">S2075-J2075</f>
        <v>80.8615909090909</v>
      </c>
      <c r="U2075" s="12" t="n">
        <f aca="false">IFERROR(S2075/J2075-1,0)</f>
        <v>0.521317715873193</v>
      </c>
      <c r="V2075" s="2" t="str">
        <f aca="false">IF(S2075&lt;J2075,"SIM","NÃO")</f>
        <v>NÃO</v>
      </c>
      <c r="W2075" s="2" t="n">
        <v>8</v>
      </c>
      <c r="X2075" s="2" t="s">
        <v>161</v>
      </c>
    </row>
    <row r="2076" customFormat="false" ht="15" hidden="false" customHeight="false" outlineLevel="0" collapsed="false">
      <c r="A2076" s="2" t="n">
        <v>398885024</v>
      </c>
      <c r="B2076" s="29" t="n">
        <v>46289.4271296296</v>
      </c>
      <c r="C2076" s="2" t="s">
        <v>153</v>
      </c>
      <c r="D2076" s="2" t="s">
        <v>2065</v>
      </c>
      <c r="E2076" s="2" t="s">
        <v>78</v>
      </c>
      <c r="F2076" s="2" t="s">
        <v>107</v>
      </c>
      <c r="G2076" s="30" t="n">
        <v>37.2</v>
      </c>
      <c r="H2076" s="11" t="n">
        <v>366.5</v>
      </c>
      <c r="I2076" s="11" t="s">
        <v>155</v>
      </c>
      <c r="J2076" s="11" t="n">
        <v>91.6</v>
      </c>
      <c r="K2076" s="11" t="n">
        <v>93.97</v>
      </c>
      <c r="L2076" s="11" t="n">
        <v>0.3665</v>
      </c>
      <c r="M2076" s="11" t="n">
        <v>0.733</v>
      </c>
      <c r="N2076" s="11" t="n">
        <v>1</v>
      </c>
      <c r="O2076" s="11" t="n">
        <v>4.5</v>
      </c>
      <c r="P2076" s="11" t="n">
        <v>2.28</v>
      </c>
      <c r="Q2076" s="11" t="n">
        <v>17.1</v>
      </c>
      <c r="R2076" s="11" t="n">
        <f aca="false">SUM(K2076:Q2076)</f>
        <v>119.9495</v>
      </c>
      <c r="S2076" s="11" t="n">
        <f aca="false">R2076/(1-Resumo!$C$6)</f>
        <v>136.30625</v>
      </c>
      <c r="T2076" s="11" t="n">
        <f aca="false">S2076-J2076</f>
        <v>44.70625</v>
      </c>
      <c r="U2076" s="12" t="n">
        <f aca="false">IFERROR(S2076/J2076-1,0)</f>
        <v>0.488059497816594</v>
      </c>
      <c r="V2076" s="2" t="str">
        <f aca="false">IF(S2076&lt;J2076,"SIM","NÃO")</f>
        <v>NÃO</v>
      </c>
      <c r="W2076" s="2" t="n">
        <v>5</v>
      </c>
      <c r="X2076" s="2" t="s">
        <v>156</v>
      </c>
    </row>
    <row r="2077" customFormat="false" ht="15" hidden="false" customHeight="false" outlineLevel="0" collapsed="false">
      <c r="A2077" s="2" t="n">
        <v>398906762</v>
      </c>
      <c r="B2077" s="29" t="n">
        <v>46289.4741898148</v>
      </c>
      <c r="C2077" s="2" t="s">
        <v>158</v>
      </c>
      <c r="D2077" s="2" t="s">
        <v>2066</v>
      </c>
      <c r="E2077" s="2" t="s">
        <v>79</v>
      </c>
      <c r="F2077" s="2" t="s">
        <v>106</v>
      </c>
      <c r="G2077" s="30" t="n">
        <v>33</v>
      </c>
      <c r="H2077" s="11" t="n">
        <v>569.99</v>
      </c>
      <c r="I2077" s="11" t="s">
        <v>155</v>
      </c>
      <c r="J2077" s="11" t="n">
        <v>102.11</v>
      </c>
      <c r="K2077" s="11" t="n">
        <v>100.58</v>
      </c>
      <c r="L2077" s="11" t="n">
        <v>0.57</v>
      </c>
      <c r="M2077" s="11" t="n">
        <v>1.14</v>
      </c>
      <c r="N2077" s="11" t="n">
        <v>1</v>
      </c>
      <c r="O2077" s="11" t="n">
        <v>4.5</v>
      </c>
      <c r="P2077" s="11" t="n">
        <v>1.98</v>
      </c>
      <c r="Q2077" s="11" t="n">
        <v>14.85</v>
      </c>
      <c r="R2077" s="11" t="n">
        <f aca="false">SUM(K2077:Q2077)</f>
        <v>124.62</v>
      </c>
      <c r="S2077" s="11" t="n">
        <f aca="false">R2077/(1-Resumo!$C$6)</f>
        <v>141.613636363636</v>
      </c>
      <c r="T2077" s="11" t="n">
        <f aca="false">S2077-J2077</f>
        <v>39.5036363636363</v>
      </c>
      <c r="U2077" s="12" t="n">
        <f aca="false">IFERROR(S2077/J2077-1,0)</f>
        <v>0.386873336241664</v>
      </c>
      <c r="V2077" s="2" t="str">
        <f aca="false">IF(S2077&lt;J2077,"SIM","NÃO")</f>
        <v>NÃO</v>
      </c>
      <c r="W2077" s="2" t="n">
        <v>7</v>
      </c>
      <c r="X2077" s="2" t="s">
        <v>156</v>
      </c>
    </row>
    <row r="2078" customFormat="false" ht="15" hidden="false" customHeight="false" outlineLevel="0" collapsed="false">
      <c r="A2078" s="2" t="n">
        <v>398907017</v>
      </c>
      <c r="B2078" s="29" t="n">
        <v>46289.475162037</v>
      </c>
      <c r="C2078" s="2" t="s">
        <v>153</v>
      </c>
      <c r="D2078" s="2" t="s">
        <v>2067</v>
      </c>
      <c r="E2078" s="2" t="s">
        <v>92</v>
      </c>
      <c r="F2078" s="2" t="s">
        <v>107</v>
      </c>
      <c r="G2078" s="30" t="n">
        <v>37.2</v>
      </c>
      <c r="H2078" s="11" t="n">
        <v>366.5</v>
      </c>
      <c r="I2078" s="11" t="s">
        <v>155</v>
      </c>
      <c r="J2078" s="11" t="n">
        <v>122</v>
      </c>
      <c r="K2078" s="11" t="n">
        <v>124.38</v>
      </c>
      <c r="L2078" s="11" t="n">
        <v>0.3665</v>
      </c>
      <c r="M2078" s="11" t="n">
        <v>0.733</v>
      </c>
      <c r="N2078" s="11" t="n">
        <v>1</v>
      </c>
      <c r="O2078" s="11" t="n">
        <v>4.5</v>
      </c>
      <c r="P2078" s="11" t="n">
        <v>2.28</v>
      </c>
      <c r="Q2078" s="11" t="n">
        <v>17.1</v>
      </c>
      <c r="R2078" s="11" t="n">
        <f aca="false">SUM(K2078:Q2078)</f>
        <v>150.3595</v>
      </c>
      <c r="S2078" s="11" t="n">
        <f aca="false">R2078/(1-Resumo!$C$6)</f>
        <v>170.863068181818</v>
      </c>
      <c r="T2078" s="11" t="n">
        <f aca="false">S2078-J2078</f>
        <v>48.8630681818182</v>
      </c>
      <c r="U2078" s="12" t="n">
        <f aca="false">IFERROR(S2078/J2078-1,0)</f>
        <v>0.400516952309985</v>
      </c>
      <c r="V2078" s="2" t="str">
        <f aca="false">IF(S2078&lt;J2078,"SIM","NÃO")</f>
        <v>NÃO</v>
      </c>
      <c r="W2078" s="2" t="n">
        <v>10</v>
      </c>
      <c r="X2078" s="2" t="s">
        <v>156</v>
      </c>
    </row>
    <row r="2079" customFormat="false" ht="15" hidden="false" customHeight="false" outlineLevel="0" collapsed="false">
      <c r="A2079" s="2" t="n">
        <v>398913104</v>
      </c>
      <c r="B2079" s="29" t="n">
        <v>46289.4859953704</v>
      </c>
      <c r="C2079" s="2" t="s">
        <v>153</v>
      </c>
      <c r="D2079" s="2" t="s">
        <v>2068</v>
      </c>
      <c r="E2079" s="2" t="s">
        <v>2069</v>
      </c>
      <c r="F2079" s="2" t="s">
        <v>109</v>
      </c>
      <c r="G2079" s="30" t="n">
        <v>52.3</v>
      </c>
      <c r="H2079" s="11" t="n">
        <v>592.37</v>
      </c>
      <c r="I2079" s="11" t="s">
        <v>155</v>
      </c>
      <c r="J2079" s="11" t="n">
        <v>142.5</v>
      </c>
      <c r="K2079" s="11" t="n">
        <v>142.32</v>
      </c>
      <c r="L2079" s="11" t="n">
        <v>0.5924</v>
      </c>
      <c r="M2079" s="11" t="n">
        <v>1.1847</v>
      </c>
      <c r="N2079" s="11" t="n">
        <v>1</v>
      </c>
      <c r="O2079" s="11" t="n">
        <v>4.5</v>
      </c>
      <c r="P2079" s="11" t="n">
        <v>3.18</v>
      </c>
      <c r="Q2079" s="11" t="n">
        <v>23.85</v>
      </c>
      <c r="R2079" s="11" t="n">
        <f aca="false">SUM(K2079:Q2079)</f>
        <v>176.6271</v>
      </c>
      <c r="S2079" s="11" t="n">
        <f aca="false">R2079/(1-Resumo!$C$6)</f>
        <v>200.712613636364</v>
      </c>
      <c r="T2079" s="11" t="n">
        <f aca="false">S2079-J2079</f>
        <v>58.2126136363636</v>
      </c>
      <c r="U2079" s="12" t="n">
        <f aca="false">IFERROR(S2079/J2079-1,0)</f>
        <v>0.40850956937799</v>
      </c>
      <c r="V2079" s="2" t="str">
        <f aca="false">IF(S2079&lt;J2079,"SIM","NÃO")</f>
        <v>NÃO</v>
      </c>
      <c r="W2079" s="2" t="n">
        <v>10</v>
      </c>
      <c r="X2079" s="2" t="s">
        <v>161</v>
      </c>
    </row>
    <row r="2080" customFormat="false" ht="15" hidden="false" customHeight="false" outlineLevel="0" collapsed="false">
      <c r="A2080" s="2" t="n">
        <v>398922896</v>
      </c>
      <c r="B2080" s="29" t="n">
        <v>46289.5053703704</v>
      </c>
      <c r="C2080" s="2" t="s">
        <v>153</v>
      </c>
      <c r="D2080" s="2" t="s">
        <v>2070</v>
      </c>
      <c r="E2080" s="2" t="s">
        <v>260</v>
      </c>
      <c r="F2080" s="2" t="s">
        <v>109</v>
      </c>
      <c r="G2080" s="30" t="n">
        <v>52.3</v>
      </c>
      <c r="H2080" s="11" t="n">
        <v>607.99</v>
      </c>
      <c r="I2080" s="11" t="s">
        <v>155</v>
      </c>
      <c r="J2080" s="11" t="n">
        <v>142.59</v>
      </c>
      <c r="K2080" s="11" t="n">
        <v>144.53</v>
      </c>
      <c r="L2080" s="11" t="n">
        <v>0.608</v>
      </c>
      <c r="M2080" s="11" t="n">
        <v>1.216</v>
      </c>
      <c r="N2080" s="11" t="n">
        <v>1</v>
      </c>
      <c r="O2080" s="11" t="n">
        <v>4.5</v>
      </c>
      <c r="P2080" s="11" t="n">
        <v>3.18</v>
      </c>
      <c r="Q2080" s="11" t="n">
        <v>23.85</v>
      </c>
      <c r="R2080" s="11" t="n">
        <f aca="false">SUM(K2080:Q2080)</f>
        <v>178.884</v>
      </c>
      <c r="S2080" s="11" t="n">
        <f aca="false">R2080/(1-Resumo!$C$6)</f>
        <v>203.277272727273</v>
      </c>
      <c r="T2080" s="11" t="n">
        <f aca="false">S2080-J2080</f>
        <v>60.6872727272727</v>
      </c>
      <c r="U2080" s="12" t="n">
        <f aca="false">IFERROR(S2080/J2080-1,0)</f>
        <v>0.425606793795306</v>
      </c>
      <c r="V2080" s="2" t="str">
        <f aca="false">IF(S2080&lt;J2080,"SIM","NÃO")</f>
        <v>NÃO</v>
      </c>
      <c r="W2080" s="2" t="n">
        <v>10</v>
      </c>
      <c r="X2080" s="2" t="s">
        <v>161</v>
      </c>
    </row>
    <row r="2081" customFormat="false" ht="15" hidden="false" customHeight="false" outlineLevel="0" collapsed="false">
      <c r="A2081" s="2" t="n">
        <v>398925214</v>
      </c>
      <c r="B2081" s="29" t="n">
        <v>46289.5105555556</v>
      </c>
      <c r="C2081" s="2" t="s">
        <v>153</v>
      </c>
      <c r="D2081" s="2" t="s">
        <v>2071</v>
      </c>
      <c r="E2081" s="2" t="s">
        <v>81</v>
      </c>
      <c r="F2081" s="2" t="s">
        <v>109</v>
      </c>
      <c r="G2081" s="30" t="n">
        <v>51.06</v>
      </c>
      <c r="H2081" s="11" t="n">
        <v>749.99</v>
      </c>
      <c r="I2081" s="11" t="s">
        <v>155</v>
      </c>
      <c r="J2081" s="11" t="n">
        <v>128.88</v>
      </c>
      <c r="K2081" s="11" t="n">
        <v>112.3</v>
      </c>
      <c r="L2081" s="11" t="n">
        <v>0.75</v>
      </c>
      <c r="M2081" s="11" t="n">
        <v>1.5</v>
      </c>
      <c r="N2081" s="11" t="n">
        <v>1</v>
      </c>
      <c r="O2081" s="11" t="n">
        <v>4.5</v>
      </c>
      <c r="P2081" s="11" t="n">
        <v>3.12</v>
      </c>
      <c r="Q2081" s="11" t="n">
        <v>23.4</v>
      </c>
      <c r="R2081" s="11" t="n">
        <f aca="false">SUM(K2081:Q2081)</f>
        <v>146.57</v>
      </c>
      <c r="S2081" s="11" t="n">
        <f aca="false">R2081/(1-Resumo!$C$6)</f>
        <v>166.556818181818</v>
      </c>
      <c r="T2081" s="11" t="n">
        <f aca="false">S2081-J2081</f>
        <v>37.6768181818182</v>
      </c>
      <c r="U2081" s="12" t="n">
        <f aca="false">IFERROR(S2081/J2081-1,0)</f>
        <v>0.292340302466001</v>
      </c>
      <c r="V2081" s="2" t="str">
        <f aca="false">IF(S2081&lt;J2081,"SIM","NÃO")</f>
        <v>NÃO</v>
      </c>
      <c r="W2081" s="2" t="n">
        <v>5</v>
      </c>
      <c r="X2081" s="2" t="s">
        <v>156</v>
      </c>
    </row>
    <row r="2082" customFormat="false" ht="15" hidden="false" customHeight="false" outlineLevel="0" collapsed="false">
      <c r="A2082" s="2" t="n">
        <v>398943915</v>
      </c>
      <c r="B2082" s="29" t="n">
        <v>46289.5506712963</v>
      </c>
      <c r="C2082" s="2" t="s">
        <v>153</v>
      </c>
      <c r="D2082" s="2" t="s">
        <v>2072</v>
      </c>
      <c r="E2082" s="2" t="s">
        <v>91</v>
      </c>
      <c r="F2082" s="2" t="s">
        <v>105</v>
      </c>
      <c r="G2082" s="30" t="n">
        <v>15</v>
      </c>
      <c r="H2082" s="11" t="n">
        <v>219.99</v>
      </c>
      <c r="I2082" s="11" t="s">
        <v>155</v>
      </c>
      <c r="J2082" s="11" t="n">
        <v>79.72</v>
      </c>
      <c r="K2082" s="11" t="n">
        <v>100.7</v>
      </c>
      <c r="L2082" s="11" t="n">
        <v>0.22</v>
      </c>
      <c r="M2082" s="11" t="n">
        <v>0.44</v>
      </c>
      <c r="N2082" s="11" t="n">
        <v>1</v>
      </c>
      <c r="O2082" s="11" t="n">
        <v>4.5</v>
      </c>
      <c r="P2082" s="11" t="n">
        <v>0.9</v>
      </c>
      <c r="Q2082" s="11" t="n">
        <v>6.75</v>
      </c>
      <c r="R2082" s="11" t="n">
        <f aca="false">SUM(K2082:Q2082)</f>
        <v>114.51</v>
      </c>
      <c r="S2082" s="11" t="n">
        <f aca="false">R2082/(1-Resumo!$C$6)</f>
        <v>130.125</v>
      </c>
      <c r="T2082" s="11" t="n">
        <f aca="false">S2082-J2082</f>
        <v>50.405</v>
      </c>
      <c r="U2082" s="12" t="n">
        <f aca="false">IFERROR(S2082/J2082-1,0)</f>
        <v>0.632275464124436</v>
      </c>
      <c r="V2082" s="2" t="str">
        <f aca="false">IF(S2082&lt;J2082,"SIM","NÃO")</f>
        <v>NÃO</v>
      </c>
      <c r="W2082" s="2" t="n">
        <v>10</v>
      </c>
      <c r="X2082" s="2" t="s">
        <v>156</v>
      </c>
    </row>
    <row r="2083" customFormat="false" ht="15" hidden="false" customHeight="false" outlineLevel="0" collapsed="false">
      <c r="A2083" s="2" t="n">
        <v>398953937</v>
      </c>
      <c r="B2083" s="29" t="n">
        <v>46289.5732407407</v>
      </c>
      <c r="C2083" s="2" t="s">
        <v>158</v>
      </c>
      <c r="D2083" s="2" t="s">
        <v>2073</v>
      </c>
      <c r="E2083" s="2" t="s">
        <v>412</v>
      </c>
      <c r="F2083" s="2" t="s">
        <v>107</v>
      </c>
      <c r="G2083" s="30" t="n">
        <v>40</v>
      </c>
      <c r="H2083" s="11" t="n">
        <v>629.99</v>
      </c>
      <c r="I2083" s="11" t="s">
        <v>155</v>
      </c>
      <c r="J2083" s="11" t="n">
        <v>123.27</v>
      </c>
      <c r="K2083" s="11" t="n">
        <v>124.38</v>
      </c>
      <c r="L2083" s="11" t="n">
        <v>0.63</v>
      </c>
      <c r="M2083" s="11" t="n">
        <v>1.26</v>
      </c>
      <c r="N2083" s="11" t="n">
        <v>1</v>
      </c>
      <c r="O2083" s="11" t="n">
        <v>4.5</v>
      </c>
      <c r="P2083" s="11" t="n">
        <v>2.4</v>
      </c>
      <c r="Q2083" s="11" t="n">
        <v>18</v>
      </c>
      <c r="R2083" s="11" t="n">
        <f aca="false">SUM(K2083:Q2083)</f>
        <v>152.17</v>
      </c>
      <c r="S2083" s="11" t="n">
        <f aca="false">R2083/(1-Resumo!$C$6)</f>
        <v>172.920454545455</v>
      </c>
      <c r="T2083" s="11" t="n">
        <f aca="false">S2083-J2083</f>
        <v>49.6504545454545</v>
      </c>
      <c r="U2083" s="12" t="n">
        <f aca="false">IFERROR(S2083/J2083-1,0)</f>
        <v>0.402778085060879</v>
      </c>
      <c r="V2083" s="2" t="str">
        <f aca="false">IF(S2083&lt;J2083,"SIM","NÃO")</f>
        <v>NÃO</v>
      </c>
      <c r="W2083" s="2" t="n">
        <v>10</v>
      </c>
      <c r="X2083" s="2" t="s">
        <v>161</v>
      </c>
    </row>
    <row r="2084" customFormat="false" ht="15" hidden="false" customHeight="false" outlineLevel="0" collapsed="false">
      <c r="A2084" s="2" t="n">
        <v>398971575</v>
      </c>
      <c r="B2084" s="29" t="n">
        <v>46289.6132407407</v>
      </c>
      <c r="C2084" s="2" t="s">
        <v>153</v>
      </c>
      <c r="D2084" s="2" t="s">
        <v>383</v>
      </c>
      <c r="E2084" s="2" t="s">
        <v>384</v>
      </c>
      <c r="F2084" s="2" t="s">
        <v>109</v>
      </c>
      <c r="G2084" s="30" t="n">
        <v>52.3</v>
      </c>
      <c r="H2084" s="11" t="n">
        <v>592.37</v>
      </c>
      <c r="I2084" s="11" t="s">
        <v>155</v>
      </c>
      <c r="J2084" s="11" t="n">
        <v>142.5</v>
      </c>
      <c r="K2084" s="11" t="n">
        <v>162.04</v>
      </c>
      <c r="L2084" s="11" t="n">
        <v>0.5924</v>
      </c>
      <c r="M2084" s="11" t="n">
        <v>1.1847</v>
      </c>
      <c r="N2084" s="11" t="n">
        <v>1</v>
      </c>
      <c r="O2084" s="11" t="n">
        <v>4.5</v>
      </c>
      <c r="P2084" s="11" t="n">
        <v>3.18</v>
      </c>
      <c r="Q2084" s="11" t="n">
        <v>23.85</v>
      </c>
      <c r="R2084" s="11" t="n">
        <f aca="false">SUM(K2084:Q2084)</f>
        <v>196.3471</v>
      </c>
      <c r="S2084" s="11" t="n">
        <f aca="false">R2084/(1-Resumo!$C$6)</f>
        <v>223.121704545455</v>
      </c>
      <c r="T2084" s="11" t="n">
        <f aca="false">S2084-J2084</f>
        <v>80.6217045454545</v>
      </c>
      <c r="U2084" s="12" t="n">
        <f aca="false">IFERROR(S2084/J2084-1,0)</f>
        <v>0.5657663476874</v>
      </c>
      <c r="V2084" s="2" t="str">
        <f aca="false">IF(S2084&lt;J2084,"SIM","NÃO")</f>
        <v>NÃO</v>
      </c>
      <c r="W2084" s="2" t="n">
        <v>11</v>
      </c>
      <c r="X2084" s="2" t="s">
        <v>161</v>
      </c>
    </row>
    <row r="2085" customFormat="false" ht="15" hidden="false" customHeight="false" outlineLevel="0" collapsed="false">
      <c r="A2085" s="2" t="n">
        <v>398981534</v>
      </c>
      <c r="B2085" s="29" t="n">
        <v>46289.635787037</v>
      </c>
      <c r="C2085" s="2" t="s">
        <v>158</v>
      </c>
      <c r="D2085" s="2" t="s">
        <v>2074</v>
      </c>
      <c r="E2085" s="2" t="s">
        <v>80</v>
      </c>
      <c r="F2085" s="2" t="s">
        <v>108</v>
      </c>
      <c r="G2085" s="30" t="n">
        <v>46.8</v>
      </c>
      <c r="H2085" s="11" t="n">
        <v>569.99</v>
      </c>
      <c r="I2085" s="11" t="s">
        <v>155</v>
      </c>
      <c r="J2085" s="11" t="n">
        <v>116.81</v>
      </c>
      <c r="K2085" s="11" t="n">
        <v>93.97</v>
      </c>
      <c r="L2085" s="11" t="n">
        <v>0.57</v>
      </c>
      <c r="M2085" s="11" t="n">
        <v>1.14</v>
      </c>
      <c r="N2085" s="11" t="n">
        <v>1</v>
      </c>
      <c r="O2085" s="11" t="n">
        <v>4.5</v>
      </c>
      <c r="P2085" s="11" t="n">
        <v>2.82</v>
      </c>
      <c r="Q2085" s="11" t="n">
        <v>21.15</v>
      </c>
      <c r="R2085" s="11" t="n">
        <f aca="false">SUM(K2085:Q2085)</f>
        <v>125.15</v>
      </c>
      <c r="S2085" s="11" t="n">
        <f aca="false">R2085/(1-Resumo!$C$6)</f>
        <v>142.215909090909</v>
      </c>
      <c r="T2085" s="11" t="n">
        <f aca="false">S2085-J2085</f>
        <v>25.4059090909091</v>
      </c>
      <c r="U2085" s="12" t="n">
        <f aca="false">IFERROR(S2085/J2085-1,0)</f>
        <v>0.21749772357597</v>
      </c>
      <c r="V2085" s="2" t="str">
        <f aca="false">IF(S2085&lt;J2085,"SIM","NÃO")</f>
        <v>NÃO</v>
      </c>
      <c r="W2085" s="2" t="n">
        <v>5</v>
      </c>
      <c r="X2085" s="2" t="s">
        <v>156</v>
      </c>
    </row>
    <row r="2086" customFormat="false" ht="15" hidden="false" customHeight="false" outlineLevel="0" collapsed="false">
      <c r="A2086" s="2" t="n">
        <v>398993673</v>
      </c>
      <c r="B2086" s="29" t="n">
        <v>46289.662650463</v>
      </c>
      <c r="C2086" s="2" t="s">
        <v>158</v>
      </c>
      <c r="D2086" s="2" t="s">
        <v>2075</v>
      </c>
      <c r="E2086" s="2" t="s">
        <v>82</v>
      </c>
      <c r="F2086" s="2" t="s">
        <v>107</v>
      </c>
      <c r="G2086" s="30" t="n">
        <v>40</v>
      </c>
      <c r="H2086" s="11" t="n">
        <v>629.99</v>
      </c>
      <c r="I2086" s="11" t="s">
        <v>155</v>
      </c>
      <c r="J2086" s="11" t="n">
        <v>113.98</v>
      </c>
      <c r="K2086" s="11" t="n">
        <v>114.95</v>
      </c>
      <c r="L2086" s="11" t="n">
        <v>0.63</v>
      </c>
      <c r="M2086" s="11" t="n">
        <v>1.26</v>
      </c>
      <c r="N2086" s="11" t="n">
        <v>1</v>
      </c>
      <c r="O2086" s="11" t="n">
        <v>4.5</v>
      </c>
      <c r="P2086" s="11" t="n">
        <v>2.4</v>
      </c>
      <c r="Q2086" s="11" t="n">
        <v>18</v>
      </c>
      <c r="R2086" s="11" t="n">
        <f aca="false">SUM(K2086:Q2086)</f>
        <v>142.74</v>
      </c>
      <c r="S2086" s="11" t="n">
        <f aca="false">R2086/(1-Resumo!$C$6)</f>
        <v>162.204545454545</v>
      </c>
      <c r="T2086" s="11" t="n">
        <f aca="false">S2086-J2086</f>
        <v>48.2245454545455</v>
      </c>
      <c r="U2086" s="12" t="n">
        <f aca="false">IFERROR(S2086/J2086-1,0)</f>
        <v>0.423096556014612</v>
      </c>
      <c r="V2086" s="2" t="str">
        <f aca="false">IF(S2086&lt;J2086,"SIM","NÃO")</f>
        <v>NÃO</v>
      </c>
      <c r="W2086" s="2" t="n">
        <v>7</v>
      </c>
      <c r="X2086" s="2" t="s">
        <v>156</v>
      </c>
    </row>
    <row r="2087" customFormat="false" ht="15" hidden="false" customHeight="false" outlineLevel="0" collapsed="false">
      <c r="A2087" s="2" t="n">
        <v>399012793</v>
      </c>
      <c r="B2087" s="29" t="n">
        <v>46289.7067361111</v>
      </c>
      <c r="C2087" s="2" t="s">
        <v>153</v>
      </c>
      <c r="D2087" s="2" t="s">
        <v>2076</v>
      </c>
      <c r="E2087" s="2" t="s">
        <v>78</v>
      </c>
      <c r="F2087" s="2" t="s">
        <v>110</v>
      </c>
      <c r="G2087" s="30" t="n">
        <v>63.9</v>
      </c>
      <c r="H2087" s="11" t="n">
        <v>716.35</v>
      </c>
      <c r="I2087" s="11" t="s">
        <v>155</v>
      </c>
      <c r="J2087" s="11" t="n">
        <v>124.64</v>
      </c>
      <c r="K2087" s="11" t="n">
        <v>131.02</v>
      </c>
      <c r="L2087" s="11" t="n">
        <v>0.7164</v>
      </c>
      <c r="M2087" s="11" t="n">
        <v>1.4327</v>
      </c>
      <c r="N2087" s="11" t="n">
        <v>1</v>
      </c>
      <c r="O2087" s="11" t="n">
        <v>4.5</v>
      </c>
      <c r="P2087" s="11" t="n">
        <v>3.84</v>
      </c>
      <c r="Q2087" s="11" t="n">
        <v>28.8</v>
      </c>
      <c r="R2087" s="11" t="n">
        <f aca="false">SUM(K2087:Q2087)</f>
        <v>171.3091</v>
      </c>
      <c r="S2087" s="11" t="n">
        <f aca="false">R2087/(1-Resumo!$C$6)</f>
        <v>194.669431818182</v>
      </c>
      <c r="T2087" s="11" t="n">
        <f aca="false">S2087-J2087</f>
        <v>70.0294318181819</v>
      </c>
      <c r="U2087" s="12" t="n">
        <f aca="false">IFERROR(S2087/J2087-1,0)</f>
        <v>0.561853592892987</v>
      </c>
      <c r="V2087" s="2" t="str">
        <f aca="false">IF(S2087&lt;J2087,"SIM","NÃO")</f>
        <v>NÃO</v>
      </c>
      <c r="W2087" s="2" t="n">
        <v>5</v>
      </c>
      <c r="X2087" s="2" t="s">
        <v>156</v>
      </c>
    </row>
    <row r="2088" customFormat="false" ht="15" hidden="false" customHeight="false" outlineLevel="0" collapsed="false">
      <c r="A2088" s="2" t="n">
        <v>399013225</v>
      </c>
      <c r="B2088" s="29" t="n">
        <v>46289.708275463</v>
      </c>
      <c r="C2088" s="2" t="s">
        <v>153</v>
      </c>
      <c r="D2088" s="2" t="s">
        <v>2077</v>
      </c>
      <c r="E2088" s="2" t="s">
        <v>78</v>
      </c>
      <c r="F2088" s="2" t="s">
        <v>106</v>
      </c>
      <c r="G2088" s="30" t="n">
        <v>26</v>
      </c>
      <c r="H2088" s="11" t="n">
        <v>549.99</v>
      </c>
      <c r="I2088" s="11" t="s">
        <v>155</v>
      </c>
      <c r="J2088" s="11" t="n">
        <v>82.97</v>
      </c>
      <c r="K2088" s="11" t="n">
        <v>82.21</v>
      </c>
      <c r="L2088" s="11" t="n">
        <v>0.55</v>
      </c>
      <c r="M2088" s="11" t="n">
        <v>1.1</v>
      </c>
      <c r="N2088" s="11" t="n">
        <v>1</v>
      </c>
      <c r="O2088" s="11" t="n">
        <v>4.5</v>
      </c>
      <c r="P2088" s="11" t="n">
        <v>1.56</v>
      </c>
      <c r="Q2088" s="11" t="n">
        <v>11.7</v>
      </c>
      <c r="R2088" s="11" t="n">
        <f aca="false">SUM(K2088:Q2088)</f>
        <v>102.62</v>
      </c>
      <c r="S2088" s="11" t="n">
        <f aca="false">R2088/(1-Resumo!$C$6)</f>
        <v>116.613636363636</v>
      </c>
      <c r="T2088" s="11" t="n">
        <f aca="false">S2088-J2088</f>
        <v>33.6436363636364</v>
      </c>
      <c r="U2088" s="12" t="n">
        <f aca="false">IFERROR(S2088/J2088-1,0)</f>
        <v>0.405491579650914</v>
      </c>
      <c r="V2088" s="2" t="str">
        <f aca="false">IF(S2088&lt;J2088,"SIM","NÃO")</f>
        <v>NÃO</v>
      </c>
      <c r="W2088" s="2" t="n">
        <v>5</v>
      </c>
      <c r="X2088" s="2" t="s">
        <v>156</v>
      </c>
    </row>
    <row r="2089" customFormat="false" ht="15" hidden="false" customHeight="false" outlineLevel="0" collapsed="false">
      <c r="A2089" s="2" t="n">
        <v>399020161</v>
      </c>
      <c r="B2089" s="29" t="n">
        <v>46289.7245717593</v>
      </c>
      <c r="C2089" s="2" t="s">
        <v>158</v>
      </c>
      <c r="D2089" s="2" t="s">
        <v>2078</v>
      </c>
      <c r="E2089" s="2" t="s">
        <v>78</v>
      </c>
      <c r="F2089" s="2" t="s">
        <v>107</v>
      </c>
      <c r="G2089" s="30" t="n">
        <v>40</v>
      </c>
      <c r="H2089" s="11" t="n">
        <v>629.99</v>
      </c>
      <c r="I2089" s="11" t="s">
        <v>155</v>
      </c>
      <c r="J2089" s="11" t="n">
        <v>92.87</v>
      </c>
      <c r="K2089" s="11" t="n">
        <v>93.97</v>
      </c>
      <c r="L2089" s="11" t="n">
        <v>0.63</v>
      </c>
      <c r="M2089" s="11" t="n">
        <v>1.26</v>
      </c>
      <c r="N2089" s="11" t="n">
        <v>1</v>
      </c>
      <c r="O2089" s="11" t="n">
        <v>4.5</v>
      </c>
      <c r="P2089" s="11" t="n">
        <v>2.4</v>
      </c>
      <c r="Q2089" s="11" t="n">
        <v>18</v>
      </c>
      <c r="R2089" s="11" t="n">
        <f aca="false">SUM(K2089:Q2089)</f>
        <v>121.76</v>
      </c>
      <c r="S2089" s="11" t="n">
        <f aca="false">R2089/(1-Resumo!$C$6)</f>
        <v>138.363636363636</v>
      </c>
      <c r="T2089" s="11" t="n">
        <f aca="false">S2089-J2089</f>
        <v>45.4936363636364</v>
      </c>
      <c r="U2089" s="12" t="n">
        <f aca="false">IFERROR(S2089/J2089-1,0)</f>
        <v>0.489863641258064</v>
      </c>
      <c r="V2089" s="2" t="str">
        <f aca="false">IF(S2089&lt;J2089,"SIM","NÃO")</f>
        <v>NÃO</v>
      </c>
      <c r="W2089" s="2" t="n">
        <v>5</v>
      </c>
      <c r="X2089" s="2" t="s">
        <v>156</v>
      </c>
    </row>
    <row r="2090" customFormat="false" ht="15" hidden="false" customHeight="false" outlineLevel="0" collapsed="false">
      <c r="A2090" s="2" t="n">
        <v>399034475</v>
      </c>
      <c r="B2090" s="29" t="n">
        <v>46289.7589930556</v>
      </c>
      <c r="C2090" s="2" t="s">
        <v>158</v>
      </c>
      <c r="D2090" s="2" t="s">
        <v>2079</v>
      </c>
      <c r="E2090" s="2" t="s">
        <v>78</v>
      </c>
      <c r="F2090" s="2" t="s">
        <v>107</v>
      </c>
      <c r="G2090" s="30" t="n">
        <v>36.8</v>
      </c>
      <c r="H2090" s="11" t="n">
        <v>469.99</v>
      </c>
      <c r="I2090" s="11" t="s">
        <v>155</v>
      </c>
      <c r="J2090" s="11" t="n">
        <v>92.11</v>
      </c>
      <c r="K2090" s="11" t="n">
        <v>93.97</v>
      </c>
      <c r="L2090" s="11" t="n">
        <v>0.47</v>
      </c>
      <c r="M2090" s="11" t="n">
        <v>0.94</v>
      </c>
      <c r="N2090" s="11" t="n">
        <v>1</v>
      </c>
      <c r="O2090" s="11" t="n">
        <v>4.5</v>
      </c>
      <c r="P2090" s="11" t="n">
        <v>2.22</v>
      </c>
      <c r="Q2090" s="11" t="n">
        <v>16.65</v>
      </c>
      <c r="R2090" s="11" t="n">
        <f aca="false">SUM(K2090:Q2090)</f>
        <v>119.75</v>
      </c>
      <c r="S2090" s="11" t="n">
        <f aca="false">R2090/(1-Resumo!$C$6)</f>
        <v>136.079545454545</v>
      </c>
      <c r="T2090" s="11" t="n">
        <f aca="false">S2090-J2090</f>
        <v>43.9695454545455</v>
      </c>
      <c r="U2090" s="12" t="n">
        <f aca="false">IFERROR(S2090/J2090-1,0)</f>
        <v>0.477359086467761</v>
      </c>
      <c r="V2090" s="2" t="str">
        <f aca="false">IF(S2090&lt;J2090,"SIM","NÃO")</f>
        <v>NÃO</v>
      </c>
      <c r="W2090" s="2" t="n">
        <v>5</v>
      </c>
      <c r="X2090" s="2" t="s">
        <v>156</v>
      </c>
    </row>
    <row r="2091" customFormat="false" ht="15" hidden="false" customHeight="false" outlineLevel="0" collapsed="false">
      <c r="A2091" s="2" t="n">
        <v>399035992</v>
      </c>
      <c r="B2091" s="29" t="n">
        <v>46289.7624421296</v>
      </c>
      <c r="C2091" s="2" t="s">
        <v>153</v>
      </c>
      <c r="D2091" s="2" t="s">
        <v>2080</v>
      </c>
      <c r="E2091" s="2" t="s">
        <v>78</v>
      </c>
      <c r="F2091" s="2" t="s">
        <v>109</v>
      </c>
      <c r="G2091" s="30" t="n">
        <v>58.6</v>
      </c>
      <c r="H2091" s="11" t="n">
        <v>729.92</v>
      </c>
      <c r="I2091" s="11" t="s">
        <v>155</v>
      </c>
      <c r="J2091" s="11" t="n">
        <v>114.65</v>
      </c>
      <c r="K2091" s="11" t="n">
        <v>112.3</v>
      </c>
      <c r="L2091" s="11" t="n">
        <v>0.7299</v>
      </c>
      <c r="M2091" s="11" t="n">
        <v>1.4598</v>
      </c>
      <c r="N2091" s="11" t="n">
        <v>1</v>
      </c>
      <c r="O2091" s="11" t="n">
        <v>4.5</v>
      </c>
      <c r="P2091" s="11" t="n">
        <v>3.54</v>
      </c>
      <c r="Q2091" s="11" t="n">
        <v>26.55</v>
      </c>
      <c r="R2091" s="11" t="n">
        <f aca="false">SUM(K2091:Q2091)</f>
        <v>150.0797</v>
      </c>
      <c r="S2091" s="11" t="n">
        <f aca="false">R2091/(1-Resumo!$C$6)</f>
        <v>170.545113636364</v>
      </c>
      <c r="T2091" s="11" t="n">
        <f aca="false">S2091-J2091</f>
        <v>55.8951136363637</v>
      </c>
      <c r="U2091" s="12" t="n">
        <f aca="false">IFERROR(S2091/J2091-1,0)</f>
        <v>0.487528248027594</v>
      </c>
      <c r="V2091" s="2" t="str">
        <f aca="false">IF(S2091&lt;J2091,"SIM","NÃO")</f>
        <v>NÃO</v>
      </c>
      <c r="W2091" s="2" t="n">
        <v>5</v>
      </c>
      <c r="X2091" s="2" t="s">
        <v>156</v>
      </c>
    </row>
    <row r="2092" customFormat="false" ht="15" hidden="false" customHeight="false" outlineLevel="0" collapsed="false">
      <c r="A2092" s="2" t="n">
        <v>399036253</v>
      </c>
      <c r="B2092" s="29" t="n">
        <v>46289.7636226852</v>
      </c>
      <c r="C2092" s="2" t="s">
        <v>153</v>
      </c>
      <c r="D2092" s="2" t="s">
        <v>2081</v>
      </c>
      <c r="E2092" s="2" t="s">
        <v>84</v>
      </c>
      <c r="F2092" s="2" t="s">
        <v>111</v>
      </c>
      <c r="G2092" s="30" t="n">
        <v>71.9</v>
      </c>
      <c r="H2092" s="11" t="n">
        <v>799.99</v>
      </c>
      <c r="I2092" s="11" t="s">
        <v>155</v>
      </c>
      <c r="J2092" s="11" t="n">
        <v>151.84</v>
      </c>
      <c r="K2092" s="11" t="n">
        <v>134.39</v>
      </c>
      <c r="L2092" s="11" t="n">
        <v>0.8</v>
      </c>
      <c r="M2092" s="11" t="n">
        <v>1.6</v>
      </c>
      <c r="N2092" s="11" t="n">
        <v>1</v>
      </c>
      <c r="O2092" s="11" t="n">
        <v>4.5</v>
      </c>
      <c r="P2092" s="11" t="n">
        <v>4.32</v>
      </c>
      <c r="Q2092" s="11" t="n">
        <v>32.4</v>
      </c>
      <c r="R2092" s="11" t="n">
        <f aca="false">SUM(K2092:Q2092)</f>
        <v>179.01</v>
      </c>
      <c r="S2092" s="11" t="n">
        <f aca="false">R2092/(1-Resumo!$C$6)</f>
        <v>203.420454545455</v>
      </c>
      <c r="T2092" s="11" t="n">
        <f aca="false">S2092-J2092</f>
        <v>51.5804545454545</v>
      </c>
      <c r="U2092" s="12" t="n">
        <f aca="false">IFERROR(S2092/J2092-1,0)</f>
        <v>0.339702677459527</v>
      </c>
      <c r="V2092" s="2" t="str">
        <f aca="false">IF(S2092&lt;J2092,"SIM","NÃO")</f>
        <v>NÃO</v>
      </c>
      <c r="W2092" s="2" t="n">
        <v>5</v>
      </c>
      <c r="X2092" s="2" t="s">
        <v>156</v>
      </c>
    </row>
    <row r="2093" customFormat="false" ht="15" hidden="false" customHeight="false" outlineLevel="0" collapsed="false">
      <c r="A2093" s="2" t="n">
        <v>399041252</v>
      </c>
      <c r="B2093" s="29" t="n">
        <v>46289.7756828704</v>
      </c>
      <c r="C2093" s="2" t="s">
        <v>153</v>
      </c>
      <c r="D2093" s="2" t="s">
        <v>2082</v>
      </c>
      <c r="E2093" s="2" t="s">
        <v>87</v>
      </c>
      <c r="F2093" s="2" t="s">
        <v>109</v>
      </c>
      <c r="G2093" s="30" t="n">
        <v>52.3</v>
      </c>
      <c r="H2093" s="11" t="n">
        <v>592.37</v>
      </c>
      <c r="I2093" s="11" t="s">
        <v>155</v>
      </c>
      <c r="J2093" s="11" t="n">
        <v>142.5</v>
      </c>
      <c r="K2093" s="11" t="n">
        <v>142.32</v>
      </c>
      <c r="L2093" s="11" t="n">
        <v>0.5924</v>
      </c>
      <c r="M2093" s="11" t="n">
        <v>1.1847</v>
      </c>
      <c r="N2093" s="11" t="n">
        <v>1</v>
      </c>
      <c r="O2093" s="11" t="n">
        <v>4.5</v>
      </c>
      <c r="P2093" s="11" t="n">
        <v>3.18</v>
      </c>
      <c r="Q2093" s="11" t="n">
        <v>23.85</v>
      </c>
      <c r="R2093" s="11" t="n">
        <f aca="false">SUM(K2093:Q2093)</f>
        <v>176.6271</v>
      </c>
      <c r="S2093" s="11" t="n">
        <f aca="false">R2093/(1-Resumo!$C$6)</f>
        <v>200.712613636364</v>
      </c>
      <c r="T2093" s="11" t="n">
        <f aca="false">S2093-J2093</f>
        <v>58.2126136363636</v>
      </c>
      <c r="U2093" s="12" t="n">
        <f aca="false">IFERROR(S2093/J2093-1,0)</f>
        <v>0.40850956937799</v>
      </c>
      <c r="V2093" s="2" t="str">
        <f aca="false">IF(S2093&lt;J2093,"SIM","NÃO")</f>
        <v>NÃO</v>
      </c>
      <c r="W2093" s="2" t="n">
        <v>10</v>
      </c>
      <c r="X2093" s="2" t="s">
        <v>156</v>
      </c>
    </row>
    <row r="2094" customFormat="false" ht="15" hidden="false" customHeight="false" outlineLevel="0" collapsed="false">
      <c r="A2094" s="2" t="n">
        <v>399054582</v>
      </c>
      <c r="B2094" s="29" t="n">
        <v>46289.8079050926</v>
      </c>
      <c r="C2094" s="2" t="s">
        <v>153</v>
      </c>
      <c r="D2094" s="2" t="s">
        <v>2083</v>
      </c>
      <c r="E2094" s="2" t="s">
        <v>78</v>
      </c>
      <c r="F2094" s="2" t="s">
        <v>108</v>
      </c>
      <c r="G2094" s="30" t="n">
        <v>48.3</v>
      </c>
      <c r="H2094" s="11" t="n">
        <v>449.31</v>
      </c>
      <c r="I2094" s="11" t="s">
        <v>155</v>
      </c>
      <c r="J2094" s="11" t="n">
        <v>102.74</v>
      </c>
      <c r="K2094" s="11" t="n">
        <v>93.97</v>
      </c>
      <c r="L2094" s="11" t="n">
        <v>0.4493</v>
      </c>
      <c r="M2094" s="11" t="n">
        <v>0.8986</v>
      </c>
      <c r="N2094" s="11" t="n">
        <v>1</v>
      </c>
      <c r="O2094" s="11" t="n">
        <v>4.5</v>
      </c>
      <c r="P2094" s="11" t="n">
        <v>2.94</v>
      </c>
      <c r="Q2094" s="11" t="n">
        <v>22.05</v>
      </c>
      <c r="R2094" s="11" t="n">
        <f aca="false">SUM(K2094:Q2094)</f>
        <v>125.8079</v>
      </c>
      <c r="S2094" s="11" t="n">
        <f aca="false">R2094/(1-Resumo!$C$6)</f>
        <v>142.963522727273</v>
      </c>
      <c r="T2094" s="11" t="n">
        <f aca="false">S2094-J2094</f>
        <v>40.2235227272727</v>
      </c>
      <c r="U2094" s="12" t="n">
        <f aca="false">IFERROR(S2094/J2094-1,0)</f>
        <v>0.39150791052436</v>
      </c>
      <c r="V2094" s="2" t="str">
        <f aca="false">IF(S2094&lt;J2094,"SIM","NÃO")</f>
        <v>NÃO</v>
      </c>
      <c r="W2094" s="2" t="n">
        <v>5</v>
      </c>
      <c r="X2094" s="2" t="s">
        <v>156</v>
      </c>
    </row>
    <row r="2095" customFormat="false" ht="15" hidden="false" customHeight="false" outlineLevel="0" collapsed="false">
      <c r="A2095" s="2" t="n">
        <v>399056011</v>
      </c>
      <c r="B2095" s="29" t="n">
        <v>46289.8113425926</v>
      </c>
      <c r="C2095" s="2" t="s">
        <v>153</v>
      </c>
      <c r="D2095" s="2" t="s">
        <v>2084</v>
      </c>
      <c r="E2095" s="2" t="s">
        <v>78</v>
      </c>
      <c r="F2095" s="2" t="s">
        <v>106</v>
      </c>
      <c r="G2095" s="30" t="n">
        <v>21.5</v>
      </c>
      <c r="H2095" s="11" t="n">
        <v>299.99</v>
      </c>
      <c r="I2095" s="11" t="s">
        <v>155</v>
      </c>
      <c r="J2095" s="11" t="n">
        <v>81.76</v>
      </c>
      <c r="K2095" s="11" t="n">
        <v>82.21</v>
      </c>
      <c r="L2095" s="11" t="n">
        <v>0.3</v>
      </c>
      <c r="M2095" s="11" t="n">
        <v>0.6</v>
      </c>
      <c r="N2095" s="11" t="n">
        <v>1</v>
      </c>
      <c r="O2095" s="11" t="n">
        <v>4.5</v>
      </c>
      <c r="P2095" s="11" t="n">
        <v>1.32</v>
      </c>
      <c r="Q2095" s="11" t="n">
        <v>9.9</v>
      </c>
      <c r="R2095" s="11" t="n">
        <f aca="false">SUM(K2095:Q2095)</f>
        <v>99.83</v>
      </c>
      <c r="S2095" s="11" t="n">
        <f aca="false">R2095/(1-Resumo!$C$6)</f>
        <v>113.443181818182</v>
      </c>
      <c r="T2095" s="11" t="n">
        <f aca="false">S2095-J2095</f>
        <v>31.6831818181818</v>
      </c>
      <c r="U2095" s="12" t="n">
        <f aca="false">IFERROR(S2095/J2095-1,0)</f>
        <v>0.387514454723359</v>
      </c>
      <c r="V2095" s="2" t="str">
        <f aca="false">IF(S2095&lt;J2095,"SIM","NÃO")</f>
        <v>NÃO</v>
      </c>
      <c r="W2095" s="2" t="n">
        <v>5</v>
      </c>
      <c r="X2095" s="2" t="s">
        <v>156</v>
      </c>
    </row>
    <row r="2096" customFormat="false" ht="15" hidden="false" customHeight="false" outlineLevel="0" collapsed="false">
      <c r="A2096" s="2" t="n">
        <v>399067507</v>
      </c>
      <c r="B2096" s="29" t="n">
        <v>46289.8382523148</v>
      </c>
      <c r="C2096" s="2" t="s">
        <v>153</v>
      </c>
      <c r="D2096" s="2" t="s">
        <v>2085</v>
      </c>
      <c r="E2096" s="2" t="s">
        <v>80</v>
      </c>
      <c r="F2096" s="2" t="s">
        <v>109</v>
      </c>
      <c r="G2096" s="30" t="n">
        <v>52.3</v>
      </c>
      <c r="H2096" s="11" t="n">
        <v>592.37</v>
      </c>
      <c r="I2096" s="11" t="s">
        <v>155</v>
      </c>
      <c r="J2096" s="11" t="n">
        <v>128.11</v>
      </c>
      <c r="K2096" s="11" t="n">
        <v>112.3</v>
      </c>
      <c r="L2096" s="11" t="n">
        <v>0.5924</v>
      </c>
      <c r="M2096" s="11" t="n">
        <v>1.1847</v>
      </c>
      <c r="N2096" s="11" t="n">
        <v>1</v>
      </c>
      <c r="O2096" s="11" t="n">
        <v>4.5</v>
      </c>
      <c r="P2096" s="11" t="n">
        <v>3.18</v>
      </c>
      <c r="Q2096" s="11" t="n">
        <v>23.85</v>
      </c>
      <c r="R2096" s="11" t="n">
        <f aca="false">SUM(K2096:Q2096)</f>
        <v>146.6071</v>
      </c>
      <c r="S2096" s="11" t="n">
        <f aca="false">R2096/(1-Resumo!$C$6)</f>
        <v>166.598977272727</v>
      </c>
      <c r="T2096" s="11" t="n">
        <f aca="false">S2096-J2096</f>
        <v>38.4889772727273</v>
      </c>
      <c r="U2096" s="12" t="n">
        <f aca="false">IFERROR(S2096/J2096-1,0)</f>
        <v>0.300436946941904</v>
      </c>
      <c r="V2096" s="2" t="str">
        <f aca="false">IF(S2096&lt;J2096,"SIM","NÃO")</f>
        <v>NÃO</v>
      </c>
      <c r="W2096" s="2" t="n">
        <v>5</v>
      </c>
      <c r="X2096" s="2" t="s">
        <v>156</v>
      </c>
    </row>
    <row r="2097" customFormat="false" ht="15" hidden="false" customHeight="false" outlineLevel="0" collapsed="false">
      <c r="A2097" s="2" t="n">
        <v>399069444</v>
      </c>
      <c r="B2097" s="29" t="n">
        <v>46289.8428703704</v>
      </c>
      <c r="C2097" s="2" t="s">
        <v>153</v>
      </c>
      <c r="D2097" s="2" t="s">
        <v>2086</v>
      </c>
      <c r="E2097" s="2" t="s">
        <v>78</v>
      </c>
      <c r="F2097" s="2" t="s">
        <v>108</v>
      </c>
      <c r="G2097" s="30" t="n">
        <v>48.3</v>
      </c>
      <c r="H2097" s="11" t="n">
        <v>449.35</v>
      </c>
      <c r="I2097" s="11" t="s">
        <v>155</v>
      </c>
      <c r="J2097" s="11" t="n">
        <v>102.74</v>
      </c>
      <c r="K2097" s="11" t="n">
        <v>93.97</v>
      </c>
      <c r="L2097" s="11" t="n">
        <v>0.4494</v>
      </c>
      <c r="M2097" s="11" t="n">
        <v>0.8987</v>
      </c>
      <c r="N2097" s="11" t="n">
        <v>1</v>
      </c>
      <c r="O2097" s="11" t="n">
        <v>4.5</v>
      </c>
      <c r="P2097" s="11" t="n">
        <v>2.94</v>
      </c>
      <c r="Q2097" s="11" t="n">
        <v>22.05</v>
      </c>
      <c r="R2097" s="11" t="n">
        <f aca="false">SUM(K2097:Q2097)</f>
        <v>125.8081</v>
      </c>
      <c r="S2097" s="11" t="n">
        <f aca="false">R2097/(1-Resumo!$C$6)</f>
        <v>142.96375</v>
      </c>
      <c r="T2097" s="11" t="n">
        <f aca="false">S2097-J2097</f>
        <v>40.22375</v>
      </c>
      <c r="U2097" s="12" t="n">
        <f aca="false">IFERROR(S2097/J2097-1,0)</f>
        <v>0.391510122639673</v>
      </c>
      <c r="V2097" s="2" t="str">
        <f aca="false">IF(S2097&lt;J2097,"SIM","NÃO")</f>
        <v>NÃO</v>
      </c>
      <c r="W2097" s="2" t="n">
        <v>5</v>
      </c>
      <c r="X2097" s="2" t="s">
        <v>156</v>
      </c>
    </row>
    <row r="2098" customFormat="false" ht="15" hidden="false" customHeight="false" outlineLevel="0" collapsed="false">
      <c r="A2098" s="2" t="n">
        <v>399096199</v>
      </c>
      <c r="B2098" s="29" t="n">
        <v>46289.903275463</v>
      </c>
      <c r="C2098" s="2" t="s">
        <v>158</v>
      </c>
      <c r="D2098" s="2" t="s">
        <v>2087</v>
      </c>
      <c r="E2098" s="2" t="s">
        <v>78</v>
      </c>
      <c r="F2098" s="2" t="s">
        <v>107</v>
      </c>
      <c r="G2098" s="30" t="n">
        <v>40</v>
      </c>
      <c r="H2098" s="11" t="n">
        <v>616</v>
      </c>
      <c r="I2098" s="11" t="s">
        <v>155</v>
      </c>
      <c r="J2098" s="11" t="n">
        <v>92.81</v>
      </c>
      <c r="K2098" s="11" t="n">
        <v>93.97</v>
      </c>
      <c r="L2098" s="11" t="n">
        <v>0.616</v>
      </c>
      <c r="M2098" s="11" t="n">
        <v>1.232</v>
      </c>
      <c r="N2098" s="11" t="n">
        <v>1</v>
      </c>
      <c r="O2098" s="11" t="n">
        <v>4.5</v>
      </c>
      <c r="P2098" s="11" t="n">
        <v>2.4</v>
      </c>
      <c r="Q2098" s="11" t="n">
        <v>18</v>
      </c>
      <c r="R2098" s="11" t="n">
        <f aca="false">SUM(K2098:Q2098)</f>
        <v>121.718</v>
      </c>
      <c r="S2098" s="11" t="n">
        <f aca="false">R2098/(1-Resumo!$C$6)</f>
        <v>138.315909090909</v>
      </c>
      <c r="T2098" s="11" t="n">
        <f aca="false">S2098-J2098</f>
        <v>45.5059090909091</v>
      </c>
      <c r="U2098" s="12" t="n">
        <f aca="false">IFERROR(S2098/J2098-1,0)</f>
        <v>0.490312564280887</v>
      </c>
      <c r="V2098" s="2" t="str">
        <f aca="false">IF(S2098&lt;J2098,"SIM","NÃO")</f>
        <v>NÃO</v>
      </c>
      <c r="W2098" s="2" t="n">
        <v>5</v>
      </c>
      <c r="X2098" s="2" t="s">
        <v>156</v>
      </c>
    </row>
    <row r="2099" customFormat="false" ht="15" hidden="false" customHeight="false" outlineLevel="0" collapsed="false">
      <c r="A2099" s="2" t="n">
        <v>399110449</v>
      </c>
      <c r="B2099" s="29" t="n">
        <v>46289.9378819445</v>
      </c>
      <c r="C2099" s="2" t="s">
        <v>158</v>
      </c>
      <c r="D2099" s="2" t="s">
        <v>2088</v>
      </c>
      <c r="E2099" s="2" t="s">
        <v>90</v>
      </c>
      <c r="F2099" s="2" t="s">
        <v>106</v>
      </c>
      <c r="G2099" s="30" t="n">
        <v>27.6</v>
      </c>
      <c r="H2099" s="11" t="n">
        <v>539</v>
      </c>
      <c r="I2099" s="11" t="s">
        <v>155</v>
      </c>
      <c r="J2099" s="11" t="n">
        <v>109.77</v>
      </c>
      <c r="K2099" s="11" t="n">
        <v>100.58</v>
      </c>
      <c r="L2099" s="11" t="n">
        <v>0.539</v>
      </c>
      <c r="M2099" s="11" t="n">
        <v>1.078</v>
      </c>
      <c r="N2099" s="11" t="n">
        <v>1</v>
      </c>
      <c r="O2099" s="11" t="n">
        <v>4.5</v>
      </c>
      <c r="P2099" s="11" t="n">
        <v>1.68</v>
      </c>
      <c r="Q2099" s="11" t="n">
        <v>12.6</v>
      </c>
      <c r="R2099" s="11" t="n">
        <f aca="false">SUM(K2099:Q2099)</f>
        <v>121.977</v>
      </c>
      <c r="S2099" s="11" t="n">
        <f aca="false">R2099/(1-Resumo!$C$6)</f>
        <v>138.610227272727</v>
      </c>
      <c r="T2099" s="11" t="n">
        <f aca="false">S2099-J2099</f>
        <v>28.8402272727273</v>
      </c>
      <c r="U2099" s="12" t="n">
        <f aca="false">IFERROR(S2099/J2099-1,0)</f>
        <v>0.262733235608338</v>
      </c>
      <c r="V2099" s="2" t="str">
        <f aca="false">IF(S2099&lt;J2099,"SIM","NÃO")</f>
        <v>NÃO</v>
      </c>
      <c r="W2099" s="2" t="n">
        <v>7</v>
      </c>
      <c r="X2099" s="2" t="s">
        <v>156</v>
      </c>
    </row>
    <row r="2100" customFormat="false" ht="15" hidden="false" customHeight="false" outlineLevel="0" collapsed="false">
      <c r="A2100" s="2" t="n">
        <v>399115459</v>
      </c>
      <c r="B2100" s="29" t="n">
        <v>46289.9508217593</v>
      </c>
      <c r="C2100" s="2" t="s">
        <v>153</v>
      </c>
      <c r="D2100" s="2" t="s">
        <v>2089</v>
      </c>
      <c r="E2100" s="2" t="s">
        <v>84</v>
      </c>
      <c r="F2100" s="2" t="s">
        <v>110</v>
      </c>
      <c r="G2100" s="30" t="n">
        <v>67.3</v>
      </c>
      <c r="H2100" s="11" t="n">
        <v>694.72</v>
      </c>
      <c r="I2100" s="11" t="s">
        <v>155</v>
      </c>
      <c r="J2100" s="11" t="n">
        <v>139.76</v>
      </c>
      <c r="K2100" s="11" t="n">
        <v>131.02</v>
      </c>
      <c r="L2100" s="11" t="n">
        <v>0.6947</v>
      </c>
      <c r="M2100" s="11" t="n">
        <v>1.3894</v>
      </c>
      <c r="N2100" s="11" t="n">
        <v>1</v>
      </c>
      <c r="O2100" s="11" t="n">
        <v>4.5</v>
      </c>
      <c r="P2100" s="11" t="n">
        <v>4.08</v>
      </c>
      <c r="Q2100" s="11" t="n">
        <v>30.6</v>
      </c>
      <c r="R2100" s="11" t="n">
        <f aca="false">SUM(K2100:Q2100)</f>
        <v>173.2841</v>
      </c>
      <c r="S2100" s="11" t="n">
        <f aca="false">R2100/(1-Resumo!$C$6)</f>
        <v>196.91375</v>
      </c>
      <c r="T2100" s="11" t="n">
        <f aca="false">S2100-J2100</f>
        <v>57.15375</v>
      </c>
      <c r="U2100" s="12" t="n">
        <f aca="false">IFERROR(S2100/J2100-1,0)</f>
        <v>0.408942115054379</v>
      </c>
      <c r="V2100" s="2" t="str">
        <f aca="false">IF(S2100&lt;J2100,"SIM","NÃO")</f>
        <v>NÃO</v>
      </c>
      <c r="W2100" s="2" t="n">
        <v>5</v>
      </c>
      <c r="X2100" s="2" t="s">
        <v>156</v>
      </c>
    </row>
    <row r="2101" customFormat="false" ht="15" hidden="false" customHeight="false" outlineLevel="0" collapsed="false">
      <c r="A2101" s="2" t="n">
        <v>399117090</v>
      </c>
      <c r="B2101" s="29" t="n">
        <v>46289.9550115741</v>
      </c>
      <c r="C2101" s="2" t="s">
        <v>158</v>
      </c>
      <c r="D2101" s="2" t="s">
        <v>2090</v>
      </c>
      <c r="E2101" s="2" t="s">
        <v>79</v>
      </c>
      <c r="F2101" s="2" t="s">
        <v>108</v>
      </c>
      <c r="G2101" s="30" t="n">
        <v>49.6</v>
      </c>
      <c r="H2101" s="11" t="n">
        <v>749.99</v>
      </c>
      <c r="I2101" s="11" t="s">
        <v>155</v>
      </c>
      <c r="J2101" s="11" t="n">
        <v>117.67</v>
      </c>
      <c r="K2101" s="11" t="n">
        <v>114.95</v>
      </c>
      <c r="L2101" s="11" t="n">
        <v>0.75</v>
      </c>
      <c r="M2101" s="11" t="n">
        <v>1.5</v>
      </c>
      <c r="N2101" s="11" t="n">
        <v>1</v>
      </c>
      <c r="O2101" s="11" t="n">
        <v>4.5</v>
      </c>
      <c r="P2101" s="11" t="n">
        <v>3</v>
      </c>
      <c r="Q2101" s="11" t="n">
        <v>22.5</v>
      </c>
      <c r="R2101" s="11" t="n">
        <f aca="false">SUM(K2101:Q2101)</f>
        <v>148.2</v>
      </c>
      <c r="S2101" s="11" t="n">
        <f aca="false">R2101/(1-Resumo!$C$6)</f>
        <v>168.409090909091</v>
      </c>
      <c r="T2101" s="11" t="n">
        <f aca="false">S2101-J2101</f>
        <v>50.7390909090909</v>
      </c>
      <c r="U2101" s="12" t="n">
        <f aca="false">IFERROR(S2101/J2101-1,0)</f>
        <v>0.431198189080402</v>
      </c>
      <c r="V2101" s="2" t="str">
        <f aca="false">IF(S2101&lt;J2101,"SIM","NÃO")</f>
        <v>NÃO</v>
      </c>
      <c r="W2101" s="2" t="n">
        <v>7</v>
      </c>
      <c r="X2101" s="2" t="s">
        <v>156</v>
      </c>
    </row>
    <row r="2102" customFormat="false" ht="15" hidden="false" customHeight="false" outlineLevel="0" collapsed="false">
      <c r="A2102" s="2" t="n">
        <v>399118525</v>
      </c>
      <c r="B2102" s="29" t="n">
        <v>46289.9587962963</v>
      </c>
      <c r="C2102" s="2" t="s">
        <v>158</v>
      </c>
      <c r="D2102" s="2" t="s">
        <v>569</v>
      </c>
      <c r="E2102" s="2" t="s">
        <v>78</v>
      </c>
      <c r="F2102" s="2" t="s">
        <v>108</v>
      </c>
      <c r="G2102" s="30" t="n">
        <v>48</v>
      </c>
      <c r="H2102" s="11" t="n">
        <v>829.99</v>
      </c>
      <c r="I2102" s="11" t="s">
        <v>155</v>
      </c>
      <c r="J2102" s="11" t="n">
        <v>104.57</v>
      </c>
      <c r="K2102" s="11" t="n">
        <v>93.97</v>
      </c>
      <c r="L2102" s="11" t="n">
        <v>0.83</v>
      </c>
      <c r="M2102" s="11" t="n">
        <v>1.66</v>
      </c>
      <c r="N2102" s="11" t="n">
        <v>1</v>
      </c>
      <c r="O2102" s="11" t="n">
        <v>4.5</v>
      </c>
      <c r="P2102" s="11" t="n">
        <v>2.88</v>
      </c>
      <c r="Q2102" s="11" t="n">
        <v>21.6</v>
      </c>
      <c r="R2102" s="11" t="n">
        <f aca="false">SUM(K2102:Q2102)</f>
        <v>126.44</v>
      </c>
      <c r="S2102" s="11" t="n">
        <f aca="false">R2102/(1-Resumo!$C$6)</f>
        <v>143.681818181818</v>
      </c>
      <c r="T2102" s="11" t="n">
        <f aca="false">S2102-J2102</f>
        <v>39.1118181818182</v>
      </c>
      <c r="U2102" s="12" t="n">
        <f aca="false">IFERROR(S2102/J2102-1,0)</f>
        <v>0.374025228859311</v>
      </c>
      <c r="V2102" s="2" t="str">
        <f aca="false">IF(S2102&lt;J2102,"SIM","NÃO")</f>
        <v>NÃO</v>
      </c>
      <c r="W2102" s="2" t="n">
        <v>5</v>
      </c>
      <c r="X2102" s="2" t="s">
        <v>156</v>
      </c>
    </row>
    <row r="2103" customFormat="false" ht="15" hidden="false" customHeight="false" outlineLevel="0" collapsed="false">
      <c r="A2103" s="2" t="n">
        <v>399128664</v>
      </c>
      <c r="B2103" s="29" t="n">
        <v>46289.9888888889</v>
      </c>
      <c r="C2103" s="2" t="s">
        <v>153</v>
      </c>
      <c r="D2103" s="2" t="s">
        <v>1773</v>
      </c>
      <c r="E2103" s="2" t="s">
        <v>78</v>
      </c>
      <c r="F2103" s="2" t="s">
        <v>107</v>
      </c>
      <c r="G2103" s="30" t="n">
        <v>36.8</v>
      </c>
      <c r="H2103" s="11" t="n">
        <v>371.8</v>
      </c>
      <c r="I2103" s="11" t="s">
        <v>155</v>
      </c>
      <c r="J2103" s="11" t="n">
        <v>91.63</v>
      </c>
      <c r="K2103" s="11" t="n">
        <v>93.97</v>
      </c>
      <c r="L2103" s="11" t="n">
        <v>0.3718</v>
      </c>
      <c r="M2103" s="11" t="n">
        <v>0.7436</v>
      </c>
      <c r="N2103" s="11" t="n">
        <v>1</v>
      </c>
      <c r="O2103" s="11" t="n">
        <v>4.5</v>
      </c>
      <c r="P2103" s="11" t="n">
        <v>2.22</v>
      </c>
      <c r="Q2103" s="11" t="n">
        <v>16.65</v>
      </c>
      <c r="R2103" s="11" t="n">
        <f aca="false">SUM(K2103:Q2103)</f>
        <v>119.4554</v>
      </c>
      <c r="S2103" s="11" t="n">
        <f aca="false">R2103/(1-Resumo!$C$6)</f>
        <v>135.744772727273</v>
      </c>
      <c r="T2103" s="11" t="n">
        <f aca="false">S2103-J2103</f>
        <v>44.1147727272727</v>
      </c>
      <c r="U2103" s="12" t="n">
        <f aca="false">IFERROR(S2103/J2103-1,0)</f>
        <v>0.481444643973292</v>
      </c>
      <c r="V2103" s="2" t="str">
        <f aca="false">IF(S2103&lt;J2103,"SIM","NÃO")</f>
        <v>NÃO</v>
      </c>
      <c r="W2103" s="2" t="n">
        <v>5</v>
      </c>
      <c r="X2103" s="2" t="s">
        <v>156</v>
      </c>
    </row>
    <row r="2104" customFormat="false" ht="15" hidden="false" customHeight="false" outlineLevel="0" collapsed="false">
      <c r="A2104" s="2" t="n">
        <v>399140389</v>
      </c>
      <c r="B2104" s="29" t="n">
        <v>46290.0318287037</v>
      </c>
      <c r="C2104" s="2" t="s">
        <v>158</v>
      </c>
      <c r="D2104" s="2" t="s">
        <v>2091</v>
      </c>
      <c r="E2104" s="2" t="s">
        <v>88</v>
      </c>
      <c r="F2104" s="2" t="s">
        <v>109</v>
      </c>
      <c r="G2104" s="30" t="n">
        <v>52.3</v>
      </c>
      <c r="H2104" s="11" t="n">
        <v>639.78</v>
      </c>
      <c r="I2104" s="11" t="s">
        <v>155</v>
      </c>
      <c r="J2104" s="11" t="n">
        <v>142.74</v>
      </c>
      <c r="K2104" s="11" t="n">
        <v>142.32</v>
      </c>
      <c r="L2104" s="11" t="n">
        <v>0.6398</v>
      </c>
      <c r="M2104" s="11" t="n">
        <v>1.2796</v>
      </c>
      <c r="N2104" s="11" t="n">
        <v>1</v>
      </c>
      <c r="O2104" s="11" t="n">
        <v>4.5</v>
      </c>
      <c r="P2104" s="11" t="n">
        <v>3.18</v>
      </c>
      <c r="Q2104" s="11" t="n">
        <v>23.85</v>
      </c>
      <c r="R2104" s="11" t="n">
        <f aca="false">SUM(K2104:Q2104)</f>
        <v>176.7694</v>
      </c>
      <c r="S2104" s="11" t="n">
        <f aca="false">R2104/(1-Resumo!$C$6)</f>
        <v>200.874318181818</v>
      </c>
      <c r="T2104" s="11" t="n">
        <f aca="false">S2104-J2104</f>
        <v>58.1343181818182</v>
      </c>
      <c r="U2104" s="12" t="n">
        <f aca="false">IFERROR(S2104/J2104-1,0)</f>
        <v>0.407274192110258</v>
      </c>
      <c r="V2104" s="2" t="str">
        <f aca="false">IF(S2104&lt;J2104,"SIM","NÃO")</f>
        <v>NÃO</v>
      </c>
      <c r="W2104" s="2" t="n">
        <v>10</v>
      </c>
      <c r="X2104" s="2" t="s">
        <v>156</v>
      </c>
    </row>
    <row r="2105" customFormat="false" ht="15" hidden="false" customHeight="false" outlineLevel="0" collapsed="false">
      <c r="A2105" s="2" t="n">
        <v>399162436</v>
      </c>
      <c r="B2105" s="29" t="n">
        <v>46290.1350810185</v>
      </c>
      <c r="C2105" s="2" t="s">
        <v>153</v>
      </c>
      <c r="D2105" s="2" t="s">
        <v>2092</v>
      </c>
      <c r="E2105" s="2" t="s">
        <v>80</v>
      </c>
      <c r="F2105" s="2" t="s">
        <v>109</v>
      </c>
      <c r="G2105" s="30" t="n">
        <v>52.3</v>
      </c>
      <c r="H2105" s="11" t="n">
        <v>636.89</v>
      </c>
      <c r="I2105" s="11" t="s">
        <v>155</v>
      </c>
      <c r="J2105" s="11" t="n">
        <v>128.33</v>
      </c>
      <c r="K2105" s="11" t="n">
        <v>112.3</v>
      </c>
      <c r="L2105" s="11" t="n">
        <v>0.6369</v>
      </c>
      <c r="M2105" s="11" t="n">
        <v>1.2738</v>
      </c>
      <c r="N2105" s="11" t="n">
        <v>1</v>
      </c>
      <c r="O2105" s="11" t="n">
        <v>4.5</v>
      </c>
      <c r="P2105" s="11" t="n">
        <v>3.18</v>
      </c>
      <c r="Q2105" s="11" t="n">
        <v>23.85</v>
      </c>
      <c r="R2105" s="11" t="n">
        <f aca="false">SUM(K2105:Q2105)</f>
        <v>146.7407</v>
      </c>
      <c r="S2105" s="11" t="n">
        <f aca="false">R2105/(1-Resumo!$C$6)</f>
        <v>166.750795454545</v>
      </c>
      <c r="T2105" s="11" t="n">
        <f aca="false">S2105-J2105</f>
        <v>38.4207954545454</v>
      </c>
      <c r="U2105" s="12" t="n">
        <f aca="false">IFERROR(S2105/J2105-1,0)</f>
        <v>0.299390598102902</v>
      </c>
      <c r="V2105" s="2" t="str">
        <f aca="false">IF(S2105&lt;J2105,"SIM","NÃO")</f>
        <v>NÃO</v>
      </c>
      <c r="W2105" s="2" t="n">
        <v>5</v>
      </c>
      <c r="X2105" s="2" t="s">
        <v>156</v>
      </c>
    </row>
    <row r="2106" customFormat="false" ht="15" hidden="false" customHeight="false" outlineLevel="0" collapsed="false">
      <c r="A2106" s="2" t="n">
        <v>399168952</v>
      </c>
      <c r="B2106" s="29" t="n">
        <v>46290.1682986111</v>
      </c>
      <c r="C2106" s="2" t="s">
        <v>158</v>
      </c>
      <c r="D2106" s="2" t="s">
        <v>2093</v>
      </c>
      <c r="E2106" s="2" t="s">
        <v>2037</v>
      </c>
      <c r="F2106" s="2" t="s">
        <v>107</v>
      </c>
      <c r="G2106" s="30" t="n">
        <v>40</v>
      </c>
      <c r="H2106" s="11" t="n">
        <v>629.99</v>
      </c>
      <c r="I2106" s="11" t="s">
        <v>155</v>
      </c>
      <c r="J2106" s="11" t="n">
        <v>123.27</v>
      </c>
      <c r="K2106" s="11" t="n">
        <v>124.38</v>
      </c>
      <c r="L2106" s="11" t="n">
        <v>0.63</v>
      </c>
      <c r="M2106" s="11" t="n">
        <v>1.26</v>
      </c>
      <c r="N2106" s="11" t="n">
        <v>1</v>
      </c>
      <c r="O2106" s="11" t="n">
        <v>4.5</v>
      </c>
      <c r="P2106" s="11" t="n">
        <v>2.4</v>
      </c>
      <c r="Q2106" s="11" t="n">
        <v>18</v>
      </c>
      <c r="R2106" s="11" t="n">
        <f aca="false">SUM(K2106:Q2106)</f>
        <v>152.17</v>
      </c>
      <c r="S2106" s="11" t="n">
        <f aca="false">R2106/(1-Resumo!$C$6)</f>
        <v>172.920454545455</v>
      </c>
      <c r="T2106" s="11" t="n">
        <f aca="false">S2106-J2106</f>
        <v>49.6504545454545</v>
      </c>
      <c r="U2106" s="12" t="n">
        <f aca="false">IFERROR(S2106/J2106-1,0)</f>
        <v>0.402778085060879</v>
      </c>
      <c r="V2106" s="2" t="str">
        <f aca="false">IF(S2106&lt;J2106,"SIM","NÃO")</f>
        <v>NÃO</v>
      </c>
      <c r="W2106" s="2" t="n">
        <v>10</v>
      </c>
      <c r="X2106" s="2" t="s">
        <v>161</v>
      </c>
    </row>
    <row r="2107" customFormat="false" ht="15" hidden="false" customHeight="false" outlineLevel="0" collapsed="false">
      <c r="A2107" s="2" t="n">
        <v>399200776</v>
      </c>
      <c r="B2107" s="29" t="n">
        <v>46290.3175462963</v>
      </c>
      <c r="C2107" s="2" t="s">
        <v>158</v>
      </c>
      <c r="D2107" s="2" t="s">
        <v>2094</v>
      </c>
      <c r="E2107" s="2" t="s">
        <v>78</v>
      </c>
      <c r="F2107" s="2" t="s">
        <v>108</v>
      </c>
      <c r="G2107" s="30" t="n">
        <v>46.8</v>
      </c>
      <c r="H2107" s="11" t="n">
        <v>529.99</v>
      </c>
      <c r="I2107" s="11" t="s">
        <v>155</v>
      </c>
      <c r="J2107" s="11" t="n">
        <v>103.13</v>
      </c>
      <c r="K2107" s="11" t="n">
        <v>93.97</v>
      </c>
      <c r="L2107" s="11" t="n">
        <v>0.53</v>
      </c>
      <c r="M2107" s="11" t="n">
        <v>1.06</v>
      </c>
      <c r="N2107" s="11" t="n">
        <v>1</v>
      </c>
      <c r="O2107" s="11" t="n">
        <v>4.5</v>
      </c>
      <c r="P2107" s="11" t="n">
        <v>2.82</v>
      </c>
      <c r="Q2107" s="11" t="n">
        <v>21.15</v>
      </c>
      <c r="R2107" s="11" t="n">
        <f aca="false">SUM(K2107:Q2107)</f>
        <v>125.03</v>
      </c>
      <c r="S2107" s="11" t="n">
        <f aca="false">R2107/(1-Resumo!$C$6)</f>
        <v>142.079545454545</v>
      </c>
      <c r="T2107" s="11" t="n">
        <f aca="false">S2107-J2107</f>
        <v>38.9495454545455</v>
      </c>
      <c r="U2107" s="12" t="n">
        <f aca="false">IFERROR(S2107/J2107-1,0)</f>
        <v>0.377674250504659</v>
      </c>
      <c r="V2107" s="2" t="str">
        <f aca="false">IF(S2107&lt;J2107,"SIM","NÃO")</f>
        <v>NÃO</v>
      </c>
      <c r="W2107" s="2" t="n">
        <v>5</v>
      </c>
      <c r="X2107" s="2" t="s">
        <v>156</v>
      </c>
    </row>
    <row r="2108" customFormat="false" ht="15" hidden="false" customHeight="false" outlineLevel="0" collapsed="false">
      <c r="A2108" s="2" t="n">
        <v>399217973</v>
      </c>
      <c r="B2108" s="29" t="n">
        <v>46290.3523958333</v>
      </c>
      <c r="C2108" s="2" t="s">
        <v>369</v>
      </c>
      <c r="D2108" s="2" t="s">
        <v>2095</v>
      </c>
      <c r="E2108" s="2" t="s">
        <v>88</v>
      </c>
      <c r="F2108" s="2" t="s">
        <v>112</v>
      </c>
      <c r="G2108" s="30" t="n">
        <v>82</v>
      </c>
      <c r="H2108" s="11" t="n">
        <v>949.98</v>
      </c>
      <c r="I2108" s="11" t="s">
        <v>155</v>
      </c>
      <c r="J2108" s="11" t="n">
        <v>193.15</v>
      </c>
      <c r="K2108" s="11" t="n">
        <v>197.35</v>
      </c>
      <c r="L2108" s="11" t="n">
        <v>0.95</v>
      </c>
      <c r="M2108" s="11" t="n">
        <v>1.9</v>
      </c>
      <c r="N2108" s="11" t="n">
        <v>1</v>
      </c>
      <c r="O2108" s="11" t="n">
        <v>4.5</v>
      </c>
      <c r="P2108" s="11" t="n">
        <v>4.92</v>
      </c>
      <c r="Q2108" s="11" t="n">
        <v>36.9</v>
      </c>
      <c r="R2108" s="11" t="n">
        <f aca="false">SUM(K2108:Q2108)</f>
        <v>247.52</v>
      </c>
      <c r="S2108" s="11" t="n">
        <f aca="false">R2108/(1-Resumo!$C$6)</f>
        <v>281.272727272727</v>
      </c>
      <c r="T2108" s="11" t="n">
        <f aca="false">S2108-J2108</f>
        <v>88.1227272727273</v>
      </c>
      <c r="U2108" s="12" t="n">
        <f aca="false">IFERROR(S2108/J2108-1,0)</f>
        <v>0.456239851269621</v>
      </c>
      <c r="V2108" s="2" t="str">
        <f aca="false">IF(S2108&lt;J2108,"SIM","NÃO")</f>
        <v>NÃO</v>
      </c>
      <c r="W2108" s="2" t="n">
        <v>10</v>
      </c>
      <c r="X2108" s="2" t="s">
        <v>156</v>
      </c>
    </row>
    <row r="2109" customFormat="false" ht="15" hidden="false" customHeight="false" outlineLevel="0" collapsed="false">
      <c r="A2109" s="2" t="n">
        <v>399238069</v>
      </c>
      <c r="B2109" s="29" t="n">
        <v>46290.4213425926</v>
      </c>
      <c r="C2109" s="2" t="s">
        <v>153</v>
      </c>
      <c r="D2109" s="2" t="s">
        <v>2096</v>
      </c>
      <c r="E2109" s="2" t="s">
        <v>78</v>
      </c>
      <c r="F2109" s="2" t="s">
        <v>106</v>
      </c>
      <c r="G2109" s="30" t="n">
        <v>21.8</v>
      </c>
      <c r="H2109" s="11" t="n">
        <v>319.99</v>
      </c>
      <c r="I2109" s="11" t="s">
        <v>155</v>
      </c>
      <c r="J2109" s="11" t="n">
        <v>81.86</v>
      </c>
      <c r="K2109" s="11" t="n">
        <v>82.21</v>
      </c>
      <c r="L2109" s="11" t="n">
        <v>0.32</v>
      </c>
      <c r="M2109" s="11" t="n">
        <v>0.64</v>
      </c>
      <c r="N2109" s="11" t="n">
        <v>1</v>
      </c>
      <c r="O2109" s="11" t="n">
        <v>4.5</v>
      </c>
      <c r="P2109" s="11" t="n">
        <v>1.32</v>
      </c>
      <c r="Q2109" s="11" t="n">
        <v>9.9</v>
      </c>
      <c r="R2109" s="11" t="n">
        <f aca="false">SUM(K2109:Q2109)</f>
        <v>99.89</v>
      </c>
      <c r="S2109" s="11" t="n">
        <f aca="false">R2109/(1-Resumo!$C$6)</f>
        <v>113.511363636364</v>
      </c>
      <c r="T2109" s="11" t="n">
        <f aca="false">S2109-J2109</f>
        <v>31.6513636363636</v>
      </c>
      <c r="U2109" s="12" t="n">
        <f aca="false">IFERROR(S2109/J2109-1,0)</f>
        <v>0.386652377673634</v>
      </c>
      <c r="V2109" s="2" t="str">
        <f aca="false">IF(S2109&lt;J2109,"SIM","NÃO")</f>
        <v>NÃO</v>
      </c>
      <c r="W2109" s="2" t="n">
        <v>5</v>
      </c>
      <c r="X2109" s="2" t="s">
        <v>156</v>
      </c>
    </row>
    <row r="2110" customFormat="false" ht="15" hidden="false" customHeight="false" outlineLevel="0" collapsed="false">
      <c r="A2110" s="2" t="n">
        <v>399243706</v>
      </c>
      <c r="B2110" s="29" t="n">
        <v>46290.4344791667</v>
      </c>
      <c r="C2110" s="2" t="s">
        <v>158</v>
      </c>
      <c r="D2110" s="2" t="s">
        <v>1313</v>
      </c>
      <c r="E2110" s="2" t="s">
        <v>1314</v>
      </c>
      <c r="F2110" s="2" t="s">
        <v>108</v>
      </c>
      <c r="G2110" s="30" t="n">
        <v>46.8</v>
      </c>
      <c r="H2110" s="11" t="n">
        <v>569.99</v>
      </c>
      <c r="I2110" s="11" t="s">
        <v>155</v>
      </c>
      <c r="J2110" s="11" t="n">
        <v>130.89</v>
      </c>
      <c r="K2110" s="11" t="n">
        <v>152.54</v>
      </c>
      <c r="L2110" s="11" t="n">
        <v>0.57</v>
      </c>
      <c r="M2110" s="11" t="n">
        <v>1.14</v>
      </c>
      <c r="N2110" s="11" t="n">
        <v>1</v>
      </c>
      <c r="O2110" s="11" t="n">
        <v>4.5</v>
      </c>
      <c r="P2110" s="11" t="n">
        <v>2.82</v>
      </c>
      <c r="Q2110" s="11" t="n">
        <v>21.15</v>
      </c>
      <c r="R2110" s="11" t="n">
        <f aca="false">SUM(K2110:Q2110)</f>
        <v>183.72</v>
      </c>
      <c r="S2110" s="11" t="n">
        <f aca="false">R2110/(1-Resumo!$C$6)</f>
        <v>208.772727272727</v>
      </c>
      <c r="T2110" s="11" t="n">
        <f aca="false">S2110-J2110</f>
        <v>77.8827272727273</v>
      </c>
      <c r="U2110" s="12" t="n">
        <f aca="false">IFERROR(S2110/J2110-1,0)</f>
        <v>0.595024274373346</v>
      </c>
      <c r="V2110" s="2" t="str">
        <f aca="false">IF(S2110&lt;J2110,"SIM","NÃO")</f>
        <v>NÃO</v>
      </c>
      <c r="W2110" s="2" t="n">
        <v>11</v>
      </c>
      <c r="X2110" s="2" t="s">
        <v>161</v>
      </c>
    </row>
    <row r="2111" customFormat="false" ht="15" hidden="false" customHeight="false" outlineLevel="0" collapsed="false">
      <c r="A2111" s="2" t="n">
        <v>399253714</v>
      </c>
      <c r="B2111" s="29" t="n">
        <v>46290.4546412037</v>
      </c>
      <c r="C2111" s="2" t="s">
        <v>158</v>
      </c>
      <c r="D2111" s="2" t="s">
        <v>1049</v>
      </c>
      <c r="E2111" s="2" t="s">
        <v>78</v>
      </c>
      <c r="F2111" s="2" t="s">
        <v>109</v>
      </c>
      <c r="G2111" s="30" t="n">
        <v>53.3</v>
      </c>
      <c r="H2111" s="11" t="n">
        <v>749.99</v>
      </c>
      <c r="I2111" s="11" t="s">
        <v>155</v>
      </c>
      <c r="J2111" s="11" t="n">
        <v>114.74</v>
      </c>
      <c r="K2111" s="11" t="n">
        <v>112.3</v>
      </c>
      <c r="L2111" s="11" t="n">
        <v>0.75</v>
      </c>
      <c r="M2111" s="11" t="n">
        <v>1.5</v>
      </c>
      <c r="N2111" s="11" t="n">
        <v>1</v>
      </c>
      <c r="O2111" s="11" t="n">
        <v>4.5</v>
      </c>
      <c r="P2111" s="11" t="n">
        <v>3.24</v>
      </c>
      <c r="Q2111" s="11" t="n">
        <v>24.3</v>
      </c>
      <c r="R2111" s="11" t="n">
        <f aca="false">SUM(K2111:Q2111)</f>
        <v>147.59</v>
      </c>
      <c r="S2111" s="11" t="n">
        <f aca="false">R2111/(1-Resumo!$C$6)</f>
        <v>167.715909090909</v>
      </c>
      <c r="T2111" s="11" t="n">
        <f aca="false">S2111-J2111</f>
        <v>52.9759090909091</v>
      </c>
      <c r="U2111" s="12" t="n">
        <f aca="false">IFERROR(S2111/J2111-1,0)</f>
        <v>0.461703931418068</v>
      </c>
      <c r="V2111" s="2" t="str">
        <f aca="false">IF(S2111&lt;J2111,"SIM","NÃO")</f>
        <v>NÃO</v>
      </c>
      <c r="W2111" s="2" t="n">
        <v>5</v>
      </c>
      <c r="X2111" s="2" t="s">
        <v>156</v>
      </c>
    </row>
    <row r="2112" customFormat="false" ht="15" hidden="false" customHeight="false" outlineLevel="0" collapsed="false">
      <c r="A2112" s="2" t="n">
        <v>399268752</v>
      </c>
      <c r="B2112" s="29" t="n">
        <v>46290.481400463</v>
      </c>
      <c r="C2112" s="2" t="s">
        <v>158</v>
      </c>
      <c r="D2112" s="2" t="s">
        <v>336</v>
      </c>
      <c r="E2112" s="2" t="s">
        <v>203</v>
      </c>
      <c r="F2112" s="2" t="s">
        <v>108</v>
      </c>
      <c r="G2112" s="30" t="n">
        <v>41</v>
      </c>
      <c r="H2112" s="11" t="n">
        <v>699.99</v>
      </c>
      <c r="I2112" s="11" t="s">
        <v>155</v>
      </c>
      <c r="J2112" s="11" t="n">
        <v>131.51</v>
      </c>
      <c r="K2112" s="11" t="n">
        <v>103.97</v>
      </c>
      <c r="L2112" s="11" t="n">
        <v>0.7</v>
      </c>
      <c r="M2112" s="11" t="n">
        <v>1.4</v>
      </c>
      <c r="N2112" s="11" t="n">
        <v>1</v>
      </c>
      <c r="O2112" s="11" t="n">
        <v>4.5</v>
      </c>
      <c r="P2112" s="11" t="n">
        <v>2.46</v>
      </c>
      <c r="Q2112" s="11" t="n">
        <v>18.45</v>
      </c>
      <c r="R2112" s="11" t="n">
        <f aca="false">SUM(K2112:Q2112)</f>
        <v>132.48</v>
      </c>
      <c r="S2112" s="11" t="n">
        <f aca="false">R2112/(1-Resumo!$C$6)</f>
        <v>150.545454545455</v>
      </c>
      <c r="T2112" s="11" t="n">
        <f aca="false">S2112-J2112</f>
        <v>19.0354545454545</v>
      </c>
      <c r="U2112" s="12" t="n">
        <f aca="false">IFERROR(S2112/J2112-1,0)</f>
        <v>0.144745301083222</v>
      </c>
      <c r="V2112" s="2" t="str">
        <f aca="false">IF(S2112&lt;J2112,"SIM","NÃO")</f>
        <v>NÃO</v>
      </c>
      <c r="W2112" s="2" t="n">
        <v>5</v>
      </c>
      <c r="X2112" s="2" t="s">
        <v>161</v>
      </c>
    </row>
    <row r="2113" customFormat="false" ht="15" hidden="false" customHeight="false" outlineLevel="0" collapsed="false">
      <c r="A2113" s="2" t="n">
        <v>399300855</v>
      </c>
      <c r="B2113" s="29" t="n">
        <v>46290.5503703704</v>
      </c>
      <c r="C2113" s="2" t="s">
        <v>153</v>
      </c>
      <c r="D2113" s="2" t="s">
        <v>2097</v>
      </c>
      <c r="E2113" s="2" t="s">
        <v>242</v>
      </c>
      <c r="F2113" s="2" t="s">
        <v>112</v>
      </c>
      <c r="G2113" s="30" t="n">
        <v>91</v>
      </c>
      <c r="H2113" s="11" t="n">
        <v>1159.98</v>
      </c>
      <c r="I2113" s="11" t="s">
        <v>155</v>
      </c>
      <c r="J2113" s="11" t="n">
        <v>194.16</v>
      </c>
      <c r="K2113" s="11" t="n">
        <v>197.35</v>
      </c>
      <c r="L2113" s="11" t="n">
        <v>1.16</v>
      </c>
      <c r="M2113" s="11" t="n">
        <v>2.32</v>
      </c>
      <c r="N2113" s="11" t="n">
        <v>1</v>
      </c>
      <c r="O2113" s="11" t="n">
        <v>4.5</v>
      </c>
      <c r="P2113" s="11" t="n">
        <v>5.46</v>
      </c>
      <c r="Q2113" s="11" t="n">
        <v>40.95</v>
      </c>
      <c r="R2113" s="11" t="n">
        <f aca="false">SUM(K2113:Q2113)</f>
        <v>252.74</v>
      </c>
      <c r="S2113" s="11" t="n">
        <f aca="false">R2113/(1-Resumo!$C$6)</f>
        <v>287.204545454545</v>
      </c>
      <c r="T2113" s="11" t="n">
        <f aca="false">S2113-J2113</f>
        <v>93.0445454545454</v>
      </c>
      <c r="U2113" s="12" t="n">
        <f aca="false">IFERROR(S2113/J2113-1,0)</f>
        <v>0.479215829493951</v>
      </c>
      <c r="V2113" s="2" t="str">
        <f aca="false">IF(S2113&lt;J2113,"SIM","NÃO")</f>
        <v>NÃO</v>
      </c>
      <c r="W2113" s="2" t="n">
        <v>8</v>
      </c>
      <c r="X2113" s="2" t="s">
        <v>161</v>
      </c>
    </row>
    <row r="2114" customFormat="false" ht="15" hidden="false" customHeight="false" outlineLevel="0" collapsed="false">
      <c r="A2114" s="2" t="n">
        <v>399310070</v>
      </c>
      <c r="B2114" s="29" t="n">
        <v>46290.5706018519</v>
      </c>
      <c r="C2114" s="2" t="s">
        <v>153</v>
      </c>
      <c r="D2114" s="2" t="s">
        <v>1947</v>
      </c>
      <c r="E2114" s="2" t="s">
        <v>78</v>
      </c>
      <c r="F2114" s="2" t="s">
        <v>110</v>
      </c>
      <c r="G2114" s="30" t="n">
        <v>66.8</v>
      </c>
      <c r="H2114" s="11" t="n">
        <v>658.46</v>
      </c>
      <c r="I2114" s="11" t="s">
        <v>155</v>
      </c>
      <c r="J2114" s="11" t="n">
        <v>124.37</v>
      </c>
      <c r="K2114" s="11" t="n">
        <v>131.02</v>
      </c>
      <c r="L2114" s="11" t="n">
        <v>0.6585</v>
      </c>
      <c r="M2114" s="11" t="n">
        <v>1.3169</v>
      </c>
      <c r="N2114" s="11" t="n">
        <v>1</v>
      </c>
      <c r="O2114" s="11" t="n">
        <v>4.5</v>
      </c>
      <c r="P2114" s="11" t="n">
        <v>4.02</v>
      </c>
      <c r="Q2114" s="11" t="n">
        <v>30.15</v>
      </c>
      <c r="R2114" s="11" t="n">
        <f aca="false">SUM(K2114:Q2114)</f>
        <v>172.6654</v>
      </c>
      <c r="S2114" s="11" t="n">
        <f aca="false">R2114/(1-Resumo!$C$6)</f>
        <v>196.210681818182</v>
      </c>
      <c r="T2114" s="11" t="n">
        <f aca="false">S2114-J2114</f>
        <v>71.8406818181818</v>
      </c>
      <c r="U2114" s="12" t="n">
        <f aca="false">IFERROR(S2114/J2114-1,0)</f>
        <v>0.577636743733873</v>
      </c>
      <c r="V2114" s="2" t="str">
        <f aca="false">IF(S2114&lt;J2114,"SIM","NÃO")</f>
        <v>NÃO</v>
      </c>
      <c r="W2114" s="2" t="n">
        <v>5</v>
      </c>
      <c r="X2114" s="2" t="s">
        <v>156</v>
      </c>
    </row>
    <row r="2115" customFormat="false" ht="15" hidden="false" customHeight="false" outlineLevel="0" collapsed="false">
      <c r="A2115" s="2" t="n">
        <v>399324399</v>
      </c>
      <c r="B2115" s="29" t="n">
        <v>46290.6010069445</v>
      </c>
      <c r="C2115" s="2" t="s">
        <v>158</v>
      </c>
      <c r="D2115" s="2" t="s">
        <v>1305</v>
      </c>
      <c r="E2115" s="2" t="s">
        <v>78</v>
      </c>
      <c r="F2115" s="2" t="s">
        <v>108</v>
      </c>
      <c r="G2115" s="30" t="n">
        <v>45.3</v>
      </c>
      <c r="H2115" s="11" t="n">
        <v>678.99</v>
      </c>
      <c r="I2115" s="11" t="s">
        <v>155</v>
      </c>
      <c r="J2115" s="11" t="n">
        <v>103.84</v>
      </c>
      <c r="K2115" s="11" t="n">
        <v>93.97</v>
      </c>
      <c r="L2115" s="11" t="n">
        <v>0.679</v>
      </c>
      <c r="M2115" s="11" t="n">
        <v>1.358</v>
      </c>
      <c r="N2115" s="11" t="n">
        <v>1</v>
      </c>
      <c r="O2115" s="11" t="n">
        <v>4.5</v>
      </c>
      <c r="P2115" s="11" t="n">
        <v>2.76</v>
      </c>
      <c r="Q2115" s="11" t="n">
        <v>20.7</v>
      </c>
      <c r="R2115" s="11" t="n">
        <f aca="false">SUM(K2115:Q2115)</f>
        <v>124.967</v>
      </c>
      <c r="S2115" s="11" t="n">
        <f aca="false">R2115/(1-Resumo!$C$6)</f>
        <v>142.007954545455</v>
      </c>
      <c r="T2115" s="11" t="n">
        <f aca="false">S2115-J2115</f>
        <v>38.1679545454545</v>
      </c>
      <c r="U2115" s="12" t="n">
        <f aca="false">IFERROR(S2115/J2115-1,0)</f>
        <v>0.367565047625718</v>
      </c>
      <c r="V2115" s="2" t="str">
        <f aca="false">IF(S2115&lt;J2115,"SIM","NÃO")</f>
        <v>NÃO</v>
      </c>
      <c r="W2115" s="2" t="n">
        <v>5</v>
      </c>
      <c r="X2115" s="2" t="s">
        <v>156</v>
      </c>
    </row>
    <row r="2116" customFormat="false" ht="15" hidden="false" customHeight="false" outlineLevel="0" collapsed="false">
      <c r="A2116" s="2" t="n">
        <v>399343643</v>
      </c>
      <c r="B2116" s="29" t="n">
        <v>46290.638587963</v>
      </c>
      <c r="C2116" s="2" t="s">
        <v>153</v>
      </c>
      <c r="D2116" s="2" t="s">
        <v>2098</v>
      </c>
      <c r="E2116" s="2" t="s">
        <v>78</v>
      </c>
      <c r="F2116" s="2" t="s">
        <v>107</v>
      </c>
      <c r="G2116" s="30" t="n">
        <v>36.8</v>
      </c>
      <c r="H2116" s="11" t="n">
        <v>389.63</v>
      </c>
      <c r="I2116" s="11" t="s">
        <v>155</v>
      </c>
      <c r="J2116" s="11" t="n">
        <v>91.73</v>
      </c>
      <c r="K2116" s="11" t="n">
        <v>93.97</v>
      </c>
      <c r="L2116" s="11" t="n">
        <v>0.3896</v>
      </c>
      <c r="M2116" s="11" t="n">
        <v>0.7793</v>
      </c>
      <c r="N2116" s="11" t="n">
        <v>1</v>
      </c>
      <c r="O2116" s="11" t="n">
        <v>4.5</v>
      </c>
      <c r="P2116" s="11" t="n">
        <v>2.22</v>
      </c>
      <c r="Q2116" s="11" t="n">
        <v>16.65</v>
      </c>
      <c r="R2116" s="11" t="n">
        <f aca="false">SUM(K2116:Q2116)</f>
        <v>119.5089</v>
      </c>
      <c r="S2116" s="11" t="n">
        <f aca="false">R2116/(1-Resumo!$C$6)</f>
        <v>135.805568181818</v>
      </c>
      <c r="T2116" s="11" t="n">
        <f aca="false">S2116-J2116</f>
        <v>44.0755681818182</v>
      </c>
      <c r="U2116" s="12" t="n">
        <f aca="false">IFERROR(S2116/J2116-1,0)</f>
        <v>0.480492403595532</v>
      </c>
      <c r="V2116" s="2" t="str">
        <f aca="false">IF(S2116&lt;J2116,"SIM","NÃO")</f>
        <v>NÃO</v>
      </c>
      <c r="W2116" s="2" t="n">
        <v>5</v>
      </c>
      <c r="X2116" s="2" t="s">
        <v>156</v>
      </c>
    </row>
    <row r="2117" customFormat="false" ht="15" hidden="false" customHeight="false" outlineLevel="0" collapsed="false">
      <c r="A2117" s="2" t="n">
        <v>399344093</v>
      </c>
      <c r="B2117" s="29" t="n">
        <v>46290.6394097222</v>
      </c>
      <c r="C2117" s="2" t="s">
        <v>153</v>
      </c>
      <c r="D2117" s="2" t="s">
        <v>2099</v>
      </c>
      <c r="E2117" s="2" t="s">
        <v>78</v>
      </c>
      <c r="F2117" s="2" t="s">
        <v>106</v>
      </c>
      <c r="G2117" s="30" t="n">
        <v>27.4</v>
      </c>
      <c r="H2117" s="11" t="n">
        <v>369.99</v>
      </c>
      <c r="I2117" s="11" t="s">
        <v>155</v>
      </c>
      <c r="J2117" s="11" t="n">
        <v>82.1</v>
      </c>
      <c r="K2117" s="11" t="n">
        <v>82.21</v>
      </c>
      <c r="L2117" s="11" t="n">
        <v>0.37</v>
      </c>
      <c r="M2117" s="11" t="n">
        <v>0.74</v>
      </c>
      <c r="N2117" s="11" t="n">
        <v>1</v>
      </c>
      <c r="O2117" s="11" t="n">
        <v>4.5</v>
      </c>
      <c r="P2117" s="11" t="n">
        <v>1.68</v>
      </c>
      <c r="Q2117" s="11" t="n">
        <v>12.6</v>
      </c>
      <c r="R2117" s="11" t="n">
        <f aca="false">SUM(K2117:Q2117)</f>
        <v>103.1</v>
      </c>
      <c r="S2117" s="11" t="n">
        <f aca="false">R2117/(1-Resumo!$C$6)</f>
        <v>117.159090909091</v>
      </c>
      <c r="T2117" s="11" t="n">
        <f aca="false">S2117-J2117</f>
        <v>35.0590909090909</v>
      </c>
      <c r="U2117" s="12" t="n">
        <f aca="false">IFERROR(S2117/J2117-1,0)</f>
        <v>0.427029121913409</v>
      </c>
      <c r="V2117" s="2" t="str">
        <f aca="false">IF(S2117&lt;J2117,"SIM","NÃO")</f>
        <v>NÃO</v>
      </c>
      <c r="W2117" s="2" t="n">
        <v>5</v>
      </c>
      <c r="X2117" s="2" t="s">
        <v>156</v>
      </c>
    </row>
    <row r="2118" customFormat="false" ht="15" hidden="false" customHeight="false" outlineLevel="0" collapsed="false">
      <c r="A2118" s="2" t="n">
        <v>399381237</v>
      </c>
      <c r="B2118" s="29" t="n">
        <v>46290.7193634259</v>
      </c>
      <c r="C2118" s="2" t="s">
        <v>153</v>
      </c>
      <c r="D2118" s="2" t="s">
        <v>376</v>
      </c>
      <c r="E2118" s="2" t="s">
        <v>377</v>
      </c>
      <c r="F2118" s="2" t="s">
        <v>106</v>
      </c>
      <c r="G2118" s="30" t="n">
        <v>20.9</v>
      </c>
      <c r="H2118" s="11" t="n">
        <v>450.79</v>
      </c>
      <c r="I2118" s="11" t="s">
        <v>155</v>
      </c>
      <c r="J2118" s="11" t="n">
        <v>109.34</v>
      </c>
      <c r="K2118" s="11" t="n">
        <v>120.78</v>
      </c>
      <c r="L2118" s="11" t="n">
        <v>0.4508</v>
      </c>
      <c r="M2118" s="11" t="n">
        <v>0.9016</v>
      </c>
      <c r="N2118" s="11" t="n">
        <v>1</v>
      </c>
      <c r="O2118" s="11" t="n">
        <v>4.5</v>
      </c>
      <c r="P2118" s="11" t="n">
        <v>1.26</v>
      </c>
      <c r="Q2118" s="11" t="n">
        <v>9.45</v>
      </c>
      <c r="R2118" s="11" t="n">
        <f aca="false">SUM(K2118:Q2118)</f>
        <v>138.3424</v>
      </c>
      <c r="S2118" s="11" t="n">
        <f aca="false">R2118/(1-Resumo!$C$6)</f>
        <v>157.207272727273</v>
      </c>
      <c r="T2118" s="11" t="n">
        <f aca="false">S2118-J2118</f>
        <v>47.8672727272727</v>
      </c>
      <c r="U2118" s="12" t="n">
        <f aca="false">IFERROR(S2118/J2118-1,0)</f>
        <v>0.437783727156327</v>
      </c>
      <c r="V2118" s="2" t="str">
        <f aca="false">IF(S2118&lt;J2118,"SIM","NÃO")</f>
        <v>NÃO</v>
      </c>
      <c r="W2118" s="2" t="n">
        <v>10</v>
      </c>
      <c r="X2118" s="2" t="s">
        <v>161</v>
      </c>
    </row>
    <row r="2119" customFormat="false" ht="15" hidden="false" customHeight="false" outlineLevel="0" collapsed="false">
      <c r="A2119" s="2" t="n">
        <v>399393931</v>
      </c>
      <c r="B2119" s="29" t="n">
        <v>46290.7527546296</v>
      </c>
      <c r="C2119" s="2" t="s">
        <v>191</v>
      </c>
      <c r="D2119" s="2" t="s">
        <v>2100</v>
      </c>
      <c r="E2119" s="2" t="s">
        <v>78</v>
      </c>
      <c r="F2119" s="2" t="s">
        <v>107</v>
      </c>
      <c r="G2119" s="30" t="n">
        <v>36.9</v>
      </c>
      <c r="H2119" s="11" t="n">
        <v>439.99</v>
      </c>
      <c r="I2119" s="11" t="s">
        <v>155</v>
      </c>
      <c r="J2119" s="11" t="n">
        <v>91.97</v>
      </c>
      <c r="K2119" s="11" t="n">
        <v>93.97</v>
      </c>
      <c r="L2119" s="11" t="n">
        <v>0.44</v>
      </c>
      <c r="M2119" s="11" t="n">
        <v>0.88</v>
      </c>
      <c r="N2119" s="11" t="n">
        <v>1</v>
      </c>
      <c r="O2119" s="11" t="n">
        <v>4.5</v>
      </c>
      <c r="P2119" s="11" t="n">
        <v>2.22</v>
      </c>
      <c r="Q2119" s="11" t="n">
        <v>16.65</v>
      </c>
      <c r="R2119" s="11" t="n">
        <f aca="false">SUM(K2119:Q2119)</f>
        <v>119.66</v>
      </c>
      <c r="S2119" s="11" t="n">
        <f aca="false">R2119/(1-Resumo!$C$6)</f>
        <v>135.977272727273</v>
      </c>
      <c r="T2119" s="11" t="n">
        <f aca="false">S2119-J2119</f>
        <v>44.0072727272727</v>
      </c>
      <c r="U2119" s="12" t="n">
        <f aca="false">IFERROR(S2119/J2119-1,0)</f>
        <v>0.47849595223739</v>
      </c>
      <c r="V2119" s="2" t="str">
        <f aca="false">IF(S2119&lt;J2119,"SIM","NÃO")</f>
        <v>NÃO</v>
      </c>
      <c r="W2119" s="2" t="n">
        <v>5</v>
      </c>
      <c r="X2119" s="2" t="s">
        <v>156</v>
      </c>
    </row>
    <row r="2120" customFormat="false" ht="15" hidden="false" customHeight="false" outlineLevel="0" collapsed="false">
      <c r="A2120" s="2" t="n">
        <v>399444144</v>
      </c>
      <c r="B2120" s="29" t="n">
        <v>46290.8568634259</v>
      </c>
      <c r="C2120" s="2" t="s">
        <v>369</v>
      </c>
      <c r="D2120" s="2" t="s">
        <v>2101</v>
      </c>
      <c r="E2120" s="2" t="s">
        <v>88</v>
      </c>
      <c r="F2120" s="2" t="s">
        <v>105</v>
      </c>
      <c r="G2120" s="30" t="n">
        <v>16.35</v>
      </c>
      <c r="H2120" s="11" t="n">
        <v>373.99</v>
      </c>
      <c r="I2120" s="11" t="s">
        <v>155</v>
      </c>
      <c r="J2120" s="11" t="n">
        <v>80.45</v>
      </c>
      <c r="K2120" s="11" t="n">
        <v>77.35</v>
      </c>
      <c r="L2120" s="11" t="n">
        <v>0.374</v>
      </c>
      <c r="M2120" s="11" t="n">
        <v>0.748</v>
      </c>
      <c r="N2120" s="11" t="n">
        <v>1</v>
      </c>
      <c r="O2120" s="11" t="n">
        <v>4.5</v>
      </c>
      <c r="P2120" s="11" t="n">
        <v>1.02</v>
      </c>
      <c r="Q2120" s="11" t="n">
        <v>7.65</v>
      </c>
      <c r="R2120" s="11" t="n">
        <f aca="false">SUM(K2120:Q2120)</f>
        <v>92.642</v>
      </c>
      <c r="S2120" s="11" t="n">
        <f aca="false">R2120/(1-Resumo!$C$6)</f>
        <v>105.275</v>
      </c>
      <c r="T2120" s="11" t="n">
        <f aca="false">S2120-J2120</f>
        <v>24.825</v>
      </c>
      <c r="U2120" s="12" t="n">
        <f aca="false">IFERROR(S2120/J2120-1,0)</f>
        <v>0.308576755748912</v>
      </c>
      <c r="V2120" s="2" t="str">
        <f aca="false">IF(S2120&lt;J2120,"SIM","NÃO")</f>
        <v>NÃO</v>
      </c>
      <c r="W2120" s="2" t="n">
        <v>10</v>
      </c>
      <c r="X2120" s="2" t="s">
        <v>156</v>
      </c>
    </row>
    <row r="2121" customFormat="false" ht="15" hidden="false" customHeight="false" outlineLevel="0" collapsed="false">
      <c r="A2121" s="2" t="n">
        <v>399444155</v>
      </c>
      <c r="B2121" s="29" t="n">
        <v>46290.876099537</v>
      </c>
      <c r="C2121" s="2" t="s">
        <v>153</v>
      </c>
      <c r="D2121" s="2" t="s">
        <v>2102</v>
      </c>
      <c r="E2121" s="2" t="s">
        <v>169</v>
      </c>
      <c r="F2121" s="2" t="s">
        <v>109</v>
      </c>
      <c r="G2121" s="30" t="n">
        <v>52.3</v>
      </c>
      <c r="H2121" s="11" t="n">
        <v>625.99</v>
      </c>
      <c r="I2121" s="11" t="s">
        <v>155</v>
      </c>
      <c r="J2121" s="11" t="n">
        <v>142.67</v>
      </c>
      <c r="K2121" s="11" t="n">
        <v>127.03</v>
      </c>
      <c r="L2121" s="11" t="n">
        <v>0.626</v>
      </c>
      <c r="M2121" s="11" t="n">
        <v>1.252</v>
      </c>
      <c r="N2121" s="11" t="n">
        <v>1</v>
      </c>
      <c r="O2121" s="11" t="n">
        <v>4.5</v>
      </c>
      <c r="P2121" s="11" t="n">
        <v>3.18</v>
      </c>
      <c r="Q2121" s="11" t="n">
        <v>23.85</v>
      </c>
      <c r="R2121" s="11" t="n">
        <f aca="false">SUM(K2121:Q2121)</f>
        <v>161.438</v>
      </c>
      <c r="S2121" s="11" t="n">
        <f aca="false">R2121/(1-Resumo!$C$6)</f>
        <v>183.452272727273</v>
      </c>
      <c r="T2121" s="11" t="n">
        <f aca="false">S2121-J2121</f>
        <v>40.7822727272727</v>
      </c>
      <c r="U2121" s="12" t="n">
        <f aca="false">IFERROR(S2121/J2121-1,0)</f>
        <v>0.285850373079643</v>
      </c>
      <c r="V2121" s="2" t="str">
        <f aca="false">IF(S2121&lt;J2121,"SIM","NÃO")</f>
        <v>NÃO</v>
      </c>
      <c r="W2121" s="2" t="n">
        <v>6</v>
      </c>
      <c r="X2121" s="2" t="s">
        <v>161</v>
      </c>
    </row>
    <row r="2122" customFormat="false" ht="15" hidden="false" customHeight="false" outlineLevel="0" collapsed="false">
      <c r="A2122" s="2" t="n">
        <v>399459120</v>
      </c>
      <c r="B2122" s="29" t="n">
        <v>46290.915474537</v>
      </c>
      <c r="C2122" s="2" t="s">
        <v>153</v>
      </c>
      <c r="D2122" s="2" t="s">
        <v>2103</v>
      </c>
      <c r="E2122" s="2" t="s">
        <v>78</v>
      </c>
      <c r="F2122" s="2" t="s">
        <v>106</v>
      </c>
      <c r="G2122" s="30" t="n">
        <v>31</v>
      </c>
      <c r="H2122" s="11" t="n">
        <v>323.94</v>
      </c>
      <c r="I2122" s="11" t="s">
        <v>155</v>
      </c>
      <c r="J2122" s="11" t="n">
        <v>81.89</v>
      </c>
      <c r="K2122" s="11" t="n">
        <v>82.21</v>
      </c>
      <c r="L2122" s="11" t="n">
        <v>0.3239</v>
      </c>
      <c r="M2122" s="11" t="n">
        <v>0.6479</v>
      </c>
      <c r="N2122" s="11" t="n">
        <v>1</v>
      </c>
      <c r="O2122" s="11" t="n">
        <v>4.5</v>
      </c>
      <c r="P2122" s="11" t="n">
        <v>1.86</v>
      </c>
      <c r="Q2122" s="11" t="n">
        <v>13.95</v>
      </c>
      <c r="R2122" s="11" t="n">
        <f aca="false">SUM(K2122:Q2122)</f>
        <v>104.4918</v>
      </c>
      <c r="S2122" s="11" t="n">
        <f aca="false">R2122/(1-Resumo!$C$6)</f>
        <v>118.740681818182</v>
      </c>
      <c r="T2122" s="11" t="n">
        <f aca="false">S2122-J2122</f>
        <v>36.8506818181818</v>
      </c>
      <c r="U2122" s="12" t="n">
        <f aca="false">IFERROR(S2122/J2122-1,0)</f>
        <v>0.450002220273316</v>
      </c>
      <c r="V2122" s="2" t="str">
        <f aca="false">IF(S2122&lt;J2122,"SIM","NÃO")</f>
        <v>NÃO</v>
      </c>
      <c r="W2122" s="2" t="n">
        <v>5</v>
      </c>
      <c r="X2122" s="2" t="s">
        <v>156</v>
      </c>
    </row>
    <row r="2123" customFormat="false" ht="15" hidden="false" customHeight="false" outlineLevel="0" collapsed="false">
      <c r="A2123" s="2" t="n">
        <v>399480351</v>
      </c>
      <c r="B2123" s="29" t="n">
        <v>46290.9593981481</v>
      </c>
      <c r="C2123" s="2" t="s">
        <v>158</v>
      </c>
      <c r="D2123" s="2" t="s">
        <v>2104</v>
      </c>
      <c r="E2123" s="2" t="s">
        <v>78</v>
      </c>
      <c r="F2123" s="2" t="s">
        <v>114</v>
      </c>
      <c r="G2123" s="30" t="n">
        <v>134.4</v>
      </c>
      <c r="H2123" s="11" t="n">
        <v>1505.79</v>
      </c>
      <c r="I2123" s="11" t="s">
        <v>155</v>
      </c>
      <c r="J2123" s="11" t="n">
        <v>233.5</v>
      </c>
      <c r="K2123" s="11" t="n">
        <v>239.25</v>
      </c>
      <c r="L2123" s="11" t="n">
        <v>1.5058</v>
      </c>
      <c r="M2123" s="11" t="n">
        <v>3.0116</v>
      </c>
      <c r="N2123" s="11" t="n">
        <v>1</v>
      </c>
      <c r="O2123" s="11" t="n">
        <v>9</v>
      </c>
      <c r="P2123" s="11" t="n">
        <v>8.1</v>
      </c>
      <c r="Q2123" s="11" t="n">
        <v>60.75</v>
      </c>
      <c r="R2123" s="11" t="n">
        <f aca="false">SUM(K2123:Q2123)</f>
        <v>322.6174</v>
      </c>
      <c r="S2123" s="11" t="n">
        <f aca="false">R2123/(1-Resumo!$C$6)</f>
        <v>366.610681818182</v>
      </c>
      <c r="T2123" s="11" t="n">
        <f aca="false">S2123-J2123</f>
        <v>133.110681818182</v>
      </c>
      <c r="U2123" s="12" t="n">
        <f aca="false">IFERROR(S2123/J2123-1,0)</f>
        <v>0.570067159820907</v>
      </c>
      <c r="V2123" s="2" t="str">
        <f aca="false">IF(S2123&lt;J2123,"SIM","NÃO")</f>
        <v>NÃO</v>
      </c>
      <c r="W2123" s="2" t="n">
        <v>5</v>
      </c>
      <c r="X2123" s="2" t="s">
        <v>156</v>
      </c>
    </row>
    <row r="2124" customFormat="false" ht="15" hidden="false" customHeight="false" outlineLevel="0" collapsed="false">
      <c r="A2124" s="2" t="n">
        <v>399494521</v>
      </c>
      <c r="B2124" s="29" t="n">
        <v>46291.0036689815</v>
      </c>
      <c r="C2124" s="2" t="s">
        <v>183</v>
      </c>
      <c r="D2124" s="2" t="s">
        <v>2105</v>
      </c>
      <c r="E2124" s="2" t="s">
        <v>164</v>
      </c>
      <c r="F2124" s="2" t="s">
        <v>108</v>
      </c>
      <c r="G2124" s="30" t="n">
        <v>48</v>
      </c>
      <c r="H2124" s="11" t="n">
        <v>999.99</v>
      </c>
      <c r="I2124" s="11" t="s">
        <v>155</v>
      </c>
      <c r="J2124" s="11" t="n">
        <v>118.86</v>
      </c>
      <c r="K2124" s="11" t="n">
        <v>93.97</v>
      </c>
      <c r="L2124" s="11" t="n">
        <v>1</v>
      </c>
      <c r="M2124" s="11" t="n">
        <v>2</v>
      </c>
      <c r="N2124" s="11" t="n">
        <v>1</v>
      </c>
      <c r="O2124" s="11" t="n">
        <v>4.5</v>
      </c>
      <c r="P2124" s="11" t="n">
        <v>2.88</v>
      </c>
      <c r="Q2124" s="11" t="n">
        <v>21.6</v>
      </c>
      <c r="R2124" s="11" t="n">
        <f aca="false">SUM(K2124:Q2124)</f>
        <v>126.95</v>
      </c>
      <c r="S2124" s="11" t="n">
        <f aca="false">R2124/(1-Resumo!$C$6)</f>
        <v>144.261363636364</v>
      </c>
      <c r="T2124" s="11" t="n">
        <f aca="false">S2124-J2124</f>
        <v>25.4013636363636</v>
      </c>
      <c r="U2124" s="12" t="n">
        <f aca="false">IFERROR(S2124/J2124-1,0)</f>
        <v>0.213708258761262</v>
      </c>
      <c r="V2124" s="2" t="str">
        <f aca="false">IF(S2124&lt;J2124,"SIM","NÃO")</f>
        <v>NÃO</v>
      </c>
      <c r="W2124" s="2" t="n">
        <v>5</v>
      </c>
      <c r="X2124" s="2" t="s">
        <v>161</v>
      </c>
    </row>
    <row r="2125" customFormat="false" ht="15" hidden="false" customHeight="false" outlineLevel="0" collapsed="false">
      <c r="A2125" s="2" t="n">
        <v>399497805</v>
      </c>
      <c r="B2125" s="29" t="n">
        <v>46291.0162962963</v>
      </c>
      <c r="C2125" s="2" t="s">
        <v>153</v>
      </c>
      <c r="D2125" s="2" t="s">
        <v>2106</v>
      </c>
      <c r="E2125" s="2" t="s">
        <v>78</v>
      </c>
      <c r="F2125" s="2" t="s">
        <v>106</v>
      </c>
      <c r="G2125" s="30" t="n">
        <v>35</v>
      </c>
      <c r="H2125" s="11" t="n">
        <v>459.99</v>
      </c>
      <c r="I2125" s="11" t="s">
        <v>155</v>
      </c>
      <c r="J2125" s="11" t="n">
        <v>82.53</v>
      </c>
      <c r="K2125" s="11" t="n">
        <v>82.21</v>
      </c>
      <c r="L2125" s="11" t="n">
        <v>0.46</v>
      </c>
      <c r="M2125" s="11" t="n">
        <v>0.92</v>
      </c>
      <c r="N2125" s="11" t="n">
        <v>1</v>
      </c>
      <c r="O2125" s="11" t="n">
        <v>4.5</v>
      </c>
      <c r="P2125" s="11" t="n">
        <v>2.1</v>
      </c>
      <c r="Q2125" s="11" t="n">
        <v>15.75</v>
      </c>
      <c r="R2125" s="11" t="n">
        <f aca="false">SUM(K2125:Q2125)</f>
        <v>106.94</v>
      </c>
      <c r="S2125" s="11" t="n">
        <f aca="false">R2125/(1-Resumo!$C$6)</f>
        <v>121.522727272727</v>
      </c>
      <c r="T2125" s="11" t="n">
        <f aca="false">S2125-J2125</f>
        <v>38.9927272727273</v>
      </c>
      <c r="U2125" s="12" t="n">
        <f aca="false">IFERROR(S2125/J2125-1,0)</f>
        <v>0.472467312161968</v>
      </c>
      <c r="V2125" s="2" t="str">
        <f aca="false">IF(S2125&lt;J2125,"SIM","NÃO")</f>
        <v>NÃO</v>
      </c>
      <c r="W2125" s="2" t="n">
        <v>5</v>
      </c>
      <c r="X2125" s="2" t="s">
        <v>156</v>
      </c>
    </row>
    <row r="2126" customFormat="false" ht="15" hidden="false" customHeight="false" outlineLevel="0" collapsed="false">
      <c r="A2126" s="2" t="n">
        <v>399608782</v>
      </c>
      <c r="B2126" s="29" t="n">
        <v>46291.4297569445</v>
      </c>
      <c r="C2126" s="2" t="s">
        <v>153</v>
      </c>
      <c r="D2126" s="2" t="s">
        <v>2107</v>
      </c>
      <c r="E2126" s="2" t="s">
        <v>78</v>
      </c>
      <c r="F2126" s="2" t="s">
        <v>106</v>
      </c>
      <c r="G2126" s="30" t="n">
        <v>27</v>
      </c>
      <c r="H2126" s="11" t="n">
        <v>270.99</v>
      </c>
      <c r="I2126" s="11" t="s">
        <v>155</v>
      </c>
      <c r="J2126" s="11" t="n">
        <v>81.61</v>
      </c>
      <c r="K2126" s="11" t="n">
        <v>82.21</v>
      </c>
      <c r="L2126" s="11" t="n">
        <v>0.271</v>
      </c>
      <c r="M2126" s="11" t="n">
        <v>0.542</v>
      </c>
      <c r="N2126" s="11" t="n">
        <v>1</v>
      </c>
      <c r="O2126" s="11" t="n">
        <v>4.5</v>
      </c>
      <c r="P2126" s="11" t="n">
        <v>1.62</v>
      </c>
      <c r="Q2126" s="11" t="n">
        <v>12.15</v>
      </c>
      <c r="R2126" s="11" t="n">
        <f aca="false">SUM(K2126:Q2126)</f>
        <v>102.293</v>
      </c>
      <c r="S2126" s="11" t="n">
        <f aca="false">R2126/(1-Resumo!$C$6)</f>
        <v>116.242045454545</v>
      </c>
      <c r="T2126" s="11" t="n">
        <f aca="false">S2126-J2126</f>
        <v>34.6320454545455</v>
      </c>
      <c r="U2126" s="12" t="n">
        <f aca="false">IFERROR(S2126/J2126-1,0)</f>
        <v>0.424360316806096</v>
      </c>
      <c r="V2126" s="2" t="str">
        <f aca="false">IF(S2126&lt;J2126,"SIM","NÃO")</f>
        <v>NÃO</v>
      </c>
      <c r="W2126" s="2" t="n">
        <v>5</v>
      </c>
      <c r="X2126" s="2" t="s">
        <v>156</v>
      </c>
    </row>
    <row r="2127" customFormat="false" ht="15" hidden="false" customHeight="false" outlineLevel="0" collapsed="false">
      <c r="A2127" s="2" t="n">
        <v>399626447</v>
      </c>
      <c r="B2127" s="29" t="n">
        <v>46291.4722800926</v>
      </c>
      <c r="C2127" s="2" t="s">
        <v>153</v>
      </c>
      <c r="D2127" s="2" t="s">
        <v>2108</v>
      </c>
      <c r="E2127" s="2" t="s">
        <v>78</v>
      </c>
      <c r="F2127" s="2" t="s">
        <v>106</v>
      </c>
      <c r="G2127" s="30" t="n">
        <v>30.5</v>
      </c>
      <c r="H2127" s="11" t="n">
        <v>406.6</v>
      </c>
      <c r="I2127" s="11" t="s">
        <v>155</v>
      </c>
      <c r="J2127" s="11" t="n">
        <v>82.26</v>
      </c>
      <c r="K2127" s="11" t="n">
        <v>82.21</v>
      </c>
      <c r="L2127" s="11" t="n">
        <v>0.4066</v>
      </c>
      <c r="M2127" s="11" t="n">
        <v>0.8132</v>
      </c>
      <c r="N2127" s="11" t="n">
        <v>1</v>
      </c>
      <c r="O2127" s="11" t="n">
        <v>4.5</v>
      </c>
      <c r="P2127" s="11" t="n">
        <v>1.86</v>
      </c>
      <c r="Q2127" s="11" t="n">
        <v>13.95</v>
      </c>
      <c r="R2127" s="11" t="n">
        <f aca="false">SUM(K2127:Q2127)</f>
        <v>104.7398</v>
      </c>
      <c r="S2127" s="11" t="n">
        <f aca="false">R2127/(1-Resumo!$C$6)</f>
        <v>119.0225</v>
      </c>
      <c r="T2127" s="11" t="n">
        <f aca="false">S2127-J2127</f>
        <v>36.7625</v>
      </c>
      <c r="U2127" s="12" t="n">
        <f aca="false">IFERROR(S2127/J2127-1,0)</f>
        <v>0.446906151227814</v>
      </c>
      <c r="V2127" s="2" t="str">
        <f aca="false">IF(S2127&lt;J2127,"SIM","NÃO")</f>
        <v>NÃO</v>
      </c>
      <c r="W2127" s="2" t="n">
        <v>5</v>
      </c>
      <c r="X2127" s="2" t="s">
        <v>156</v>
      </c>
    </row>
    <row r="2128" customFormat="false" ht="15" hidden="false" customHeight="false" outlineLevel="0" collapsed="false">
      <c r="A2128" s="2" t="n">
        <v>399647413</v>
      </c>
      <c r="B2128" s="29" t="n">
        <v>46291.4967361111</v>
      </c>
      <c r="C2128" s="2" t="s">
        <v>369</v>
      </c>
      <c r="D2128" s="2" t="s">
        <v>2109</v>
      </c>
      <c r="E2128" s="2" t="s">
        <v>79</v>
      </c>
      <c r="F2128" s="2" t="s">
        <v>108</v>
      </c>
      <c r="G2128" s="30" t="n">
        <v>48</v>
      </c>
      <c r="H2128" s="11" t="n">
        <v>859.99</v>
      </c>
      <c r="I2128" s="11" t="s">
        <v>155</v>
      </c>
      <c r="J2128" s="11" t="n">
        <v>118.19</v>
      </c>
      <c r="K2128" s="11" t="n">
        <v>114.95</v>
      </c>
      <c r="L2128" s="11" t="n">
        <v>0.86</v>
      </c>
      <c r="M2128" s="11" t="n">
        <v>1.72</v>
      </c>
      <c r="N2128" s="11" t="n">
        <v>1</v>
      </c>
      <c r="O2128" s="11" t="n">
        <v>4.5</v>
      </c>
      <c r="P2128" s="11" t="n">
        <v>2.88</v>
      </c>
      <c r="Q2128" s="11" t="n">
        <v>21.6</v>
      </c>
      <c r="R2128" s="11" t="n">
        <f aca="false">SUM(K2128:Q2128)</f>
        <v>147.51</v>
      </c>
      <c r="S2128" s="11" t="n">
        <f aca="false">R2128/(1-Resumo!$C$6)</f>
        <v>167.625</v>
      </c>
      <c r="T2128" s="11" t="n">
        <f aca="false">S2128-J2128</f>
        <v>49.435</v>
      </c>
      <c r="U2128" s="12" t="n">
        <f aca="false">IFERROR(S2128/J2128-1,0)</f>
        <v>0.418267196886369</v>
      </c>
      <c r="V2128" s="2" t="str">
        <f aca="false">IF(S2128&lt;J2128,"SIM","NÃO")</f>
        <v>NÃO</v>
      </c>
      <c r="W2128" s="2" t="n">
        <v>7</v>
      </c>
      <c r="X2128" s="2" t="s">
        <v>156</v>
      </c>
    </row>
    <row r="2129" customFormat="false" ht="15" hidden="false" customHeight="false" outlineLevel="0" collapsed="false">
      <c r="A2129" s="2" t="n">
        <v>399648217</v>
      </c>
      <c r="B2129" s="29" t="n">
        <v>46291.5003472222</v>
      </c>
      <c r="C2129" s="2" t="s">
        <v>369</v>
      </c>
      <c r="D2129" s="2" t="s">
        <v>1665</v>
      </c>
      <c r="E2129" s="2" t="s">
        <v>78</v>
      </c>
      <c r="F2129" s="2" t="s">
        <v>106</v>
      </c>
      <c r="G2129" s="30" t="n">
        <v>27.6</v>
      </c>
      <c r="H2129" s="11" t="n">
        <v>535.49</v>
      </c>
      <c r="I2129" s="11" t="s">
        <v>155</v>
      </c>
      <c r="J2129" s="11" t="n">
        <v>82.89</v>
      </c>
      <c r="K2129" s="11" t="n">
        <v>82.21</v>
      </c>
      <c r="L2129" s="11" t="n">
        <v>0.5355</v>
      </c>
      <c r="M2129" s="11" t="n">
        <v>1.071</v>
      </c>
      <c r="N2129" s="11" t="n">
        <v>1</v>
      </c>
      <c r="O2129" s="11" t="n">
        <v>4.5</v>
      </c>
      <c r="P2129" s="11" t="n">
        <v>1.68</v>
      </c>
      <c r="Q2129" s="11" t="n">
        <v>12.6</v>
      </c>
      <c r="R2129" s="11" t="n">
        <f aca="false">SUM(K2129:Q2129)</f>
        <v>103.5965</v>
      </c>
      <c r="S2129" s="11" t="n">
        <f aca="false">R2129/(1-Resumo!$C$6)</f>
        <v>117.723295454545</v>
      </c>
      <c r="T2129" s="11" t="n">
        <f aca="false">S2129-J2129</f>
        <v>34.8332954545455</v>
      </c>
      <c r="U2129" s="12" t="n">
        <f aca="false">IFERROR(S2129/J2129-1,0)</f>
        <v>0.420235196700995</v>
      </c>
      <c r="V2129" s="2" t="str">
        <f aca="false">IF(S2129&lt;J2129,"SIM","NÃO")</f>
        <v>NÃO</v>
      </c>
      <c r="W2129" s="2" t="n">
        <v>5</v>
      </c>
      <c r="X2129" s="2" t="s">
        <v>156</v>
      </c>
    </row>
    <row r="2130" customFormat="false" ht="15" hidden="false" customHeight="false" outlineLevel="0" collapsed="false">
      <c r="A2130" s="2" t="n">
        <v>399653391</v>
      </c>
      <c r="B2130" s="29" t="n">
        <v>46291.5301273148</v>
      </c>
      <c r="C2130" s="2" t="s">
        <v>153</v>
      </c>
      <c r="D2130" s="2" t="s">
        <v>909</v>
      </c>
      <c r="E2130" s="2" t="s">
        <v>78</v>
      </c>
      <c r="F2130" s="2" t="s">
        <v>108</v>
      </c>
      <c r="G2130" s="30" t="n">
        <v>48</v>
      </c>
      <c r="H2130" s="11" t="n">
        <v>828.99</v>
      </c>
      <c r="I2130" s="11" t="s">
        <v>155</v>
      </c>
      <c r="J2130" s="11" t="n">
        <v>104.57</v>
      </c>
      <c r="K2130" s="11" t="n">
        <v>93.97</v>
      </c>
      <c r="L2130" s="11" t="n">
        <v>0.829</v>
      </c>
      <c r="M2130" s="11" t="n">
        <v>1.658</v>
      </c>
      <c r="N2130" s="11" t="n">
        <v>1</v>
      </c>
      <c r="O2130" s="11" t="n">
        <v>4.5</v>
      </c>
      <c r="P2130" s="11" t="n">
        <v>2.88</v>
      </c>
      <c r="Q2130" s="11" t="n">
        <v>21.6</v>
      </c>
      <c r="R2130" s="11" t="n">
        <f aca="false">SUM(K2130:Q2130)</f>
        <v>126.437</v>
      </c>
      <c r="S2130" s="11" t="n">
        <f aca="false">R2130/(1-Resumo!$C$6)</f>
        <v>143.678409090909</v>
      </c>
      <c r="T2130" s="11" t="n">
        <f aca="false">S2130-J2130</f>
        <v>39.1084090909091</v>
      </c>
      <c r="U2130" s="12" t="n">
        <f aca="false">IFERROR(S2130/J2130-1,0)</f>
        <v>0.373992627817817</v>
      </c>
      <c r="V2130" s="2" t="str">
        <f aca="false">IF(S2130&lt;J2130,"SIM","NÃO")</f>
        <v>NÃO</v>
      </c>
      <c r="W2130" s="2" t="n">
        <v>5</v>
      </c>
      <c r="X2130" s="2" t="s">
        <v>156</v>
      </c>
    </row>
    <row r="2131" customFormat="false" ht="15" hidden="false" customHeight="false" outlineLevel="0" collapsed="false">
      <c r="A2131" s="2" t="n">
        <v>399663599</v>
      </c>
      <c r="B2131" s="29" t="n">
        <v>46291.5522685185</v>
      </c>
      <c r="C2131" s="2" t="s">
        <v>153</v>
      </c>
      <c r="D2131" s="2" t="s">
        <v>2110</v>
      </c>
      <c r="E2131" s="2" t="s">
        <v>79</v>
      </c>
      <c r="F2131" s="2" t="s">
        <v>105</v>
      </c>
      <c r="G2131" s="30" t="n">
        <v>15</v>
      </c>
      <c r="H2131" s="11" t="n">
        <v>249.99</v>
      </c>
      <c r="I2131" s="11" t="s">
        <v>155</v>
      </c>
      <c r="J2131" s="11" t="n">
        <v>75.03</v>
      </c>
      <c r="K2131" s="11" t="n">
        <v>57.47</v>
      </c>
      <c r="L2131" s="11" t="n">
        <v>0.25</v>
      </c>
      <c r="M2131" s="11" t="n">
        <v>0.5</v>
      </c>
      <c r="N2131" s="11" t="n">
        <v>1</v>
      </c>
      <c r="O2131" s="11" t="n">
        <v>4.5</v>
      </c>
      <c r="P2131" s="11" t="n">
        <v>0.9</v>
      </c>
      <c r="Q2131" s="11" t="n">
        <v>6.75</v>
      </c>
      <c r="R2131" s="11" t="n">
        <f aca="false">SUM(K2131:Q2131)</f>
        <v>71.37</v>
      </c>
      <c r="S2131" s="11" t="n">
        <f aca="false">R2131/(1-Resumo!$C$6)</f>
        <v>81.1022727272727</v>
      </c>
      <c r="T2131" s="11" t="n">
        <f aca="false">S2131-J2131</f>
        <v>6.07227272727273</v>
      </c>
      <c r="U2131" s="12" t="n">
        <f aca="false">IFERROR(S2131/J2131-1,0)</f>
        <v>0.0809312638580932</v>
      </c>
      <c r="V2131" s="2" t="str">
        <f aca="false">IF(S2131&lt;J2131,"SIM","NÃO")</f>
        <v>NÃO</v>
      </c>
      <c r="W2131" s="2" t="n">
        <v>7</v>
      </c>
      <c r="X2131" s="2" t="s">
        <v>156</v>
      </c>
    </row>
    <row r="2132" customFormat="false" ht="15" hidden="false" customHeight="false" outlineLevel="0" collapsed="false">
      <c r="A2132" s="2" t="n">
        <v>399677587</v>
      </c>
      <c r="B2132" s="29" t="n">
        <v>46291.5828240741</v>
      </c>
      <c r="C2132" s="2" t="s">
        <v>191</v>
      </c>
      <c r="D2132" s="2" t="s">
        <v>2111</v>
      </c>
      <c r="E2132" s="2" t="s">
        <v>78</v>
      </c>
      <c r="F2132" s="2" t="s">
        <v>107</v>
      </c>
      <c r="G2132" s="30" t="n">
        <v>40</v>
      </c>
      <c r="H2132" s="11" t="n">
        <v>599.99</v>
      </c>
      <c r="I2132" s="11" t="s">
        <v>155</v>
      </c>
      <c r="J2132" s="11" t="n">
        <v>92.73</v>
      </c>
      <c r="K2132" s="11" t="n">
        <v>93.97</v>
      </c>
      <c r="L2132" s="11" t="n">
        <v>0.6</v>
      </c>
      <c r="M2132" s="11" t="n">
        <v>1.2</v>
      </c>
      <c r="N2132" s="11" t="n">
        <v>1</v>
      </c>
      <c r="O2132" s="11" t="n">
        <v>4.5</v>
      </c>
      <c r="P2132" s="11" t="n">
        <v>2.4</v>
      </c>
      <c r="Q2132" s="11" t="n">
        <v>18</v>
      </c>
      <c r="R2132" s="11" t="n">
        <f aca="false">SUM(K2132:Q2132)</f>
        <v>121.67</v>
      </c>
      <c r="S2132" s="11" t="n">
        <f aca="false">R2132/(1-Resumo!$C$6)</f>
        <v>138.261363636364</v>
      </c>
      <c r="T2132" s="11" t="n">
        <f aca="false">S2132-J2132</f>
        <v>45.5313636363636</v>
      </c>
      <c r="U2132" s="12" t="n">
        <f aca="false">IFERROR(S2132/J2132-1,0)</f>
        <v>0.491010068331323</v>
      </c>
      <c r="V2132" s="2" t="str">
        <f aca="false">IF(S2132&lt;J2132,"SIM","NÃO")</f>
        <v>NÃO</v>
      </c>
      <c r="W2132" s="2" t="n">
        <v>5</v>
      </c>
      <c r="X2132" s="2" t="s">
        <v>156</v>
      </c>
    </row>
    <row r="2133" customFormat="false" ht="15" hidden="false" customHeight="false" outlineLevel="0" collapsed="false">
      <c r="A2133" s="2" t="n">
        <v>399697333</v>
      </c>
      <c r="B2133" s="29" t="n">
        <v>46291.6246759259</v>
      </c>
      <c r="C2133" s="2" t="s">
        <v>158</v>
      </c>
      <c r="D2133" s="2" t="s">
        <v>2112</v>
      </c>
      <c r="E2133" s="2" t="s">
        <v>78</v>
      </c>
      <c r="F2133" s="2" t="s">
        <v>108</v>
      </c>
      <c r="G2133" s="30" t="n">
        <v>49.6</v>
      </c>
      <c r="H2133" s="11" t="n">
        <v>779.99</v>
      </c>
      <c r="I2133" s="11" t="s">
        <v>155</v>
      </c>
      <c r="J2133" s="11" t="n">
        <v>104.33</v>
      </c>
      <c r="K2133" s="11" t="n">
        <v>93.97</v>
      </c>
      <c r="L2133" s="11" t="n">
        <v>0.78</v>
      </c>
      <c r="M2133" s="11" t="n">
        <v>1.56</v>
      </c>
      <c r="N2133" s="11" t="n">
        <v>1</v>
      </c>
      <c r="O2133" s="11" t="n">
        <v>4.5</v>
      </c>
      <c r="P2133" s="11" t="n">
        <v>3</v>
      </c>
      <c r="Q2133" s="11" t="n">
        <v>22.5</v>
      </c>
      <c r="R2133" s="11" t="n">
        <f aca="false">SUM(K2133:Q2133)</f>
        <v>127.31</v>
      </c>
      <c r="S2133" s="11" t="n">
        <f aca="false">R2133/(1-Resumo!$C$6)</f>
        <v>144.670454545455</v>
      </c>
      <c r="T2133" s="11" t="n">
        <f aca="false">S2133-J2133</f>
        <v>40.3404545454546</v>
      </c>
      <c r="U2133" s="12" t="n">
        <f aca="false">IFERROR(S2133/J2133-1,0)</f>
        <v>0.386662077498846</v>
      </c>
      <c r="V2133" s="2" t="str">
        <f aca="false">IF(S2133&lt;J2133,"SIM","NÃO")</f>
        <v>NÃO</v>
      </c>
      <c r="W2133" s="2" t="n">
        <v>5</v>
      </c>
      <c r="X2133" s="2" t="s">
        <v>156</v>
      </c>
    </row>
    <row r="2134" customFormat="false" ht="15" hidden="false" customHeight="false" outlineLevel="0" collapsed="false">
      <c r="A2134" s="2" t="n">
        <v>399709044</v>
      </c>
      <c r="B2134" s="29" t="n">
        <v>46291.6550694444</v>
      </c>
      <c r="C2134" s="2" t="s">
        <v>158</v>
      </c>
      <c r="D2134" s="2" t="s">
        <v>2113</v>
      </c>
      <c r="E2134" s="2" t="s">
        <v>83</v>
      </c>
      <c r="F2134" s="2" t="s">
        <v>107</v>
      </c>
      <c r="G2134" s="30" t="n">
        <v>36</v>
      </c>
      <c r="H2134" s="11" t="n">
        <v>383</v>
      </c>
      <c r="I2134" s="11" t="s">
        <v>155</v>
      </c>
      <c r="J2134" s="11" t="n">
        <v>122.09</v>
      </c>
      <c r="K2134" s="11" t="n">
        <v>143.04</v>
      </c>
      <c r="L2134" s="11" t="n">
        <v>0.383</v>
      </c>
      <c r="M2134" s="11" t="n">
        <v>0.766</v>
      </c>
      <c r="N2134" s="11" t="n">
        <v>1</v>
      </c>
      <c r="O2134" s="11" t="n">
        <v>4.5</v>
      </c>
      <c r="P2134" s="11" t="n">
        <v>2.16</v>
      </c>
      <c r="Q2134" s="11" t="n">
        <v>16.2</v>
      </c>
      <c r="R2134" s="11" t="n">
        <f aca="false">SUM(K2134:Q2134)</f>
        <v>168.049</v>
      </c>
      <c r="S2134" s="11" t="n">
        <f aca="false">R2134/(1-Resumo!$C$6)</f>
        <v>190.964772727273</v>
      </c>
      <c r="T2134" s="11" t="n">
        <f aca="false">S2134-J2134</f>
        <v>68.8747727272727</v>
      </c>
      <c r="U2134" s="12" t="n">
        <f aca="false">IFERROR(S2134/J2134-1,0)</f>
        <v>0.564131155109122</v>
      </c>
      <c r="V2134" s="2" t="str">
        <f aca="false">IF(S2134&lt;J2134,"SIM","NÃO")</f>
        <v>NÃO</v>
      </c>
      <c r="W2134" s="2" t="n">
        <v>11</v>
      </c>
      <c r="X2134" s="2" t="s">
        <v>156</v>
      </c>
    </row>
    <row r="2135" customFormat="false" ht="15" hidden="false" customHeight="false" outlineLevel="0" collapsed="false">
      <c r="A2135" s="2" t="n">
        <v>399709578</v>
      </c>
      <c r="B2135" s="29" t="n">
        <v>46291.6562847222</v>
      </c>
      <c r="C2135" s="2" t="s">
        <v>158</v>
      </c>
      <c r="D2135" s="2" t="s">
        <v>2114</v>
      </c>
      <c r="E2135" s="2" t="s">
        <v>97</v>
      </c>
      <c r="F2135" s="2" t="s">
        <v>107</v>
      </c>
      <c r="G2135" s="30" t="n">
        <v>40</v>
      </c>
      <c r="H2135" s="11" t="n">
        <v>649.99</v>
      </c>
      <c r="I2135" s="11" t="s">
        <v>155</v>
      </c>
      <c r="J2135" s="11" t="n">
        <v>123.36</v>
      </c>
      <c r="K2135" s="11" t="n">
        <v>124.38</v>
      </c>
      <c r="L2135" s="11" t="n">
        <v>0.65</v>
      </c>
      <c r="M2135" s="11" t="n">
        <v>1.3</v>
      </c>
      <c r="N2135" s="11" t="n">
        <v>1</v>
      </c>
      <c r="O2135" s="11" t="n">
        <v>4.5</v>
      </c>
      <c r="P2135" s="11" t="n">
        <v>2.4</v>
      </c>
      <c r="Q2135" s="11" t="n">
        <v>18</v>
      </c>
      <c r="R2135" s="11" t="n">
        <f aca="false">SUM(K2135:Q2135)</f>
        <v>152.23</v>
      </c>
      <c r="S2135" s="11" t="n">
        <f aca="false">R2135/(1-Resumo!$C$6)</f>
        <v>172.988636363636</v>
      </c>
      <c r="T2135" s="11" t="n">
        <f aca="false">S2135-J2135</f>
        <v>49.6286363636363</v>
      </c>
      <c r="U2135" s="12" t="n">
        <f aca="false">IFERROR(S2135/J2135-1,0)</f>
        <v>0.402307363518453</v>
      </c>
      <c r="V2135" s="2" t="str">
        <f aca="false">IF(S2135&lt;J2135,"SIM","NÃO")</f>
        <v>NÃO</v>
      </c>
      <c r="W2135" s="2" t="n">
        <v>10</v>
      </c>
      <c r="X2135" s="2" t="s">
        <v>156</v>
      </c>
    </row>
    <row r="2136" customFormat="false" ht="15" hidden="false" customHeight="false" outlineLevel="0" collapsed="false">
      <c r="A2136" s="2" t="n">
        <v>399712769</v>
      </c>
      <c r="B2136" s="29" t="n">
        <v>46291.6652662037</v>
      </c>
      <c r="C2136" s="2" t="s">
        <v>153</v>
      </c>
      <c r="D2136" s="2" t="s">
        <v>2115</v>
      </c>
      <c r="E2136" s="2" t="s">
        <v>260</v>
      </c>
      <c r="F2136" s="2" t="s">
        <v>110</v>
      </c>
      <c r="G2136" s="30" t="n">
        <v>69.6</v>
      </c>
      <c r="H2136" s="11" t="n">
        <v>839.99</v>
      </c>
      <c r="I2136" s="11" t="s">
        <v>155</v>
      </c>
      <c r="J2136" s="11" t="n">
        <v>156.05</v>
      </c>
      <c r="K2136" s="11" t="n">
        <v>166.05</v>
      </c>
      <c r="L2136" s="11" t="n">
        <v>0.84</v>
      </c>
      <c r="M2136" s="11" t="n">
        <v>1.68</v>
      </c>
      <c r="N2136" s="11" t="n">
        <v>1</v>
      </c>
      <c r="O2136" s="11" t="n">
        <v>4.5</v>
      </c>
      <c r="P2136" s="11" t="n">
        <v>4.2</v>
      </c>
      <c r="Q2136" s="11" t="n">
        <v>31.5</v>
      </c>
      <c r="R2136" s="11" t="n">
        <f aca="false">SUM(K2136:Q2136)</f>
        <v>209.77</v>
      </c>
      <c r="S2136" s="11" t="n">
        <f aca="false">R2136/(1-Resumo!$C$6)</f>
        <v>238.375</v>
      </c>
      <c r="T2136" s="11" t="n">
        <f aca="false">S2136-J2136</f>
        <v>82.325</v>
      </c>
      <c r="U2136" s="12" t="n">
        <f aca="false">IFERROR(S2136/J2136-1,0)</f>
        <v>0.527555270746555</v>
      </c>
      <c r="V2136" s="2" t="str">
        <f aca="false">IF(S2136&lt;J2136,"SIM","NÃO")</f>
        <v>NÃO</v>
      </c>
      <c r="W2136" s="2" t="n">
        <v>10</v>
      </c>
      <c r="X2136" s="2" t="s">
        <v>161</v>
      </c>
    </row>
    <row r="2137" customFormat="false" ht="15" hidden="false" customHeight="false" outlineLevel="0" collapsed="false">
      <c r="A2137" s="2" t="n">
        <v>399730709</v>
      </c>
      <c r="B2137" s="29" t="n">
        <v>46291.7109259259</v>
      </c>
      <c r="C2137" s="2" t="s">
        <v>191</v>
      </c>
      <c r="D2137" s="2" t="s">
        <v>2116</v>
      </c>
      <c r="E2137" s="2" t="s">
        <v>78</v>
      </c>
      <c r="F2137" s="2" t="s">
        <v>108</v>
      </c>
      <c r="G2137" s="30" t="n">
        <v>45.3</v>
      </c>
      <c r="H2137" s="11" t="n">
        <v>679.99</v>
      </c>
      <c r="I2137" s="11" t="s">
        <v>155</v>
      </c>
      <c r="J2137" s="11" t="n">
        <v>103.84</v>
      </c>
      <c r="K2137" s="11" t="n">
        <v>93.97</v>
      </c>
      <c r="L2137" s="11" t="n">
        <v>0.68</v>
      </c>
      <c r="M2137" s="11" t="n">
        <v>1.36</v>
      </c>
      <c r="N2137" s="11" t="n">
        <v>1</v>
      </c>
      <c r="O2137" s="11" t="n">
        <v>4.5</v>
      </c>
      <c r="P2137" s="11" t="n">
        <v>2.76</v>
      </c>
      <c r="Q2137" s="11" t="n">
        <v>20.7</v>
      </c>
      <c r="R2137" s="11" t="n">
        <f aca="false">SUM(K2137:Q2137)</f>
        <v>124.97</v>
      </c>
      <c r="S2137" s="11" t="n">
        <f aca="false">R2137/(1-Resumo!$C$6)</f>
        <v>142.011363636364</v>
      </c>
      <c r="T2137" s="11" t="n">
        <f aca="false">S2137-J2137</f>
        <v>38.1713636363636</v>
      </c>
      <c r="U2137" s="12" t="n">
        <f aca="false">IFERROR(S2137/J2137-1,0)</f>
        <v>0.367597877854041</v>
      </c>
      <c r="V2137" s="2" t="str">
        <f aca="false">IF(S2137&lt;J2137,"SIM","NÃO")</f>
        <v>NÃO</v>
      </c>
      <c r="W2137" s="2" t="n">
        <v>5</v>
      </c>
      <c r="X2137" s="2" t="s">
        <v>156</v>
      </c>
    </row>
    <row r="2138" customFormat="false" ht="15" hidden="false" customHeight="false" outlineLevel="0" collapsed="false">
      <c r="A2138" s="2" t="n">
        <v>399737121</v>
      </c>
      <c r="B2138" s="29" t="n">
        <v>46291.7183101852</v>
      </c>
      <c r="C2138" s="2" t="s">
        <v>153</v>
      </c>
      <c r="D2138" s="2" t="s">
        <v>492</v>
      </c>
      <c r="E2138" s="2" t="s">
        <v>493</v>
      </c>
      <c r="F2138" s="2" t="s">
        <v>109</v>
      </c>
      <c r="G2138" s="30" t="n">
        <v>52.3</v>
      </c>
      <c r="H2138" s="11" t="n">
        <v>653.04</v>
      </c>
      <c r="I2138" s="11" t="s">
        <v>155</v>
      </c>
      <c r="J2138" s="11" t="n">
        <v>142.81</v>
      </c>
      <c r="K2138" s="11" t="n">
        <v>142.32</v>
      </c>
      <c r="L2138" s="11" t="n">
        <v>0.653</v>
      </c>
      <c r="M2138" s="11" t="n">
        <v>1.3061</v>
      </c>
      <c r="N2138" s="11" t="n">
        <v>1</v>
      </c>
      <c r="O2138" s="11" t="n">
        <v>4.5</v>
      </c>
      <c r="P2138" s="11" t="n">
        <v>3.18</v>
      </c>
      <c r="Q2138" s="11" t="n">
        <v>23.85</v>
      </c>
      <c r="R2138" s="11" t="n">
        <f aca="false">SUM(K2138:Q2138)</f>
        <v>176.8091</v>
      </c>
      <c r="S2138" s="11" t="n">
        <f aca="false">R2138/(1-Resumo!$C$6)</f>
        <v>200.919431818182</v>
      </c>
      <c r="T2138" s="11" t="n">
        <f aca="false">S2138-J2138</f>
        <v>58.1094318181818</v>
      </c>
      <c r="U2138" s="12" t="n">
        <f aca="false">IFERROR(S2138/J2138-1,0)</f>
        <v>0.406900299826215</v>
      </c>
      <c r="V2138" s="2" t="str">
        <f aca="false">IF(S2138&lt;J2138,"SIM","NÃO")</f>
        <v>NÃO</v>
      </c>
      <c r="W2138" s="2" t="n">
        <v>10</v>
      </c>
      <c r="X2138" s="2" t="s">
        <v>161</v>
      </c>
    </row>
    <row r="2139" customFormat="false" ht="15" hidden="false" customHeight="false" outlineLevel="0" collapsed="false">
      <c r="A2139" s="2" t="n">
        <v>399762199</v>
      </c>
      <c r="B2139" s="29" t="n">
        <v>46291.7826967593</v>
      </c>
      <c r="C2139" s="2" t="s">
        <v>153</v>
      </c>
      <c r="D2139" s="2" t="s">
        <v>2117</v>
      </c>
      <c r="E2139" s="2" t="s">
        <v>79</v>
      </c>
      <c r="F2139" s="2" t="s">
        <v>109</v>
      </c>
      <c r="G2139" s="30" t="n">
        <v>52.3</v>
      </c>
      <c r="H2139" s="11" t="n">
        <v>636.83</v>
      </c>
      <c r="I2139" s="11" t="s">
        <v>155</v>
      </c>
      <c r="J2139" s="11" t="n">
        <v>128.33</v>
      </c>
      <c r="K2139" s="11" t="n">
        <v>128.14</v>
      </c>
      <c r="L2139" s="11" t="n">
        <v>0.6368</v>
      </c>
      <c r="M2139" s="11" t="n">
        <v>1.2737</v>
      </c>
      <c r="N2139" s="11" t="n">
        <v>1</v>
      </c>
      <c r="O2139" s="11" t="n">
        <v>4.5</v>
      </c>
      <c r="P2139" s="11" t="n">
        <v>3.18</v>
      </c>
      <c r="Q2139" s="11" t="n">
        <v>23.85</v>
      </c>
      <c r="R2139" s="11" t="n">
        <f aca="false">SUM(K2139:Q2139)</f>
        <v>162.5805</v>
      </c>
      <c r="S2139" s="11" t="n">
        <f aca="false">R2139/(1-Resumo!$C$6)</f>
        <v>184.750568181818</v>
      </c>
      <c r="T2139" s="11" t="n">
        <f aca="false">S2139-J2139</f>
        <v>56.4205681818181</v>
      </c>
      <c r="U2139" s="12" t="n">
        <f aca="false">IFERROR(S2139/J2139-1,0)</f>
        <v>0.439652210565091</v>
      </c>
      <c r="V2139" s="2" t="str">
        <f aca="false">IF(S2139&lt;J2139,"SIM","NÃO")</f>
        <v>NÃO</v>
      </c>
      <c r="W2139" s="2" t="n">
        <v>7</v>
      </c>
      <c r="X2139" s="2" t="s">
        <v>156</v>
      </c>
    </row>
    <row r="2140" customFormat="false" ht="15" hidden="false" customHeight="false" outlineLevel="0" collapsed="false">
      <c r="A2140" s="2" t="n">
        <v>399784240</v>
      </c>
      <c r="B2140" s="29" t="n">
        <v>46291.8191550926</v>
      </c>
      <c r="C2140" s="2" t="s">
        <v>369</v>
      </c>
      <c r="D2140" s="2" t="s">
        <v>2118</v>
      </c>
      <c r="E2140" s="2" t="s">
        <v>78</v>
      </c>
      <c r="F2140" s="2" t="s">
        <v>108</v>
      </c>
      <c r="G2140" s="30" t="n">
        <v>41</v>
      </c>
      <c r="H2140" s="11" t="n">
        <v>499.79</v>
      </c>
      <c r="I2140" s="11" t="s">
        <v>155</v>
      </c>
      <c r="J2140" s="11" t="n">
        <v>102.98</v>
      </c>
      <c r="K2140" s="11" t="n">
        <v>93.97</v>
      </c>
      <c r="L2140" s="11" t="n">
        <v>0.4998</v>
      </c>
      <c r="M2140" s="11" t="n">
        <v>0.9996</v>
      </c>
      <c r="N2140" s="11" t="n">
        <v>1</v>
      </c>
      <c r="O2140" s="11" t="n">
        <v>4.5</v>
      </c>
      <c r="P2140" s="11" t="n">
        <v>2.46</v>
      </c>
      <c r="Q2140" s="11" t="n">
        <v>18.45</v>
      </c>
      <c r="R2140" s="11" t="n">
        <f aca="false">SUM(K2140:Q2140)</f>
        <v>121.8794</v>
      </c>
      <c r="S2140" s="11" t="n">
        <f aca="false">R2140/(1-Resumo!$C$6)</f>
        <v>138.499318181818</v>
      </c>
      <c r="T2140" s="11" t="n">
        <f aca="false">S2140-J2140</f>
        <v>35.5193181818182</v>
      </c>
      <c r="U2140" s="12" t="n">
        <f aca="false">IFERROR(S2140/J2140-1,0)</f>
        <v>0.344914723070676</v>
      </c>
      <c r="V2140" s="2" t="str">
        <f aca="false">IF(S2140&lt;J2140,"SIM","NÃO")</f>
        <v>NÃO</v>
      </c>
      <c r="W2140" s="2" t="n">
        <v>5</v>
      </c>
      <c r="X2140" s="2" t="s">
        <v>156</v>
      </c>
    </row>
    <row r="2141" customFormat="false" ht="15" hidden="false" customHeight="false" outlineLevel="0" collapsed="false">
      <c r="A2141" s="2" t="n">
        <v>399786001</v>
      </c>
      <c r="B2141" s="29" t="n">
        <v>46291.8481597222</v>
      </c>
      <c r="C2141" s="2" t="s">
        <v>191</v>
      </c>
      <c r="D2141" s="2" t="s">
        <v>2119</v>
      </c>
      <c r="E2141" s="2" t="s">
        <v>81</v>
      </c>
      <c r="F2141" s="2" t="s">
        <v>108</v>
      </c>
      <c r="G2141" s="30" t="n">
        <v>48</v>
      </c>
      <c r="H2141" s="11" t="n">
        <v>1014.99</v>
      </c>
      <c r="I2141" s="11" t="s">
        <v>155</v>
      </c>
      <c r="J2141" s="11" t="n">
        <v>118.94</v>
      </c>
      <c r="K2141" s="11" t="n">
        <v>93.97</v>
      </c>
      <c r="L2141" s="11" t="n">
        <v>1.015</v>
      </c>
      <c r="M2141" s="11" t="n">
        <v>2.03</v>
      </c>
      <c r="N2141" s="11" t="n">
        <v>1</v>
      </c>
      <c r="O2141" s="11" t="n">
        <v>4.5</v>
      </c>
      <c r="P2141" s="11" t="n">
        <v>2.88</v>
      </c>
      <c r="Q2141" s="11" t="n">
        <v>21.6</v>
      </c>
      <c r="R2141" s="11" t="n">
        <f aca="false">SUM(K2141:Q2141)</f>
        <v>126.995</v>
      </c>
      <c r="S2141" s="11" t="n">
        <f aca="false">R2141/(1-Resumo!$C$6)</f>
        <v>144.3125</v>
      </c>
      <c r="T2141" s="11" t="n">
        <f aca="false">S2141-J2141</f>
        <v>25.3725</v>
      </c>
      <c r="U2141" s="12" t="n">
        <f aca="false">IFERROR(S2141/J2141-1,0)</f>
        <v>0.213321842946023</v>
      </c>
      <c r="V2141" s="2" t="str">
        <f aca="false">IF(S2141&lt;J2141,"SIM","NÃO")</f>
        <v>NÃO</v>
      </c>
      <c r="W2141" s="2" t="n">
        <v>5</v>
      </c>
      <c r="X2141" s="2" t="s">
        <v>156</v>
      </c>
    </row>
    <row r="2142" customFormat="false" ht="15" hidden="false" customHeight="false" outlineLevel="0" collapsed="false">
      <c r="A2142" s="2" t="n">
        <v>399790345</v>
      </c>
      <c r="B2142" s="29" t="n">
        <v>46291.8579282407</v>
      </c>
      <c r="C2142" s="2" t="s">
        <v>153</v>
      </c>
      <c r="D2142" s="2" t="s">
        <v>2120</v>
      </c>
      <c r="E2142" s="2" t="s">
        <v>219</v>
      </c>
      <c r="F2142" s="2" t="s">
        <v>110</v>
      </c>
      <c r="G2142" s="30" t="n">
        <v>63</v>
      </c>
      <c r="H2142" s="11" t="n">
        <v>769.69</v>
      </c>
      <c r="I2142" s="11" t="s">
        <v>155</v>
      </c>
      <c r="J2142" s="11" t="n">
        <v>155.7</v>
      </c>
      <c r="K2142" s="11" t="n">
        <v>166.05</v>
      </c>
      <c r="L2142" s="11" t="n">
        <v>0.7697</v>
      </c>
      <c r="M2142" s="11" t="n">
        <v>1.5394</v>
      </c>
      <c r="N2142" s="11" t="n">
        <v>1</v>
      </c>
      <c r="O2142" s="11" t="n">
        <v>4.5</v>
      </c>
      <c r="P2142" s="11" t="n">
        <v>3.78</v>
      </c>
      <c r="Q2142" s="11" t="n">
        <v>28.35</v>
      </c>
      <c r="R2142" s="11" t="n">
        <f aca="false">SUM(K2142:Q2142)</f>
        <v>205.9891</v>
      </c>
      <c r="S2142" s="11" t="n">
        <f aca="false">R2142/(1-Resumo!$C$6)</f>
        <v>234.078522727273</v>
      </c>
      <c r="T2142" s="11" t="n">
        <f aca="false">S2142-J2142</f>
        <v>78.3785227272728</v>
      </c>
      <c r="U2142" s="12" t="n">
        <f aca="false">IFERROR(S2142/J2142-1,0)</f>
        <v>0.503394494073685</v>
      </c>
      <c r="V2142" s="2" t="str">
        <f aca="false">IF(S2142&lt;J2142,"SIM","NÃO")</f>
        <v>NÃO</v>
      </c>
      <c r="W2142" s="2" t="n">
        <v>10</v>
      </c>
      <c r="X2142" s="2" t="s">
        <v>161</v>
      </c>
    </row>
    <row r="2143" customFormat="false" ht="15" hidden="false" customHeight="false" outlineLevel="0" collapsed="false">
      <c r="A2143" s="2" t="n">
        <v>399796282</v>
      </c>
      <c r="B2143" s="29" t="n">
        <v>46291.8747337963</v>
      </c>
      <c r="C2143" s="2" t="s">
        <v>153</v>
      </c>
      <c r="D2143" s="2" t="s">
        <v>2121</v>
      </c>
      <c r="E2143" s="2" t="s">
        <v>78</v>
      </c>
      <c r="F2143" s="2" t="s">
        <v>106</v>
      </c>
      <c r="G2143" s="30" t="n">
        <v>20.9</v>
      </c>
      <c r="H2143" s="11" t="n">
        <v>440.99</v>
      </c>
      <c r="I2143" s="11" t="s">
        <v>155</v>
      </c>
      <c r="J2143" s="11" t="n">
        <v>82.43</v>
      </c>
      <c r="K2143" s="11" t="n">
        <v>82.21</v>
      </c>
      <c r="L2143" s="11" t="n">
        <v>0.441</v>
      </c>
      <c r="M2143" s="11" t="n">
        <v>0.882</v>
      </c>
      <c r="N2143" s="11" t="n">
        <v>1</v>
      </c>
      <c r="O2143" s="11" t="n">
        <v>4.5</v>
      </c>
      <c r="P2143" s="11" t="n">
        <v>1.26</v>
      </c>
      <c r="Q2143" s="11" t="n">
        <v>9.45</v>
      </c>
      <c r="R2143" s="11" t="n">
        <f aca="false">SUM(K2143:Q2143)</f>
        <v>99.743</v>
      </c>
      <c r="S2143" s="11" t="n">
        <f aca="false">R2143/(1-Resumo!$C$6)</f>
        <v>113.344318181818</v>
      </c>
      <c r="T2143" s="11" t="n">
        <f aca="false">S2143-J2143</f>
        <v>30.9143181818182</v>
      </c>
      <c r="U2143" s="12" t="n">
        <f aca="false">IFERROR(S2143/J2143-1,0)</f>
        <v>0.375037221664663</v>
      </c>
      <c r="V2143" s="2" t="str">
        <f aca="false">IF(S2143&lt;J2143,"SIM","NÃO")</f>
        <v>NÃO</v>
      </c>
      <c r="W2143" s="2" t="n">
        <v>5</v>
      </c>
      <c r="X2143" s="2" t="s">
        <v>156</v>
      </c>
    </row>
    <row r="2144" customFormat="false" ht="15" hidden="false" customHeight="false" outlineLevel="0" collapsed="false">
      <c r="A2144" s="2" t="n">
        <v>399803048</v>
      </c>
      <c r="B2144" s="29" t="n">
        <v>46291.8933217593</v>
      </c>
      <c r="C2144" s="2" t="s">
        <v>158</v>
      </c>
      <c r="D2144" s="2" t="s">
        <v>2122</v>
      </c>
      <c r="E2144" s="2" t="s">
        <v>92</v>
      </c>
      <c r="F2144" s="2" t="s">
        <v>110</v>
      </c>
      <c r="G2144" s="30" t="n">
        <v>68.1</v>
      </c>
      <c r="H2144" s="11" t="n">
        <v>960</v>
      </c>
      <c r="I2144" s="11" t="s">
        <v>155</v>
      </c>
      <c r="J2144" s="11" t="n">
        <v>156.62</v>
      </c>
      <c r="K2144" s="11" t="n">
        <v>166.05</v>
      </c>
      <c r="L2144" s="11" t="n">
        <v>0.96</v>
      </c>
      <c r="M2144" s="11" t="n">
        <v>1.92</v>
      </c>
      <c r="N2144" s="11" t="n">
        <v>1</v>
      </c>
      <c r="O2144" s="11" t="n">
        <v>4.5</v>
      </c>
      <c r="P2144" s="11" t="n">
        <v>4.14</v>
      </c>
      <c r="Q2144" s="11" t="n">
        <v>31.05</v>
      </c>
      <c r="R2144" s="11" t="n">
        <f aca="false">SUM(K2144:Q2144)</f>
        <v>209.62</v>
      </c>
      <c r="S2144" s="11" t="n">
        <f aca="false">R2144/(1-Resumo!$C$6)</f>
        <v>238.204545454546</v>
      </c>
      <c r="T2144" s="11" t="n">
        <f aca="false">S2144-J2144</f>
        <v>81.5845454545455</v>
      </c>
      <c r="U2144" s="12" t="n">
        <f aca="false">IFERROR(S2144/J2144-1,0)</f>
        <v>0.520907581755494</v>
      </c>
      <c r="V2144" s="2" t="str">
        <f aca="false">IF(S2144&lt;J2144,"SIM","NÃO")</f>
        <v>NÃO</v>
      </c>
      <c r="W2144" s="2" t="n">
        <v>10</v>
      </c>
      <c r="X2144" s="2" t="s">
        <v>156</v>
      </c>
    </row>
    <row r="2145" customFormat="false" ht="15" hidden="false" customHeight="false" outlineLevel="0" collapsed="false">
      <c r="A2145" s="2" t="n">
        <v>399813842</v>
      </c>
      <c r="B2145" s="29" t="n">
        <v>46291.9250231482</v>
      </c>
      <c r="C2145" s="2" t="s">
        <v>153</v>
      </c>
      <c r="D2145" s="2" t="s">
        <v>2123</v>
      </c>
      <c r="E2145" s="2" t="s">
        <v>260</v>
      </c>
      <c r="F2145" s="2" t="s">
        <v>110</v>
      </c>
      <c r="G2145" s="30" t="n">
        <v>63.9</v>
      </c>
      <c r="H2145" s="11" t="n">
        <v>716.35</v>
      </c>
      <c r="I2145" s="11" t="s">
        <v>155</v>
      </c>
      <c r="J2145" s="11" t="n">
        <v>155.44</v>
      </c>
      <c r="K2145" s="11" t="n">
        <v>166.05</v>
      </c>
      <c r="L2145" s="11" t="n">
        <v>0.7164</v>
      </c>
      <c r="M2145" s="11" t="n">
        <v>1.4327</v>
      </c>
      <c r="N2145" s="11" t="n">
        <v>1</v>
      </c>
      <c r="O2145" s="11" t="n">
        <v>4.5</v>
      </c>
      <c r="P2145" s="11" t="n">
        <v>3.84</v>
      </c>
      <c r="Q2145" s="11" t="n">
        <v>28.8</v>
      </c>
      <c r="R2145" s="11" t="n">
        <f aca="false">SUM(K2145:Q2145)</f>
        <v>206.3391</v>
      </c>
      <c r="S2145" s="11" t="n">
        <f aca="false">R2145/(1-Resumo!$C$6)</f>
        <v>234.47625</v>
      </c>
      <c r="T2145" s="11" t="n">
        <f aca="false">S2145-J2145</f>
        <v>79.03625</v>
      </c>
      <c r="U2145" s="12" t="n">
        <f aca="false">IFERROR(S2145/J2145-1,0)</f>
        <v>0.50846789758106</v>
      </c>
      <c r="V2145" s="2" t="str">
        <f aca="false">IF(S2145&lt;J2145,"SIM","NÃO")</f>
        <v>NÃO</v>
      </c>
      <c r="W2145" s="2" t="n">
        <v>10</v>
      </c>
      <c r="X2145" s="2" t="s">
        <v>161</v>
      </c>
    </row>
    <row r="2146" customFormat="false" ht="15" hidden="false" customHeight="false" outlineLevel="0" collapsed="false">
      <c r="A2146" s="2" t="n">
        <v>399817125</v>
      </c>
      <c r="B2146" s="29" t="n">
        <v>46291.9351041667</v>
      </c>
      <c r="C2146" s="2" t="s">
        <v>158</v>
      </c>
      <c r="D2146" s="2" t="s">
        <v>2124</v>
      </c>
      <c r="E2146" s="2" t="s">
        <v>95</v>
      </c>
      <c r="F2146" s="2" t="s">
        <v>106</v>
      </c>
      <c r="G2146" s="30" t="n">
        <v>27.6</v>
      </c>
      <c r="H2146" s="11" t="n">
        <v>329.7</v>
      </c>
      <c r="I2146" s="11" t="s">
        <v>155</v>
      </c>
      <c r="J2146" s="11" t="n">
        <v>108.76</v>
      </c>
      <c r="K2146" s="11" t="n">
        <v>103.28</v>
      </c>
      <c r="L2146" s="11" t="n">
        <v>0.3297</v>
      </c>
      <c r="M2146" s="11" t="n">
        <v>0.6594</v>
      </c>
      <c r="N2146" s="11" t="n">
        <v>1</v>
      </c>
      <c r="O2146" s="11" t="n">
        <v>4.5</v>
      </c>
      <c r="P2146" s="11" t="n">
        <v>1.68</v>
      </c>
      <c r="Q2146" s="11" t="n">
        <v>12.6</v>
      </c>
      <c r="R2146" s="11" t="n">
        <f aca="false">SUM(K2146:Q2146)</f>
        <v>124.0491</v>
      </c>
      <c r="S2146" s="11" t="n">
        <f aca="false">R2146/(1-Resumo!$C$6)</f>
        <v>140.964886363636</v>
      </c>
      <c r="T2146" s="11" t="n">
        <f aca="false">S2146-J2146</f>
        <v>32.2048863636364</v>
      </c>
      <c r="U2146" s="12" t="n">
        <f aca="false">IFERROR(S2146/J2146-1,0)</f>
        <v>0.296109657628139</v>
      </c>
      <c r="V2146" s="2" t="str">
        <f aca="false">IF(S2146&lt;J2146,"SIM","NÃO")</f>
        <v>NÃO</v>
      </c>
      <c r="W2146" s="2" t="n">
        <v>6</v>
      </c>
      <c r="X2146" s="2" t="s">
        <v>156</v>
      </c>
    </row>
    <row r="2147" customFormat="false" ht="15" hidden="false" customHeight="false" outlineLevel="0" collapsed="false">
      <c r="A2147" s="2" t="n">
        <v>399879169</v>
      </c>
      <c r="B2147" s="29" t="n">
        <v>46292.1925231482</v>
      </c>
      <c r="C2147" s="2" t="s">
        <v>191</v>
      </c>
      <c r="D2147" s="2" t="s">
        <v>2125</v>
      </c>
      <c r="E2147" s="2" t="s">
        <v>78</v>
      </c>
      <c r="F2147" s="2" t="s">
        <v>109</v>
      </c>
      <c r="G2147" s="30" t="n">
        <v>52.3</v>
      </c>
      <c r="H2147" s="11" t="n">
        <v>692.99</v>
      </c>
      <c r="I2147" s="11" t="s">
        <v>155</v>
      </c>
      <c r="J2147" s="11" t="n">
        <v>114.48</v>
      </c>
      <c r="K2147" s="11" t="n">
        <v>112.3</v>
      </c>
      <c r="L2147" s="11" t="n">
        <v>0.693</v>
      </c>
      <c r="M2147" s="11" t="n">
        <v>1.386</v>
      </c>
      <c r="N2147" s="11" t="n">
        <v>1</v>
      </c>
      <c r="O2147" s="11" t="n">
        <v>4.5</v>
      </c>
      <c r="P2147" s="11" t="n">
        <v>3.18</v>
      </c>
      <c r="Q2147" s="11" t="n">
        <v>23.85</v>
      </c>
      <c r="R2147" s="11" t="n">
        <f aca="false">SUM(K2147:Q2147)</f>
        <v>146.909</v>
      </c>
      <c r="S2147" s="11" t="n">
        <f aca="false">R2147/(1-Resumo!$C$6)</f>
        <v>166.942045454545</v>
      </c>
      <c r="T2147" s="11" t="n">
        <f aca="false">S2147-J2147</f>
        <v>52.4620454545454</v>
      </c>
      <c r="U2147" s="12" t="n">
        <f aca="false">IFERROR(S2147/J2147-1,0)</f>
        <v>0.45826384918366</v>
      </c>
      <c r="V2147" s="2" t="str">
        <f aca="false">IF(S2147&lt;J2147,"SIM","NÃO")</f>
        <v>NÃO</v>
      </c>
      <c r="W2147" s="2" t="n">
        <v>5</v>
      </c>
      <c r="X2147" s="2" t="s">
        <v>156</v>
      </c>
    </row>
    <row r="2148" customFormat="false" ht="15" hidden="false" customHeight="false" outlineLevel="0" collapsed="false">
      <c r="A2148" s="2" t="n">
        <v>399961737</v>
      </c>
      <c r="B2148" s="29" t="n">
        <v>46292.484537037</v>
      </c>
      <c r="C2148" s="2" t="s">
        <v>153</v>
      </c>
      <c r="D2148" s="2" t="s">
        <v>2126</v>
      </c>
      <c r="E2148" s="2" t="s">
        <v>79</v>
      </c>
      <c r="F2148" s="2" t="s">
        <v>107</v>
      </c>
      <c r="G2148" s="30" t="n">
        <v>36.9</v>
      </c>
      <c r="H2148" s="11" t="n">
        <v>399.99</v>
      </c>
      <c r="I2148" s="11" t="s">
        <v>155</v>
      </c>
      <c r="J2148" s="11" t="n">
        <v>112.88</v>
      </c>
      <c r="K2148" s="11" t="n">
        <v>114.95</v>
      </c>
      <c r="L2148" s="11" t="n">
        <v>0.4</v>
      </c>
      <c r="M2148" s="11" t="n">
        <v>0.8</v>
      </c>
      <c r="N2148" s="11" t="n">
        <v>1</v>
      </c>
      <c r="O2148" s="11" t="n">
        <v>4.5</v>
      </c>
      <c r="P2148" s="11" t="n">
        <v>2.22</v>
      </c>
      <c r="Q2148" s="11" t="n">
        <v>16.65</v>
      </c>
      <c r="R2148" s="11" t="n">
        <f aca="false">SUM(K2148:Q2148)</f>
        <v>140.52</v>
      </c>
      <c r="S2148" s="11" t="n">
        <f aca="false">R2148/(1-Resumo!$C$6)</f>
        <v>159.681818181818</v>
      </c>
      <c r="T2148" s="11" t="n">
        <f aca="false">S2148-J2148</f>
        <v>46.8018181818182</v>
      </c>
      <c r="U2148" s="12" t="n">
        <f aca="false">IFERROR(S2148/J2148-1,0)</f>
        <v>0.414615681979254</v>
      </c>
      <c r="V2148" s="2" t="str">
        <f aca="false">IF(S2148&lt;J2148,"SIM","NÃO")</f>
        <v>NÃO</v>
      </c>
      <c r="W2148" s="2" t="n">
        <v>7</v>
      </c>
      <c r="X2148" s="2" t="s">
        <v>156</v>
      </c>
    </row>
    <row r="2149" customFormat="false" ht="15" hidden="false" customHeight="false" outlineLevel="0" collapsed="false">
      <c r="A2149" s="2" t="n">
        <v>399961977</v>
      </c>
      <c r="B2149" s="29" t="n">
        <v>46292.4851041667</v>
      </c>
      <c r="C2149" s="2" t="s">
        <v>153</v>
      </c>
      <c r="D2149" s="2" t="s">
        <v>2127</v>
      </c>
      <c r="E2149" s="2" t="s">
        <v>78</v>
      </c>
      <c r="F2149" s="2" t="s">
        <v>109</v>
      </c>
      <c r="G2149" s="30" t="n">
        <v>52.3</v>
      </c>
      <c r="H2149" s="11" t="n">
        <v>636.83</v>
      </c>
      <c r="I2149" s="11" t="s">
        <v>155</v>
      </c>
      <c r="J2149" s="11" t="n">
        <v>114.19</v>
      </c>
      <c r="K2149" s="11" t="n">
        <v>112.3</v>
      </c>
      <c r="L2149" s="11" t="n">
        <v>0.6368</v>
      </c>
      <c r="M2149" s="11" t="n">
        <v>1.2737</v>
      </c>
      <c r="N2149" s="11" t="n">
        <v>1</v>
      </c>
      <c r="O2149" s="11" t="n">
        <v>4.5</v>
      </c>
      <c r="P2149" s="11" t="n">
        <v>3.18</v>
      </c>
      <c r="Q2149" s="11" t="n">
        <v>23.85</v>
      </c>
      <c r="R2149" s="11" t="n">
        <f aca="false">SUM(K2149:Q2149)</f>
        <v>146.7405</v>
      </c>
      <c r="S2149" s="11" t="n">
        <f aca="false">R2149/(1-Resumo!$C$6)</f>
        <v>166.750568181818</v>
      </c>
      <c r="T2149" s="11" t="n">
        <f aca="false">S2149-J2149</f>
        <v>52.5605681818182</v>
      </c>
      <c r="U2149" s="12" t="n">
        <f aca="false">IFERROR(S2149/J2149-1,0)</f>
        <v>0.460290464855225</v>
      </c>
      <c r="V2149" s="2" t="str">
        <f aca="false">IF(S2149&lt;J2149,"SIM","NÃO")</f>
        <v>NÃO</v>
      </c>
      <c r="W2149" s="2" t="n">
        <v>5</v>
      </c>
      <c r="X2149" s="2" t="s">
        <v>156</v>
      </c>
    </row>
    <row r="2150" customFormat="false" ht="15" hidden="false" customHeight="false" outlineLevel="0" collapsed="false">
      <c r="A2150" s="2" t="n">
        <v>399964376</v>
      </c>
      <c r="B2150" s="29" t="n">
        <v>46292.4912268519</v>
      </c>
      <c r="C2150" s="2" t="s">
        <v>153</v>
      </c>
      <c r="D2150" s="2" t="s">
        <v>2128</v>
      </c>
      <c r="E2150" s="2" t="s">
        <v>78</v>
      </c>
      <c r="F2150" s="2" t="s">
        <v>109</v>
      </c>
      <c r="G2150" s="30" t="n">
        <v>52.3</v>
      </c>
      <c r="H2150" s="11" t="n">
        <v>636.83</v>
      </c>
      <c r="I2150" s="11" t="s">
        <v>155</v>
      </c>
      <c r="J2150" s="11" t="n">
        <v>114.19</v>
      </c>
      <c r="K2150" s="11" t="n">
        <v>112.3</v>
      </c>
      <c r="L2150" s="11" t="n">
        <v>0.6368</v>
      </c>
      <c r="M2150" s="11" t="n">
        <v>1.2737</v>
      </c>
      <c r="N2150" s="11" t="n">
        <v>1</v>
      </c>
      <c r="O2150" s="11" t="n">
        <v>4.5</v>
      </c>
      <c r="P2150" s="11" t="n">
        <v>3.18</v>
      </c>
      <c r="Q2150" s="11" t="n">
        <v>23.85</v>
      </c>
      <c r="R2150" s="11" t="n">
        <f aca="false">SUM(K2150:Q2150)</f>
        <v>146.7405</v>
      </c>
      <c r="S2150" s="11" t="n">
        <f aca="false">R2150/(1-Resumo!$C$6)</f>
        <v>166.750568181818</v>
      </c>
      <c r="T2150" s="11" t="n">
        <f aca="false">S2150-J2150</f>
        <v>52.5605681818182</v>
      </c>
      <c r="U2150" s="12" t="n">
        <f aca="false">IFERROR(S2150/J2150-1,0)</f>
        <v>0.460290464855225</v>
      </c>
      <c r="V2150" s="2" t="str">
        <f aca="false">IF(S2150&lt;J2150,"SIM","NÃO")</f>
        <v>NÃO</v>
      </c>
      <c r="W2150" s="2" t="n">
        <v>5</v>
      </c>
      <c r="X2150" s="2" t="s">
        <v>156</v>
      </c>
    </row>
    <row r="2151" customFormat="false" ht="15" hidden="false" customHeight="false" outlineLevel="0" collapsed="false">
      <c r="A2151" s="2" t="n">
        <v>399983228</v>
      </c>
      <c r="B2151" s="29" t="n">
        <v>46292.5371296296</v>
      </c>
      <c r="C2151" s="2" t="s">
        <v>153</v>
      </c>
      <c r="D2151" s="2" t="s">
        <v>2129</v>
      </c>
      <c r="E2151" s="2" t="s">
        <v>78</v>
      </c>
      <c r="F2151" s="2" t="s">
        <v>109</v>
      </c>
      <c r="G2151" s="30" t="n">
        <v>52.3</v>
      </c>
      <c r="H2151" s="11" t="n">
        <v>636.83</v>
      </c>
      <c r="I2151" s="11" t="s">
        <v>155</v>
      </c>
      <c r="J2151" s="11" t="n">
        <v>114.19</v>
      </c>
      <c r="K2151" s="11" t="n">
        <v>112.3</v>
      </c>
      <c r="L2151" s="11" t="n">
        <v>0.6368</v>
      </c>
      <c r="M2151" s="11" t="n">
        <v>1.2737</v>
      </c>
      <c r="N2151" s="11" t="n">
        <v>1</v>
      </c>
      <c r="O2151" s="11" t="n">
        <v>4.5</v>
      </c>
      <c r="P2151" s="11" t="n">
        <v>3.18</v>
      </c>
      <c r="Q2151" s="11" t="n">
        <v>23.85</v>
      </c>
      <c r="R2151" s="11" t="n">
        <f aca="false">SUM(K2151:Q2151)</f>
        <v>146.7405</v>
      </c>
      <c r="S2151" s="11" t="n">
        <f aca="false">R2151/(1-Resumo!$C$6)</f>
        <v>166.750568181818</v>
      </c>
      <c r="T2151" s="11" t="n">
        <f aca="false">S2151-J2151</f>
        <v>52.5605681818182</v>
      </c>
      <c r="U2151" s="12" t="n">
        <f aca="false">IFERROR(S2151/J2151-1,0)</f>
        <v>0.460290464855225</v>
      </c>
      <c r="V2151" s="2" t="str">
        <f aca="false">IF(S2151&lt;J2151,"SIM","NÃO")</f>
        <v>NÃO</v>
      </c>
      <c r="W2151" s="2" t="n">
        <v>5</v>
      </c>
      <c r="X2151" s="2" t="s">
        <v>156</v>
      </c>
    </row>
    <row r="2152" customFormat="false" ht="15" hidden="false" customHeight="false" outlineLevel="0" collapsed="false">
      <c r="A2152" s="2" t="n">
        <v>399987496</v>
      </c>
      <c r="B2152" s="29" t="n">
        <v>46292.5471875</v>
      </c>
      <c r="C2152" s="2" t="s">
        <v>153</v>
      </c>
      <c r="D2152" s="2" t="s">
        <v>2130</v>
      </c>
      <c r="E2152" s="2" t="s">
        <v>78</v>
      </c>
      <c r="F2152" s="2" t="s">
        <v>106</v>
      </c>
      <c r="G2152" s="30" t="n">
        <v>25.8</v>
      </c>
      <c r="H2152" s="11" t="n">
        <v>333.99</v>
      </c>
      <c r="I2152" s="11" t="s">
        <v>155</v>
      </c>
      <c r="J2152" s="11" t="n">
        <v>81.93</v>
      </c>
      <c r="K2152" s="11" t="n">
        <v>82.21</v>
      </c>
      <c r="L2152" s="11" t="n">
        <v>0.334</v>
      </c>
      <c r="M2152" s="11" t="n">
        <v>0.668</v>
      </c>
      <c r="N2152" s="11" t="n">
        <v>1</v>
      </c>
      <c r="O2152" s="11" t="n">
        <v>4.5</v>
      </c>
      <c r="P2152" s="11" t="n">
        <v>1.56</v>
      </c>
      <c r="Q2152" s="11" t="n">
        <v>11.7</v>
      </c>
      <c r="R2152" s="11" t="n">
        <f aca="false">SUM(K2152:Q2152)</f>
        <v>101.972</v>
      </c>
      <c r="S2152" s="11" t="n">
        <f aca="false">R2152/(1-Resumo!$C$6)</f>
        <v>115.877272727273</v>
      </c>
      <c r="T2152" s="11" t="n">
        <f aca="false">S2152-J2152</f>
        <v>33.9472727272727</v>
      </c>
      <c r="U2152" s="12" t="n">
        <f aca="false">IFERROR(S2152/J2152-1,0)</f>
        <v>0.41434483983001</v>
      </c>
      <c r="V2152" s="2" t="str">
        <f aca="false">IF(S2152&lt;J2152,"SIM","NÃO")</f>
        <v>NÃO</v>
      </c>
      <c r="W2152" s="2" t="n">
        <v>5</v>
      </c>
      <c r="X2152" s="2" t="s">
        <v>156</v>
      </c>
    </row>
    <row r="2153" customFormat="false" ht="15" hidden="false" customHeight="false" outlineLevel="0" collapsed="false">
      <c r="A2153" s="2" t="n">
        <v>400004700</v>
      </c>
      <c r="B2153" s="29" t="n">
        <v>46292.5878472222</v>
      </c>
      <c r="C2153" s="2" t="s">
        <v>158</v>
      </c>
      <c r="D2153" s="2" t="s">
        <v>2131</v>
      </c>
      <c r="E2153" s="2" t="s">
        <v>80</v>
      </c>
      <c r="F2153" s="2" t="s">
        <v>108</v>
      </c>
      <c r="G2153" s="30" t="n">
        <v>41</v>
      </c>
      <c r="H2153" s="11" t="n">
        <v>699.99</v>
      </c>
      <c r="I2153" s="11" t="s">
        <v>155</v>
      </c>
      <c r="J2153" s="11" t="n">
        <v>117.43</v>
      </c>
      <c r="K2153" s="11" t="n">
        <v>93.97</v>
      </c>
      <c r="L2153" s="11" t="n">
        <v>0.7</v>
      </c>
      <c r="M2153" s="11" t="n">
        <v>1.4</v>
      </c>
      <c r="N2153" s="11" t="n">
        <v>1</v>
      </c>
      <c r="O2153" s="11" t="n">
        <v>4.5</v>
      </c>
      <c r="P2153" s="11" t="n">
        <v>2.46</v>
      </c>
      <c r="Q2153" s="11" t="n">
        <v>18.45</v>
      </c>
      <c r="R2153" s="11" t="n">
        <f aca="false">SUM(K2153:Q2153)</f>
        <v>122.48</v>
      </c>
      <c r="S2153" s="11" t="n">
        <f aca="false">R2153/(1-Resumo!$C$6)</f>
        <v>139.181818181818</v>
      </c>
      <c r="T2153" s="11" t="n">
        <f aca="false">S2153-J2153</f>
        <v>21.7518181818182</v>
      </c>
      <c r="U2153" s="12" t="n">
        <f aca="false">IFERROR(S2153/J2153-1,0)</f>
        <v>0.185232207969158</v>
      </c>
      <c r="V2153" s="2" t="str">
        <f aca="false">IF(S2153&lt;J2153,"SIM","NÃO")</f>
        <v>NÃO</v>
      </c>
      <c r="W2153" s="2" t="n">
        <v>5</v>
      </c>
      <c r="X2153" s="2" t="s">
        <v>156</v>
      </c>
    </row>
    <row r="2154" customFormat="false" ht="15" hidden="false" customHeight="false" outlineLevel="0" collapsed="false">
      <c r="A2154" s="2" t="n">
        <v>400006168</v>
      </c>
      <c r="B2154" s="29" t="n">
        <v>46292.591099537</v>
      </c>
      <c r="C2154" s="2" t="s">
        <v>158</v>
      </c>
      <c r="D2154" s="2" t="s">
        <v>2132</v>
      </c>
      <c r="E2154" s="2" t="s">
        <v>82</v>
      </c>
      <c r="F2154" s="2" t="s">
        <v>108</v>
      </c>
      <c r="G2154" s="30" t="n">
        <v>48.6</v>
      </c>
      <c r="H2154" s="11" t="n">
        <v>604.3</v>
      </c>
      <c r="I2154" s="11" t="s">
        <v>155</v>
      </c>
      <c r="J2154" s="11" t="n">
        <v>116.98</v>
      </c>
      <c r="K2154" s="11" t="n">
        <v>114.95</v>
      </c>
      <c r="L2154" s="11" t="n">
        <v>0.6043</v>
      </c>
      <c r="M2154" s="11" t="n">
        <v>1.2086</v>
      </c>
      <c r="N2154" s="11" t="n">
        <v>1</v>
      </c>
      <c r="O2154" s="11" t="n">
        <v>4.5</v>
      </c>
      <c r="P2154" s="11" t="n">
        <v>2.94</v>
      </c>
      <c r="Q2154" s="11" t="n">
        <v>22.05</v>
      </c>
      <c r="R2154" s="11" t="n">
        <f aca="false">SUM(K2154:Q2154)</f>
        <v>147.2529</v>
      </c>
      <c r="S2154" s="11" t="n">
        <f aca="false">R2154/(1-Resumo!$C$6)</f>
        <v>167.332840909091</v>
      </c>
      <c r="T2154" s="11" t="n">
        <f aca="false">S2154-J2154</f>
        <v>50.3528409090909</v>
      </c>
      <c r="U2154" s="12" t="n">
        <f aca="false">IFERROR(S2154/J2154-1,0)</f>
        <v>0.430439741059078</v>
      </c>
      <c r="V2154" s="2" t="str">
        <f aca="false">IF(S2154&lt;J2154,"SIM","NÃO")</f>
        <v>NÃO</v>
      </c>
      <c r="W2154" s="2" t="n">
        <v>7</v>
      </c>
      <c r="X2154" s="2" t="s">
        <v>156</v>
      </c>
    </row>
    <row r="2155" customFormat="false" ht="15" hidden="false" customHeight="false" outlineLevel="0" collapsed="false">
      <c r="A2155" s="2" t="n">
        <v>400008504</v>
      </c>
      <c r="B2155" s="29" t="n">
        <v>46292.5966782407</v>
      </c>
      <c r="C2155" s="2" t="s">
        <v>153</v>
      </c>
      <c r="D2155" s="2" t="s">
        <v>2133</v>
      </c>
      <c r="E2155" s="2" t="s">
        <v>78</v>
      </c>
      <c r="F2155" s="2" t="s">
        <v>110</v>
      </c>
      <c r="G2155" s="30" t="n">
        <v>69.45</v>
      </c>
      <c r="H2155" s="11" t="n">
        <v>859.99</v>
      </c>
      <c r="I2155" s="11" t="s">
        <v>155</v>
      </c>
      <c r="J2155" s="11" t="n">
        <v>125.33</v>
      </c>
      <c r="K2155" s="11" t="n">
        <v>131.02</v>
      </c>
      <c r="L2155" s="11" t="n">
        <v>0.86</v>
      </c>
      <c r="M2155" s="11" t="n">
        <v>1.72</v>
      </c>
      <c r="N2155" s="11" t="n">
        <v>1</v>
      </c>
      <c r="O2155" s="11" t="n">
        <v>4.5</v>
      </c>
      <c r="P2155" s="11" t="n">
        <v>4.2</v>
      </c>
      <c r="Q2155" s="11" t="n">
        <v>31.5</v>
      </c>
      <c r="R2155" s="11" t="n">
        <f aca="false">SUM(K2155:Q2155)</f>
        <v>174.8</v>
      </c>
      <c r="S2155" s="11" t="n">
        <f aca="false">R2155/(1-Resumo!$C$6)</f>
        <v>198.636363636364</v>
      </c>
      <c r="T2155" s="11" t="n">
        <f aca="false">S2155-J2155</f>
        <v>73.3063636363637</v>
      </c>
      <c r="U2155" s="12" t="n">
        <f aca="false">IFERROR(S2155/J2155-1,0)</f>
        <v>0.584906755257031</v>
      </c>
      <c r="V2155" s="2" t="str">
        <f aca="false">IF(S2155&lt;J2155,"SIM","NÃO")</f>
        <v>NÃO</v>
      </c>
      <c r="W2155" s="2" t="n">
        <v>5</v>
      </c>
      <c r="X2155" s="2" t="s">
        <v>156</v>
      </c>
    </row>
    <row r="2156" customFormat="false" ht="15" hidden="false" customHeight="false" outlineLevel="0" collapsed="false">
      <c r="A2156" s="2" t="n">
        <v>400011553</v>
      </c>
      <c r="B2156" s="29" t="n">
        <v>46292.6036111111</v>
      </c>
      <c r="C2156" s="2" t="s">
        <v>158</v>
      </c>
      <c r="D2156" s="2" t="s">
        <v>2134</v>
      </c>
      <c r="E2156" s="2" t="s">
        <v>78</v>
      </c>
      <c r="F2156" s="2" t="s">
        <v>110</v>
      </c>
      <c r="G2156" s="30" t="n">
        <v>68.1</v>
      </c>
      <c r="H2156" s="11" t="n">
        <v>960</v>
      </c>
      <c r="I2156" s="11" t="s">
        <v>155</v>
      </c>
      <c r="J2156" s="11" t="n">
        <v>125.81</v>
      </c>
      <c r="K2156" s="11" t="n">
        <v>131.02</v>
      </c>
      <c r="L2156" s="11" t="n">
        <v>0.96</v>
      </c>
      <c r="M2156" s="11" t="n">
        <v>1.92</v>
      </c>
      <c r="N2156" s="11" t="n">
        <v>1</v>
      </c>
      <c r="O2156" s="11" t="n">
        <v>4.5</v>
      </c>
      <c r="P2156" s="11" t="n">
        <v>4.14</v>
      </c>
      <c r="Q2156" s="11" t="n">
        <v>31.05</v>
      </c>
      <c r="R2156" s="11" t="n">
        <f aca="false">SUM(K2156:Q2156)</f>
        <v>174.59</v>
      </c>
      <c r="S2156" s="11" t="n">
        <f aca="false">R2156/(1-Resumo!$C$6)</f>
        <v>198.397727272727</v>
      </c>
      <c r="T2156" s="11" t="n">
        <f aca="false">S2156-J2156</f>
        <v>72.5877272727273</v>
      </c>
      <c r="U2156" s="12" t="n">
        <f aca="false">IFERROR(S2156/J2156-1,0)</f>
        <v>0.576963097311242</v>
      </c>
      <c r="V2156" s="2" t="str">
        <f aca="false">IF(S2156&lt;J2156,"SIM","NÃO")</f>
        <v>NÃO</v>
      </c>
      <c r="W2156" s="2" t="n">
        <v>5</v>
      </c>
      <c r="X2156" s="2" t="s">
        <v>156</v>
      </c>
    </row>
    <row r="2157" customFormat="false" ht="15" hidden="false" customHeight="false" outlineLevel="0" collapsed="false">
      <c r="A2157" s="2" t="n">
        <v>400019220</v>
      </c>
      <c r="B2157" s="29" t="n">
        <v>46292.6212731482</v>
      </c>
      <c r="C2157" s="2" t="s">
        <v>158</v>
      </c>
      <c r="D2157" s="2" t="s">
        <v>2135</v>
      </c>
      <c r="E2157" s="2" t="s">
        <v>88</v>
      </c>
      <c r="F2157" s="2" t="s">
        <v>108</v>
      </c>
      <c r="G2157" s="30" t="n">
        <v>45.3</v>
      </c>
      <c r="H2157" s="11" t="n">
        <v>689.99</v>
      </c>
      <c r="I2157" s="11" t="s">
        <v>155</v>
      </c>
      <c r="J2157" s="11" t="n">
        <v>131.47</v>
      </c>
      <c r="K2157" s="11" t="n">
        <v>124.38</v>
      </c>
      <c r="L2157" s="11" t="n">
        <v>0.69</v>
      </c>
      <c r="M2157" s="11" t="n">
        <v>1.38</v>
      </c>
      <c r="N2157" s="11" t="n">
        <v>1</v>
      </c>
      <c r="O2157" s="11" t="n">
        <v>4.5</v>
      </c>
      <c r="P2157" s="11" t="n">
        <v>2.76</v>
      </c>
      <c r="Q2157" s="11" t="n">
        <v>20.7</v>
      </c>
      <c r="R2157" s="11" t="n">
        <f aca="false">SUM(K2157:Q2157)</f>
        <v>155.41</v>
      </c>
      <c r="S2157" s="11" t="n">
        <f aca="false">R2157/(1-Resumo!$C$6)</f>
        <v>176.602272727273</v>
      </c>
      <c r="T2157" s="11" t="n">
        <f aca="false">S2157-J2157</f>
        <v>45.1322727272727</v>
      </c>
      <c r="U2157" s="12" t="n">
        <f aca="false">IFERROR(S2157/J2157-1,0)</f>
        <v>0.343289516446891</v>
      </c>
      <c r="V2157" s="2" t="str">
        <f aca="false">IF(S2157&lt;J2157,"SIM","NÃO")</f>
        <v>NÃO</v>
      </c>
      <c r="W2157" s="2" t="n">
        <v>10</v>
      </c>
      <c r="X2157" s="2" t="s">
        <v>156</v>
      </c>
    </row>
    <row r="2158" customFormat="false" ht="15" hidden="false" customHeight="false" outlineLevel="0" collapsed="false">
      <c r="A2158" s="2" t="n">
        <v>400025702</v>
      </c>
      <c r="B2158" s="29" t="n">
        <v>46292.6337037037</v>
      </c>
      <c r="C2158" s="2" t="s">
        <v>158</v>
      </c>
      <c r="D2158" s="2" t="s">
        <v>2068</v>
      </c>
      <c r="E2158" s="2" t="s">
        <v>2069</v>
      </c>
      <c r="F2158" s="2" t="s">
        <v>107</v>
      </c>
      <c r="G2158" s="30" t="n">
        <v>36.8</v>
      </c>
      <c r="H2158" s="11" t="n">
        <v>413.7</v>
      </c>
      <c r="I2158" s="11" t="s">
        <v>155</v>
      </c>
      <c r="J2158" s="11" t="n">
        <v>122.24</v>
      </c>
      <c r="K2158" s="11" t="n">
        <v>124.38</v>
      </c>
      <c r="L2158" s="11" t="n">
        <v>0.4137</v>
      </c>
      <c r="M2158" s="11" t="n">
        <v>0.8274</v>
      </c>
      <c r="N2158" s="11" t="n">
        <v>1</v>
      </c>
      <c r="O2158" s="11" t="n">
        <v>4.5</v>
      </c>
      <c r="P2158" s="11" t="n">
        <v>2.22</v>
      </c>
      <c r="Q2158" s="11" t="n">
        <v>16.65</v>
      </c>
      <c r="R2158" s="11" t="n">
        <f aca="false">SUM(K2158:Q2158)</f>
        <v>149.9911</v>
      </c>
      <c r="S2158" s="11" t="n">
        <f aca="false">R2158/(1-Resumo!$C$6)</f>
        <v>170.444431818182</v>
      </c>
      <c r="T2158" s="11" t="n">
        <f aca="false">S2158-J2158</f>
        <v>48.2044318181818</v>
      </c>
      <c r="U2158" s="12" t="n">
        <f aca="false">IFERROR(S2158/J2158-1,0)</f>
        <v>0.394342537779629</v>
      </c>
      <c r="V2158" s="2" t="str">
        <f aca="false">IF(S2158&lt;J2158,"SIM","NÃO")</f>
        <v>NÃO</v>
      </c>
      <c r="W2158" s="2" t="n">
        <v>10</v>
      </c>
      <c r="X2158" s="2" t="s">
        <v>161</v>
      </c>
    </row>
    <row r="2159" customFormat="false" ht="15" hidden="false" customHeight="false" outlineLevel="0" collapsed="false">
      <c r="A2159" s="2" t="n">
        <v>400007665</v>
      </c>
      <c r="B2159" s="29" t="n">
        <v>46292.7234606482</v>
      </c>
      <c r="C2159" s="2" t="s">
        <v>178</v>
      </c>
      <c r="D2159" s="2" t="s">
        <v>2136</v>
      </c>
      <c r="E2159" s="2" t="s">
        <v>89</v>
      </c>
      <c r="F2159" s="2" t="s">
        <v>108</v>
      </c>
      <c r="G2159" s="30" t="n">
        <v>45.3</v>
      </c>
      <c r="H2159" s="11" t="n">
        <v>699.99</v>
      </c>
      <c r="I2159" s="11" t="s">
        <v>155</v>
      </c>
      <c r="J2159" s="11" t="n">
        <v>131.51</v>
      </c>
      <c r="K2159" s="11" t="n">
        <v>124.38</v>
      </c>
      <c r="L2159" s="11" t="n">
        <v>0.7</v>
      </c>
      <c r="M2159" s="11" t="n">
        <v>1.4</v>
      </c>
      <c r="N2159" s="11" t="n">
        <v>1</v>
      </c>
      <c r="O2159" s="11" t="n">
        <v>4.5</v>
      </c>
      <c r="P2159" s="11" t="n">
        <v>2.76</v>
      </c>
      <c r="Q2159" s="11" t="n">
        <v>20.7</v>
      </c>
      <c r="R2159" s="11" t="n">
        <f aca="false">SUM(K2159:Q2159)</f>
        <v>155.44</v>
      </c>
      <c r="S2159" s="11" t="n">
        <f aca="false">R2159/(1-Resumo!$C$6)</f>
        <v>176.636363636364</v>
      </c>
      <c r="T2159" s="11" t="n">
        <f aca="false">S2159-J2159</f>
        <v>45.1263636363636</v>
      </c>
      <c r="U2159" s="12" t="n">
        <f aca="false">IFERROR(S2159/J2159-1,0)</f>
        <v>0.343140169084964</v>
      </c>
      <c r="V2159" s="2" t="str">
        <f aca="false">IF(S2159&lt;J2159,"SIM","NÃO")</f>
        <v>NÃO</v>
      </c>
      <c r="W2159" s="2" t="n">
        <v>8</v>
      </c>
      <c r="X2159" s="2" t="s">
        <v>156</v>
      </c>
    </row>
    <row r="2160" customFormat="false" ht="15" hidden="false" customHeight="false" outlineLevel="0" collapsed="false">
      <c r="A2160" s="2" t="n">
        <v>400073896</v>
      </c>
      <c r="B2160" s="29" t="n">
        <v>46292.7462731482</v>
      </c>
      <c r="C2160" s="2" t="s">
        <v>153</v>
      </c>
      <c r="D2160" s="2" t="s">
        <v>2137</v>
      </c>
      <c r="E2160" s="2" t="s">
        <v>81</v>
      </c>
      <c r="F2160" s="2" t="s">
        <v>107</v>
      </c>
      <c r="G2160" s="30" t="n">
        <v>36.9</v>
      </c>
      <c r="H2160" s="11" t="n">
        <v>378.99</v>
      </c>
      <c r="I2160" s="11" t="s">
        <v>155</v>
      </c>
      <c r="J2160" s="11" t="n">
        <v>112.77</v>
      </c>
      <c r="K2160" s="11" t="n">
        <v>93.97</v>
      </c>
      <c r="L2160" s="11" t="n">
        <v>0.379</v>
      </c>
      <c r="M2160" s="11" t="n">
        <v>0.758</v>
      </c>
      <c r="N2160" s="11" t="n">
        <v>1</v>
      </c>
      <c r="O2160" s="11" t="n">
        <v>4.5</v>
      </c>
      <c r="P2160" s="11" t="n">
        <v>2.22</v>
      </c>
      <c r="Q2160" s="11" t="n">
        <v>16.65</v>
      </c>
      <c r="R2160" s="11" t="n">
        <f aca="false">SUM(K2160:Q2160)</f>
        <v>119.477</v>
      </c>
      <c r="S2160" s="11" t="n">
        <f aca="false">R2160/(1-Resumo!$C$6)</f>
        <v>135.769318181818</v>
      </c>
      <c r="T2160" s="11" t="n">
        <f aca="false">S2160-J2160</f>
        <v>22.9993181818182</v>
      </c>
      <c r="U2160" s="12" t="n">
        <f aca="false">IFERROR(S2160/J2160-1,0)</f>
        <v>0.203948906462873</v>
      </c>
      <c r="V2160" s="2" t="str">
        <f aca="false">IF(S2160&lt;J2160,"SIM","NÃO")</f>
        <v>NÃO</v>
      </c>
      <c r="W2160" s="2" t="n">
        <v>5</v>
      </c>
      <c r="X2160" s="2" t="s">
        <v>156</v>
      </c>
    </row>
    <row r="2161" customFormat="false" ht="15" hidden="false" customHeight="false" outlineLevel="0" collapsed="false">
      <c r="A2161" s="2" t="n">
        <v>400085078</v>
      </c>
      <c r="B2161" s="29" t="n">
        <v>46292.7734375</v>
      </c>
      <c r="C2161" s="2" t="s">
        <v>158</v>
      </c>
      <c r="D2161" s="2" t="s">
        <v>965</v>
      </c>
      <c r="E2161" s="2" t="s">
        <v>86</v>
      </c>
      <c r="F2161" s="2" t="s">
        <v>109</v>
      </c>
      <c r="G2161" s="30" t="n">
        <v>58.6</v>
      </c>
      <c r="H2161" s="11" t="n">
        <v>658.98</v>
      </c>
      <c r="I2161" s="11" t="s">
        <v>155</v>
      </c>
      <c r="J2161" s="11" t="n">
        <v>128.44</v>
      </c>
      <c r="K2161" s="11" t="n">
        <v>112.3</v>
      </c>
      <c r="L2161" s="11" t="n">
        <v>0.659</v>
      </c>
      <c r="M2161" s="11" t="n">
        <v>1.318</v>
      </c>
      <c r="N2161" s="11" t="n">
        <v>1</v>
      </c>
      <c r="O2161" s="11" t="n">
        <v>4.5</v>
      </c>
      <c r="P2161" s="11" t="n">
        <v>3.54</v>
      </c>
      <c r="Q2161" s="11" t="n">
        <v>26.55</v>
      </c>
      <c r="R2161" s="11" t="n">
        <f aca="false">SUM(K2161:Q2161)</f>
        <v>149.867</v>
      </c>
      <c r="S2161" s="11" t="n">
        <f aca="false">R2161/(1-Resumo!$C$6)</f>
        <v>170.303409090909</v>
      </c>
      <c r="T2161" s="11" t="n">
        <f aca="false">S2161-J2161</f>
        <v>41.8634090909091</v>
      </c>
      <c r="U2161" s="12" t="n">
        <f aca="false">IFERROR(S2161/J2161-1,0)</f>
        <v>0.325937473457716</v>
      </c>
      <c r="V2161" s="2" t="str">
        <f aca="false">IF(S2161&lt;J2161,"SIM","NÃO")</f>
        <v>NÃO</v>
      </c>
      <c r="W2161" s="2" t="n">
        <v>5</v>
      </c>
      <c r="X2161" s="2" t="s">
        <v>156</v>
      </c>
    </row>
    <row r="2162" customFormat="false" ht="15" hidden="false" customHeight="false" outlineLevel="0" collapsed="false">
      <c r="A2162" s="2" t="n">
        <v>400088243</v>
      </c>
      <c r="B2162" s="29" t="n">
        <v>46292.7809143519</v>
      </c>
      <c r="C2162" s="2" t="s">
        <v>153</v>
      </c>
      <c r="D2162" s="2" t="s">
        <v>2138</v>
      </c>
      <c r="E2162" s="2" t="s">
        <v>85</v>
      </c>
      <c r="F2162" s="2" t="s">
        <v>108</v>
      </c>
      <c r="G2162" s="30" t="n">
        <v>45.3</v>
      </c>
      <c r="H2162" s="11" t="n">
        <v>699.99</v>
      </c>
      <c r="I2162" s="11" t="s">
        <v>155</v>
      </c>
      <c r="J2162" s="11" t="n">
        <v>131.51</v>
      </c>
      <c r="K2162" s="11" t="n">
        <v>152.54</v>
      </c>
      <c r="L2162" s="11" t="n">
        <v>0.7</v>
      </c>
      <c r="M2162" s="11" t="n">
        <v>1.4</v>
      </c>
      <c r="N2162" s="11" t="n">
        <v>1</v>
      </c>
      <c r="O2162" s="11" t="n">
        <v>4.5</v>
      </c>
      <c r="P2162" s="11" t="n">
        <v>2.76</v>
      </c>
      <c r="Q2162" s="11" t="n">
        <v>20.7</v>
      </c>
      <c r="R2162" s="11" t="n">
        <f aca="false">SUM(K2162:Q2162)</f>
        <v>183.6</v>
      </c>
      <c r="S2162" s="11" t="n">
        <f aca="false">R2162/(1-Resumo!$C$6)</f>
        <v>208.636363636364</v>
      </c>
      <c r="T2162" s="11" t="n">
        <f aca="false">S2162-J2162</f>
        <v>77.1263636363636</v>
      </c>
      <c r="U2162" s="12" t="n">
        <f aca="false">IFERROR(S2162/J2162-1,0)</f>
        <v>0.586467672696857</v>
      </c>
      <c r="V2162" s="2" t="str">
        <f aca="false">IF(S2162&lt;J2162,"SIM","NÃO")</f>
        <v>NÃO</v>
      </c>
      <c r="W2162" s="2" t="n">
        <v>11</v>
      </c>
      <c r="X2162" s="2" t="s">
        <v>156</v>
      </c>
    </row>
    <row r="2163" customFormat="false" ht="15" hidden="false" customHeight="false" outlineLevel="0" collapsed="false">
      <c r="A2163" s="2" t="n">
        <v>400096191</v>
      </c>
      <c r="B2163" s="29" t="n">
        <v>46292.7994907407</v>
      </c>
      <c r="C2163" s="2" t="s">
        <v>158</v>
      </c>
      <c r="D2163" s="2" t="s">
        <v>2139</v>
      </c>
      <c r="E2163" s="2" t="s">
        <v>493</v>
      </c>
      <c r="F2163" s="2" t="s">
        <v>112</v>
      </c>
      <c r="G2163" s="30" t="n">
        <v>82</v>
      </c>
      <c r="H2163" s="11" t="n">
        <v>1399.98</v>
      </c>
      <c r="I2163" s="11" t="s">
        <v>155</v>
      </c>
      <c r="J2163" s="11" t="n">
        <v>195.31</v>
      </c>
      <c r="K2163" s="11" t="n">
        <v>197.35</v>
      </c>
      <c r="L2163" s="11" t="n">
        <v>1.4</v>
      </c>
      <c r="M2163" s="11" t="n">
        <v>2.8</v>
      </c>
      <c r="N2163" s="11" t="n">
        <v>1</v>
      </c>
      <c r="O2163" s="11" t="n">
        <v>4.5</v>
      </c>
      <c r="P2163" s="11" t="n">
        <v>4.92</v>
      </c>
      <c r="Q2163" s="11" t="n">
        <v>36.9</v>
      </c>
      <c r="R2163" s="11" t="n">
        <f aca="false">SUM(K2163:Q2163)</f>
        <v>248.87</v>
      </c>
      <c r="S2163" s="11" t="n">
        <f aca="false">R2163/(1-Resumo!$C$6)</f>
        <v>282.806818181818</v>
      </c>
      <c r="T2163" s="11" t="n">
        <f aca="false">S2163-J2163</f>
        <v>87.4968181818182</v>
      </c>
      <c r="U2163" s="12" t="n">
        <f aca="false">IFERROR(S2163/J2163-1,0)</f>
        <v>0.447989443355784</v>
      </c>
      <c r="V2163" s="2" t="str">
        <f aca="false">IF(S2163&lt;J2163,"SIM","NÃO")</f>
        <v>NÃO</v>
      </c>
      <c r="W2163" s="2" t="n">
        <v>10</v>
      </c>
      <c r="X2163" s="2" t="s">
        <v>161</v>
      </c>
    </row>
    <row r="2164" customFormat="false" ht="15" hidden="false" customHeight="false" outlineLevel="0" collapsed="false">
      <c r="A2164" s="2" t="n">
        <v>400103950</v>
      </c>
      <c r="B2164" s="29" t="n">
        <v>46292.818587963</v>
      </c>
      <c r="C2164" s="2" t="s">
        <v>158</v>
      </c>
      <c r="D2164" s="2" t="s">
        <v>2140</v>
      </c>
      <c r="E2164" s="2" t="s">
        <v>78</v>
      </c>
      <c r="F2164" s="2" t="s">
        <v>109</v>
      </c>
      <c r="G2164" s="30" t="n">
        <v>52.3</v>
      </c>
      <c r="H2164" s="11" t="n">
        <v>636.83</v>
      </c>
      <c r="I2164" s="11" t="s">
        <v>155</v>
      </c>
      <c r="J2164" s="11" t="n">
        <v>114.19</v>
      </c>
      <c r="K2164" s="11" t="n">
        <v>112.3</v>
      </c>
      <c r="L2164" s="11" t="n">
        <v>0.6368</v>
      </c>
      <c r="M2164" s="11" t="n">
        <v>1.2737</v>
      </c>
      <c r="N2164" s="11" t="n">
        <v>1</v>
      </c>
      <c r="O2164" s="11" t="n">
        <v>4.5</v>
      </c>
      <c r="P2164" s="11" t="n">
        <v>3.18</v>
      </c>
      <c r="Q2164" s="11" t="n">
        <v>23.85</v>
      </c>
      <c r="R2164" s="11" t="n">
        <f aca="false">SUM(K2164:Q2164)</f>
        <v>146.7405</v>
      </c>
      <c r="S2164" s="11" t="n">
        <f aca="false">R2164/(1-Resumo!$C$6)</f>
        <v>166.750568181818</v>
      </c>
      <c r="T2164" s="11" t="n">
        <f aca="false">S2164-J2164</f>
        <v>52.5605681818182</v>
      </c>
      <c r="U2164" s="12" t="n">
        <f aca="false">IFERROR(S2164/J2164-1,0)</f>
        <v>0.460290464855225</v>
      </c>
      <c r="V2164" s="2" t="str">
        <f aca="false">IF(S2164&lt;J2164,"SIM","NÃO")</f>
        <v>NÃO</v>
      </c>
      <c r="W2164" s="2" t="n">
        <v>5</v>
      </c>
      <c r="X2164" s="2" t="s">
        <v>156</v>
      </c>
    </row>
    <row r="2165" customFormat="false" ht="15" hidden="false" customHeight="false" outlineLevel="0" collapsed="false">
      <c r="A2165" s="2" t="n">
        <v>400131733</v>
      </c>
      <c r="B2165" s="29" t="n">
        <v>46292.8835300926</v>
      </c>
      <c r="C2165" s="2" t="s">
        <v>153</v>
      </c>
      <c r="D2165" s="2" t="s">
        <v>2141</v>
      </c>
      <c r="E2165" s="2" t="s">
        <v>96</v>
      </c>
      <c r="F2165" s="2" t="s">
        <v>106</v>
      </c>
      <c r="G2165" s="30" t="n">
        <v>25.4</v>
      </c>
      <c r="H2165" s="11" t="n">
        <v>439.99</v>
      </c>
      <c r="I2165" s="11" t="s">
        <v>155</v>
      </c>
      <c r="J2165" s="11" t="n">
        <v>109.28</v>
      </c>
      <c r="K2165" s="11" t="n">
        <v>120.78</v>
      </c>
      <c r="L2165" s="11" t="n">
        <v>0.44</v>
      </c>
      <c r="M2165" s="11" t="n">
        <v>0.88</v>
      </c>
      <c r="N2165" s="11" t="n">
        <v>1</v>
      </c>
      <c r="O2165" s="11" t="n">
        <v>4.5</v>
      </c>
      <c r="P2165" s="11" t="n">
        <v>1.56</v>
      </c>
      <c r="Q2165" s="11" t="n">
        <v>11.7</v>
      </c>
      <c r="R2165" s="11" t="n">
        <f aca="false">SUM(K2165:Q2165)</f>
        <v>140.86</v>
      </c>
      <c r="S2165" s="11" t="n">
        <f aca="false">R2165/(1-Resumo!$C$6)</f>
        <v>160.068181818182</v>
      </c>
      <c r="T2165" s="11" t="n">
        <f aca="false">S2165-J2165</f>
        <v>50.7881818181818</v>
      </c>
      <c r="U2165" s="12" t="n">
        <f aca="false">IFERROR(S2165/J2165-1,0)</f>
        <v>0.464752761879409</v>
      </c>
      <c r="V2165" s="2" t="str">
        <f aca="false">IF(S2165&lt;J2165,"SIM","NÃO")</f>
        <v>NÃO</v>
      </c>
      <c r="W2165" s="2" t="n">
        <v>10</v>
      </c>
      <c r="X2165" s="2" t="s">
        <v>156</v>
      </c>
    </row>
    <row r="2166" customFormat="false" ht="15" hidden="false" customHeight="false" outlineLevel="0" collapsed="false">
      <c r="A2166" s="2" t="n">
        <v>400134935</v>
      </c>
      <c r="B2166" s="29" t="n">
        <v>46292.891400463</v>
      </c>
      <c r="C2166" s="2" t="s">
        <v>158</v>
      </c>
      <c r="D2166" s="2" t="s">
        <v>965</v>
      </c>
      <c r="E2166" s="2" t="s">
        <v>86</v>
      </c>
      <c r="F2166" s="2" t="s">
        <v>109</v>
      </c>
      <c r="G2166" s="30" t="n">
        <v>58.6</v>
      </c>
      <c r="H2166" s="11" t="n">
        <v>658.98</v>
      </c>
      <c r="I2166" s="11" t="s">
        <v>155</v>
      </c>
      <c r="J2166" s="11" t="n">
        <v>128.44</v>
      </c>
      <c r="K2166" s="11" t="n">
        <v>112.3</v>
      </c>
      <c r="L2166" s="11" t="n">
        <v>0.659</v>
      </c>
      <c r="M2166" s="11" t="n">
        <v>1.318</v>
      </c>
      <c r="N2166" s="11" t="n">
        <v>1</v>
      </c>
      <c r="O2166" s="11" t="n">
        <v>4.5</v>
      </c>
      <c r="P2166" s="11" t="n">
        <v>3.54</v>
      </c>
      <c r="Q2166" s="11" t="n">
        <v>26.55</v>
      </c>
      <c r="R2166" s="11" t="n">
        <f aca="false">SUM(K2166:Q2166)</f>
        <v>149.867</v>
      </c>
      <c r="S2166" s="11" t="n">
        <f aca="false">R2166/(1-Resumo!$C$6)</f>
        <v>170.303409090909</v>
      </c>
      <c r="T2166" s="11" t="n">
        <f aca="false">S2166-J2166</f>
        <v>41.8634090909091</v>
      </c>
      <c r="U2166" s="12" t="n">
        <f aca="false">IFERROR(S2166/J2166-1,0)</f>
        <v>0.325937473457716</v>
      </c>
      <c r="V2166" s="2" t="str">
        <f aca="false">IF(S2166&lt;J2166,"SIM","NÃO")</f>
        <v>NÃO</v>
      </c>
      <c r="W2166" s="2" t="n">
        <v>5</v>
      </c>
      <c r="X2166" s="2" t="s">
        <v>156</v>
      </c>
    </row>
    <row r="2167" customFormat="false" ht="15" hidden="false" customHeight="false" outlineLevel="0" collapsed="false">
      <c r="A2167" s="2" t="n">
        <v>400146466</v>
      </c>
      <c r="B2167" s="29" t="n">
        <v>46292.9000810185</v>
      </c>
      <c r="C2167" s="2" t="s">
        <v>369</v>
      </c>
      <c r="D2167" s="2" t="s">
        <v>2142</v>
      </c>
      <c r="E2167" s="2" t="s">
        <v>79</v>
      </c>
      <c r="F2167" s="2" t="s">
        <v>106</v>
      </c>
      <c r="G2167" s="30" t="n">
        <v>21.8</v>
      </c>
      <c r="H2167" s="11" t="n">
        <v>319.99</v>
      </c>
      <c r="I2167" s="11" t="s">
        <v>155</v>
      </c>
      <c r="J2167" s="11" t="n">
        <v>100.92</v>
      </c>
      <c r="K2167" s="11" t="n">
        <v>100.58</v>
      </c>
      <c r="L2167" s="11" t="n">
        <v>0.32</v>
      </c>
      <c r="M2167" s="11" t="n">
        <v>0.64</v>
      </c>
      <c r="N2167" s="11" t="n">
        <v>1</v>
      </c>
      <c r="O2167" s="11" t="n">
        <v>4.5</v>
      </c>
      <c r="P2167" s="11" t="n">
        <v>1.32</v>
      </c>
      <c r="Q2167" s="11" t="n">
        <v>9.9</v>
      </c>
      <c r="R2167" s="11" t="n">
        <f aca="false">SUM(K2167:Q2167)</f>
        <v>118.26</v>
      </c>
      <c r="S2167" s="11" t="n">
        <f aca="false">R2167/(1-Resumo!$C$6)</f>
        <v>134.386363636364</v>
      </c>
      <c r="T2167" s="11" t="n">
        <f aca="false">S2167-J2167</f>
        <v>33.4663636363637</v>
      </c>
      <c r="U2167" s="12" t="n">
        <f aca="false">IFERROR(S2167/J2167-1,0)</f>
        <v>0.331612798616366</v>
      </c>
      <c r="V2167" s="2" t="str">
        <f aca="false">IF(S2167&lt;J2167,"SIM","NÃO")</f>
        <v>NÃO</v>
      </c>
      <c r="W2167" s="2" t="n">
        <v>7</v>
      </c>
      <c r="X2167" s="2" t="s">
        <v>156</v>
      </c>
    </row>
    <row r="2168" customFormat="false" ht="15" hidden="false" customHeight="false" outlineLevel="0" collapsed="false">
      <c r="A2168" s="2" t="n">
        <v>400187860</v>
      </c>
      <c r="B2168" s="29" t="n">
        <v>46293.0349537037</v>
      </c>
      <c r="C2168" s="2" t="s">
        <v>153</v>
      </c>
      <c r="D2168" s="2" t="s">
        <v>808</v>
      </c>
      <c r="E2168" s="2" t="s">
        <v>79</v>
      </c>
      <c r="F2168" s="2" t="s">
        <v>106</v>
      </c>
      <c r="G2168" s="30" t="n">
        <v>28.8</v>
      </c>
      <c r="H2168" s="11" t="n">
        <v>799.39</v>
      </c>
      <c r="I2168" s="11" t="s">
        <v>155</v>
      </c>
      <c r="J2168" s="11" t="n">
        <v>103.23</v>
      </c>
      <c r="K2168" s="11" t="n">
        <v>100.58</v>
      </c>
      <c r="L2168" s="11" t="n">
        <v>0.7994</v>
      </c>
      <c r="M2168" s="11" t="n">
        <v>1.5988</v>
      </c>
      <c r="N2168" s="11" t="n">
        <v>1</v>
      </c>
      <c r="O2168" s="11" t="n">
        <v>4.5</v>
      </c>
      <c r="P2168" s="11" t="n">
        <v>1.74</v>
      </c>
      <c r="Q2168" s="11" t="n">
        <v>13.05</v>
      </c>
      <c r="R2168" s="11" t="n">
        <f aca="false">SUM(K2168:Q2168)</f>
        <v>123.2682</v>
      </c>
      <c r="S2168" s="11" t="n">
        <f aca="false">R2168/(1-Resumo!$C$6)</f>
        <v>140.0775</v>
      </c>
      <c r="T2168" s="11" t="n">
        <f aca="false">S2168-J2168</f>
        <v>36.8475</v>
      </c>
      <c r="U2168" s="12" t="n">
        <f aca="false">IFERROR(S2168/J2168-1,0)</f>
        <v>0.356945655332752</v>
      </c>
      <c r="V2168" s="2" t="str">
        <f aca="false">IF(S2168&lt;J2168,"SIM","NÃO")</f>
        <v>NÃO</v>
      </c>
      <c r="W2168" s="2" t="n">
        <v>7</v>
      </c>
      <c r="X2168" s="2" t="s">
        <v>156</v>
      </c>
    </row>
    <row r="2169" customFormat="false" ht="15" hidden="false" customHeight="false" outlineLevel="0" collapsed="false">
      <c r="A2169" s="2" t="n">
        <v>400279234</v>
      </c>
      <c r="B2169" s="29" t="n">
        <v>46293.3633680556</v>
      </c>
      <c r="C2169" s="2" t="s">
        <v>153</v>
      </c>
      <c r="D2169" s="2" t="s">
        <v>2143</v>
      </c>
      <c r="E2169" s="2" t="s">
        <v>82</v>
      </c>
      <c r="F2169" s="2" t="s">
        <v>113</v>
      </c>
      <c r="G2169" s="30" t="n">
        <v>108</v>
      </c>
      <c r="H2169" s="11" t="n">
        <v>1359.96</v>
      </c>
      <c r="I2169" s="11" t="s">
        <v>155</v>
      </c>
      <c r="J2169" s="11" t="n">
        <v>196.35</v>
      </c>
      <c r="K2169" s="11" t="n">
        <v>214.11</v>
      </c>
      <c r="L2169" s="11" t="n">
        <v>1.36</v>
      </c>
      <c r="M2169" s="11" t="n">
        <v>2.7199</v>
      </c>
      <c r="N2169" s="11" t="n">
        <v>1</v>
      </c>
      <c r="O2169" s="11" t="n">
        <v>9</v>
      </c>
      <c r="P2169" s="11" t="n">
        <v>6.48</v>
      </c>
      <c r="Q2169" s="11" t="n">
        <v>48.6</v>
      </c>
      <c r="R2169" s="11" t="n">
        <f aca="false">SUM(K2169:Q2169)</f>
        <v>283.2699</v>
      </c>
      <c r="S2169" s="11" t="n">
        <f aca="false">R2169/(1-Resumo!$C$6)</f>
        <v>321.897613636364</v>
      </c>
      <c r="T2169" s="11" t="n">
        <f aca="false">S2169-J2169</f>
        <v>125.547613636364</v>
      </c>
      <c r="U2169" s="12" t="n">
        <f aca="false">IFERROR(S2169/J2169-1,0)</f>
        <v>0.639407250503507</v>
      </c>
      <c r="V2169" s="2" t="str">
        <f aca="false">IF(S2169&lt;J2169,"SIM","NÃO")</f>
        <v>NÃO</v>
      </c>
      <c r="W2169" s="2" t="n">
        <v>7</v>
      </c>
      <c r="X2169" s="2" t="s">
        <v>156</v>
      </c>
    </row>
    <row r="2170" customFormat="false" ht="15" hidden="false" customHeight="false" outlineLevel="0" collapsed="false">
      <c r="A2170" s="2" t="n">
        <v>400457620</v>
      </c>
      <c r="B2170" s="29" t="n">
        <v>46293.6763310185</v>
      </c>
      <c r="C2170" s="2" t="s">
        <v>153</v>
      </c>
      <c r="D2170" s="2" t="s">
        <v>2144</v>
      </c>
      <c r="E2170" s="2" t="s">
        <v>87</v>
      </c>
      <c r="F2170" s="2" t="s">
        <v>108</v>
      </c>
      <c r="G2170" s="30" t="n">
        <v>48</v>
      </c>
      <c r="H2170" s="11" t="n">
        <v>828.99</v>
      </c>
      <c r="I2170" s="11" t="s">
        <v>155</v>
      </c>
      <c r="J2170" s="11" t="n">
        <v>132.14</v>
      </c>
      <c r="K2170" s="11" t="n">
        <v>124.38</v>
      </c>
      <c r="L2170" s="11" t="n">
        <v>0.829</v>
      </c>
      <c r="M2170" s="11" t="n">
        <v>1.658</v>
      </c>
      <c r="N2170" s="11" t="n">
        <v>1</v>
      </c>
      <c r="O2170" s="11" t="n">
        <v>4.5</v>
      </c>
      <c r="P2170" s="11" t="n">
        <v>2.88</v>
      </c>
      <c r="Q2170" s="11" t="n">
        <v>21.6</v>
      </c>
      <c r="R2170" s="11" t="n">
        <f aca="false">SUM(K2170:Q2170)</f>
        <v>156.847</v>
      </c>
      <c r="S2170" s="11" t="n">
        <f aca="false">R2170/(1-Resumo!$C$6)</f>
        <v>178.235227272727</v>
      </c>
      <c r="T2170" s="11" t="n">
        <f aca="false">S2170-J2170</f>
        <v>46.0952272727273</v>
      </c>
      <c r="U2170" s="12" t="n">
        <f aca="false">IFERROR(S2170/J2170-1,0)</f>
        <v>0.348836289335003</v>
      </c>
      <c r="V2170" s="2" t="str">
        <f aca="false">IF(S2170&lt;J2170,"SIM","NÃO")</f>
        <v>NÃO</v>
      </c>
      <c r="W2170" s="2" t="n">
        <v>10</v>
      </c>
      <c r="X2170" s="2" t="s">
        <v>156</v>
      </c>
    </row>
    <row r="2171" customFormat="false" ht="15" hidden="false" customHeight="false" outlineLevel="0" collapsed="false">
      <c r="A2171" s="2" t="n">
        <v>400487254</v>
      </c>
      <c r="B2171" s="29" t="n">
        <v>46293.7294791667</v>
      </c>
      <c r="C2171" s="2" t="s">
        <v>153</v>
      </c>
      <c r="D2171" s="2" t="s">
        <v>2145</v>
      </c>
      <c r="E2171" s="2" t="s">
        <v>78</v>
      </c>
      <c r="F2171" s="2" t="s">
        <v>108</v>
      </c>
      <c r="G2171" s="30" t="n">
        <v>41.4</v>
      </c>
      <c r="H2171" s="11" t="n">
        <v>413.47</v>
      </c>
      <c r="I2171" s="11" t="s">
        <v>155</v>
      </c>
      <c r="J2171" s="11" t="n">
        <v>102.58</v>
      </c>
      <c r="K2171" s="11" t="n">
        <v>93.97</v>
      </c>
      <c r="L2171" s="11" t="n">
        <v>0.4135</v>
      </c>
      <c r="M2171" s="11" t="n">
        <v>0.8269</v>
      </c>
      <c r="N2171" s="11" t="n">
        <v>1</v>
      </c>
      <c r="O2171" s="11" t="n">
        <v>4.5</v>
      </c>
      <c r="P2171" s="11" t="n">
        <v>2.52</v>
      </c>
      <c r="Q2171" s="11" t="n">
        <v>18.9</v>
      </c>
      <c r="R2171" s="11" t="n">
        <f aca="false">SUM(K2171:Q2171)</f>
        <v>122.1304</v>
      </c>
      <c r="S2171" s="11" t="n">
        <f aca="false">R2171/(1-Resumo!$C$6)</f>
        <v>138.784545454545</v>
      </c>
      <c r="T2171" s="11" t="n">
        <f aca="false">S2171-J2171</f>
        <v>36.2045454545455</v>
      </c>
      <c r="U2171" s="12" t="n">
        <f aca="false">IFERROR(S2171/J2171-1,0)</f>
        <v>0.352939612541874</v>
      </c>
      <c r="V2171" s="2" t="str">
        <f aca="false">IF(S2171&lt;J2171,"SIM","NÃO")</f>
        <v>NÃO</v>
      </c>
      <c r="W2171" s="2" t="n">
        <v>5</v>
      </c>
      <c r="X2171" s="2" t="s">
        <v>156</v>
      </c>
    </row>
    <row r="2172" customFormat="false" ht="15" hidden="false" customHeight="false" outlineLevel="0" collapsed="false">
      <c r="A2172" s="2" t="n">
        <v>400506608</v>
      </c>
      <c r="B2172" s="29" t="n">
        <v>46293.7589930556</v>
      </c>
      <c r="C2172" s="2" t="s">
        <v>158</v>
      </c>
      <c r="D2172" s="2" t="s">
        <v>2146</v>
      </c>
      <c r="E2172" s="2" t="s">
        <v>78</v>
      </c>
      <c r="F2172" s="2" t="s">
        <v>106</v>
      </c>
      <c r="G2172" s="30" t="n">
        <v>25.8</v>
      </c>
      <c r="H2172" s="11" t="n">
        <v>306</v>
      </c>
      <c r="I2172" s="11" t="s">
        <v>155</v>
      </c>
      <c r="J2172" s="11" t="n">
        <v>81.78</v>
      </c>
      <c r="K2172" s="11" t="n">
        <v>82.21</v>
      </c>
      <c r="L2172" s="11" t="n">
        <v>0.306</v>
      </c>
      <c r="M2172" s="11" t="n">
        <v>0.612</v>
      </c>
      <c r="N2172" s="11" t="n">
        <v>1</v>
      </c>
      <c r="O2172" s="11" t="n">
        <v>4.5</v>
      </c>
      <c r="P2172" s="11" t="n">
        <v>1.56</v>
      </c>
      <c r="Q2172" s="11" t="n">
        <v>11.7</v>
      </c>
      <c r="R2172" s="11" t="n">
        <f aca="false">SUM(K2172:Q2172)</f>
        <v>101.888</v>
      </c>
      <c r="S2172" s="11" t="n">
        <f aca="false">R2172/(1-Resumo!$C$6)</f>
        <v>115.781818181818</v>
      </c>
      <c r="T2172" s="11" t="n">
        <f aca="false">S2172-J2172</f>
        <v>34.0018181818182</v>
      </c>
      <c r="U2172" s="12" t="n">
        <f aca="false">IFERROR(S2172/J2172-1,0)</f>
        <v>0.415771804619933</v>
      </c>
      <c r="V2172" s="2" t="str">
        <f aca="false">IF(S2172&lt;J2172,"SIM","NÃO")</f>
        <v>NÃO</v>
      </c>
      <c r="W2172" s="2" t="n">
        <v>5</v>
      </c>
      <c r="X2172" s="2" t="s">
        <v>156</v>
      </c>
    </row>
    <row r="2173" customFormat="false" ht="15" hidden="false" customHeight="false" outlineLevel="0" collapsed="false">
      <c r="A2173" s="2" t="n">
        <v>400708698</v>
      </c>
      <c r="B2173" s="29" t="n">
        <v>46294.3170717593</v>
      </c>
      <c r="C2173" s="2" t="s">
        <v>158</v>
      </c>
      <c r="D2173" s="2" t="s">
        <v>2147</v>
      </c>
      <c r="E2173" s="2" t="s">
        <v>79</v>
      </c>
      <c r="F2173" s="2" t="s">
        <v>106</v>
      </c>
      <c r="G2173" s="30" t="n">
        <v>31.9</v>
      </c>
      <c r="H2173" s="11" t="n">
        <v>483.99</v>
      </c>
      <c r="I2173" s="11" t="s">
        <v>155</v>
      </c>
      <c r="J2173" s="11" t="n">
        <v>101.72</v>
      </c>
      <c r="K2173" s="11" t="n">
        <v>100.58</v>
      </c>
      <c r="L2173" s="11" t="n">
        <v>0.484</v>
      </c>
      <c r="M2173" s="11" t="n">
        <v>0.968</v>
      </c>
      <c r="N2173" s="11" t="n">
        <v>1</v>
      </c>
      <c r="O2173" s="11" t="n">
        <v>4.5</v>
      </c>
      <c r="P2173" s="11" t="n">
        <v>1.92</v>
      </c>
      <c r="Q2173" s="11" t="n">
        <v>14.4</v>
      </c>
      <c r="R2173" s="11" t="n">
        <f aca="false">SUM(K2173:Q2173)</f>
        <v>123.852</v>
      </c>
      <c r="S2173" s="11" t="n">
        <f aca="false">R2173/(1-Resumo!$C$6)</f>
        <v>140.740909090909</v>
      </c>
      <c r="T2173" s="11" t="n">
        <f aca="false">S2173-J2173</f>
        <v>39.0209090909091</v>
      </c>
      <c r="U2173" s="12" t="n">
        <f aca="false">IFERROR(S2173/J2173-1,0)</f>
        <v>0.383610982018375</v>
      </c>
      <c r="V2173" s="2" t="str">
        <f aca="false">IF(S2173&lt;J2173,"SIM","NÃO")</f>
        <v>NÃO</v>
      </c>
      <c r="W2173" s="2" t="n">
        <v>7</v>
      </c>
      <c r="X2173" s="2" t="s">
        <v>156</v>
      </c>
    </row>
    <row r="2174" customFormat="false" ht="15" hidden="false" customHeight="false" outlineLevel="0" collapsed="false">
      <c r="A2174" s="2" t="n">
        <v>400742691</v>
      </c>
      <c r="B2174" s="29" t="n">
        <v>46294.4002314815</v>
      </c>
      <c r="C2174" s="2" t="s">
        <v>153</v>
      </c>
      <c r="D2174" s="2" t="s">
        <v>2148</v>
      </c>
      <c r="E2174" s="2" t="s">
        <v>88</v>
      </c>
      <c r="F2174" s="2" t="s">
        <v>106</v>
      </c>
      <c r="G2174" s="30" t="n">
        <v>27</v>
      </c>
      <c r="H2174" s="11" t="n">
        <v>270.99</v>
      </c>
      <c r="I2174" s="11" t="s">
        <v>155</v>
      </c>
      <c r="J2174" s="11" t="n">
        <v>108.48</v>
      </c>
      <c r="K2174" s="11" t="n">
        <v>108.83</v>
      </c>
      <c r="L2174" s="11" t="n">
        <v>0.271</v>
      </c>
      <c r="M2174" s="11" t="n">
        <v>0.542</v>
      </c>
      <c r="N2174" s="11" t="n">
        <v>1</v>
      </c>
      <c r="O2174" s="11" t="n">
        <v>4.5</v>
      </c>
      <c r="P2174" s="11" t="n">
        <v>1.62</v>
      </c>
      <c r="Q2174" s="11" t="n">
        <v>12.15</v>
      </c>
      <c r="R2174" s="11" t="n">
        <f aca="false">SUM(K2174:Q2174)</f>
        <v>128.913</v>
      </c>
      <c r="S2174" s="11" t="n">
        <f aca="false">R2174/(1-Resumo!$C$6)</f>
        <v>146.492045454545</v>
      </c>
      <c r="T2174" s="11" t="n">
        <f aca="false">S2174-J2174</f>
        <v>38.0120454545455</v>
      </c>
      <c r="U2174" s="12" t="n">
        <f aca="false">IFERROR(S2174/J2174-1,0)</f>
        <v>0.350406023732904</v>
      </c>
      <c r="V2174" s="2" t="str">
        <f aca="false">IF(S2174&lt;J2174,"SIM","NÃO")</f>
        <v>NÃO</v>
      </c>
      <c r="W2174" s="2" t="n">
        <v>10</v>
      </c>
      <c r="X2174" s="2" t="s">
        <v>156</v>
      </c>
    </row>
    <row r="2175" customFormat="false" ht="15" hidden="false" customHeight="false" outlineLevel="0" collapsed="false">
      <c r="A2175" s="2" t="n">
        <v>400748865</v>
      </c>
      <c r="B2175" s="29" t="n">
        <v>46294.4120023148</v>
      </c>
      <c r="C2175" s="2" t="s">
        <v>158</v>
      </c>
      <c r="D2175" s="2" t="s">
        <v>2149</v>
      </c>
      <c r="E2175" s="2" t="s">
        <v>78</v>
      </c>
      <c r="F2175" s="2" t="s">
        <v>105</v>
      </c>
      <c r="G2175" s="30" t="n">
        <v>16</v>
      </c>
      <c r="H2175" s="11" t="n">
        <v>292.4</v>
      </c>
      <c r="I2175" s="11" t="s">
        <v>155</v>
      </c>
      <c r="J2175" s="11" t="n">
        <v>64.6</v>
      </c>
      <c r="K2175" s="11" t="n">
        <v>46.98</v>
      </c>
      <c r="L2175" s="11" t="n">
        <v>0.2924</v>
      </c>
      <c r="M2175" s="11" t="n">
        <v>0.5848</v>
      </c>
      <c r="N2175" s="11" t="n">
        <v>1</v>
      </c>
      <c r="O2175" s="11" t="n">
        <v>4.5</v>
      </c>
      <c r="P2175" s="11" t="n">
        <v>0.96</v>
      </c>
      <c r="Q2175" s="11" t="n">
        <v>7.2</v>
      </c>
      <c r="R2175" s="11" t="n">
        <f aca="false">SUM(K2175:Q2175)</f>
        <v>61.5172</v>
      </c>
      <c r="S2175" s="11" t="n">
        <f aca="false">R2175/(1-Resumo!$C$6)</f>
        <v>69.9059090909091</v>
      </c>
      <c r="T2175" s="11" t="n">
        <f aca="false">S2175-J2175</f>
        <v>5.3059090909091</v>
      </c>
      <c r="U2175" s="12" t="n">
        <f aca="false">IFERROR(S2175/J2175-1,0)</f>
        <v>0.0821348156487476</v>
      </c>
      <c r="V2175" s="2" t="str">
        <f aca="false">IF(S2175&lt;J2175,"SIM","NÃO")</f>
        <v>NÃO</v>
      </c>
      <c r="W2175" s="2" t="n">
        <v>5</v>
      </c>
      <c r="X2175" s="2" t="s">
        <v>156</v>
      </c>
    </row>
    <row r="2176" customFormat="false" ht="15" hidden="false" customHeight="false" outlineLevel="0" collapsed="false">
      <c r="A2176" s="2" t="n">
        <v>400749950</v>
      </c>
      <c r="B2176" s="29" t="n">
        <v>46294.4141435185</v>
      </c>
      <c r="C2176" s="2" t="s">
        <v>153</v>
      </c>
      <c r="D2176" s="2" t="s">
        <v>2150</v>
      </c>
      <c r="E2176" s="2" t="s">
        <v>95</v>
      </c>
      <c r="F2176" s="2" t="s">
        <v>105</v>
      </c>
      <c r="G2176" s="30" t="n">
        <v>19.9</v>
      </c>
      <c r="H2176" s="11" t="n">
        <v>270.99</v>
      </c>
      <c r="I2176" s="11" t="s">
        <v>155</v>
      </c>
      <c r="J2176" s="11" t="n">
        <v>79.95</v>
      </c>
      <c r="K2176" s="11" t="n">
        <v>89.03</v>
      </c>
      <c r="L2176" s="11" t="n">
        <v>0.271</v>
      </c>
      <c r="M2176" s="11" t="n">
        <v>0.542</v>
      </c>
      <c r="N2176" s="11" t="n">
        <v>1</v>
      </c>
      <c r="O2176" s="11" t="n">
        <v>4.5</v>
      </c>
      <c r="P2176" s="11" t="n">
        <v>1.2</v>
      </c>
      <c r="Q2176" s="11" t="n">
        <v>9</v>
      </c>
      <c r="R2176" s="11" t="n">
        <f aca="false">SUM(K2176:Q2176)</f>
        <v>105.543</v>
      </c>
      <c r="S2176" s="11" t="n">
        <f aca="false">R2176/(1-Resumo!$C$6)</f>
        <v>119.935227272727</v>
      </c>
      <c r="T2176" s="11" t="n">
        <f aca="false">S2176-J2176</f>
        <v>39.9852272727273</v>
      </c>
      <c r="U2176" s="12" t="n">
        <f aca="false">IFERROR(S2176/J2176-1,0)</f>
        <v>0.500127920859628</v>
      </c>
      <c r="V2176" s="2" t="str">
        <f aca="false">IF(S2176&lt;J2176,"SIM","NÃO")</f>
        <v>NÃO</v>
      </c>
      <c r="W2176" s="2" t="n">
        <v>6</v>
      </c>
      <c r="X2176" s="2" t="s">
        <v>156</v>
      </c>
    </row>
    <row r="2177" customFormat="false" ht="15" hidden="false" customHeight="false" outlineLevel="0" collapsed="false">
      <c r="A2177" s="2" t="n">
        <v>400796564</v>
      </c>
      <c r="B2177" s="29" t="n">
        <v>46294.4809722222</v>
      </c>
      <c r="C2177" s="2" t="s">
        <v>158</v>
      </c>
      <c r="D2177" s="2" t="s">
        <v>2151</v>
      </c>
      <c r="E2177" s="2" t="s">
        <v>78</v>
      </c>
      <c r="F2177" s="2" t="s">
        <v>113</v>
      </c>
      <c r="G2177" s="30" t="n">
        <v>117.14</v>
      </c>
      <c r="H2177" s="11" t="n">
        <v>1549.99</v>
      </c>
      <c r="I2177" s="11" t="s">
        <v>155</v>
      </c>
      <c r="J2177" s="11" t="n">
        <v>187.07</v>
      </c>
      <c r="K2177" s="11" t="n">
        <v>201.59</v>
      </c>
      <c r="L2177" s="11" t="n">
        <v>1.55</v>
      </c>
      <c r="M2177" s="11" t="n">
        <v>3.1</v>
      </c>
      <c r="N2177" s="11" t="n">
        <v>1</v>
      </c>
      <c r="O2177" s="11" t="n">
        <v>9</v>
      </c>
      <c r="P2177" s="11" t="n">
        <v>7.08</v>
      </c>
      <c r="Q2177" s="11" t="n">
        <v>53.1</v>
      </c>
      <c r="R2177" s="11" t="n">
        <f aca="false">SUM(K2177:Q2177)</f>
        <v>276.42</v>
      </c>
      <c r="S2177" s="11" t="n">
        <f aca="false">R2177/(1-Resumo!$C$6)</f>
        <v>314.113636363636</v>
      </c>
      <c r="T2177" s="11" t="n">
        <f aca="false">S2177-J2177</f>
        <v>127.043636363636</v>
      </c>
      <c r="U2177" s="12" t="n">
        <f aca="false">IFERROR(S2177/J2177-1,0)</f>
        <v>0.679123517205519</v>
      </c>
      <c r="V2177" s="2" t="str">
        <f aca="false">IF(S2177&lt;J2177,"SIM","NÃO")</f>
        <v>NÃO</v>
      </c>
      <c r="W2177" s="2" t="n">
        <v>5</v>
      </c>
      <c r="X2177" s="2" t="s">
        <v>156</v>
      </c>
    </row>
    <row r="2178" customFormat="false" ht="15" hidden="false" customHeight="false" outlineLevel="0" collapsed="false">
      <c r="A2178" s="2" t="n">
        <v>400806072</v>
      </c>
      <c r="B2178" s="29" t="n">
        <v>46294.4973958333</v>
      </c>
      <c r="C2178" s="2" t="s">
        <v>153</v>
      </c>
      <c r="D2178" s="2" t="s">
        <v>2152</v>
      </c>
      <c r="E2178" s="2" t="s">
        <v>88</v>
      </c>
      <c r="F2178" s="2" t="s">
        <v>106</v>
      </c>
      <c r="G2178" s="30" t="n">
        <v>29.2</v>
      </c>
      <c r="H2178" s="11" t="n">
        <v>429.95</v>
      </c>
      <c r="I2178" s="11" t="s">
        <v>155</v>
      </c>
      <c r="J2178" s="11" t="n">
        <v>109.24</v>
      </c>
      <c r="K2178" s="11" t="n">
        <v>108.83</v>
      </c>
      <c r="L2178" s="11" t="n">
        <v>0.43</v>
      </c>
      <c r="M2178" s="11" t="n">
        <v>0.8599</v>
      </c>
      <c r="N2178" s="11" t="n">
        <v>1</v>
      </c>
      <c r="O2178" s="11" t="n">
        <v>4.5</v>
      </c>
      <c r="P2178" s="11" t="n">
        <v>1.8</v>
      </c>
      <c r="Q2178" s="11" t="n">
        <v>13.5</v>
      </c>
      <c r="R2178" s="11" t="n">
        <f aca="false">SUM(K2178:Q2178)</f>
        <v>130.9199</v>
      </c>
      <c r="S2178" s="11" t="n">
        <f aca="false">R2178/(1-Resumo!$C$6)</f>
        <v>148.772613636364</v>
      </c>
      <c r="T2178" s="11" t="n">
        <f aca="false">S2178-J2178</f>
        <v>39.5326136363636</v>
      </c>
      <c r="U2178" s="12" t="n">
        <f aca="false">IFERROR(S2178/J2178-1,0)</f>
        <v>0.361887711793881</v>
      </c>
      <c r="V2178" s="2" t="str">
        <f aca="false">IF(S2178&lt;J2178,"SIM","NÃO")</f>
        <v>NÃO</v>
      </c>
      <c r="W2178" s="2" t="n">
        <v>10</v>
      </c>
      <c r="X2178" s="2" t="s">
        <v>156</v>
      </c>
    </row>
    <row r="2179" customFormat="false" ht="15" hidden="false" customHeight="false" outlineLevel="0" collapsed="false">
      <c r="A2179" s="2" t="n">
        <v>400818798</v>
      </c>
      <c r="B2179" s="29" t="n">
        <v>46294.5167592593</v>
      </c>
      <c r="C2179" s="2" t="s">
        <v>153</v>
      </c>
      <c r="D2179" s="2" t="s">
        <v>430</v>
      </c>
      <c r="E2179" s="2" t="s">
        <v>78</v>
      </c>
      <c r="F2179" s="2" t="s">
        <v>106</v>
      </c>
      <c r="G2179" s="30" t="n">
        <v>20.9</v>
      </c>
      <c r="H2179" s="11" t="n">
        <v>450.79</v>
      </c>
      <c r="I2179" s="11" t="s">
        <v>155</v>
      </c>
      <c r="J2179" s="11" t="n">
        <v>82.48</v>
      </c>
      <c r="K2179" s="11" t="n">
        <v>82.21</v>
      </c>
      <c r="L2179" s="11" t="n">
        <v>0.4508</v>
      </c>
      <c r="M2179" s="11" t="n">
        <v>0.9016</v>
      </c>
      <c r="N2179" s="11" t="n">
        <v>1</v>
      </c>
      <c r="O2179" s="11" t="n">
        <v>4.5</v>
      </c>
      <c r="P2179" s="11" t="n">
        <v>1.26</v>
      </c>
      <c r="Q2179" s="11" t="n">
        <v>9.45</v>
      </c>
      <c r="R2179" s="11" t="n">
        <f aca="false">SUM(K2179:Q2179)</f>
        <v>99.7724</v>
      </c>
      <c r="S2179" s="11" t="n">
        <f aca="false">R2179/(1-Resumo!$C$6)</f>
        <v>113.377727272727</v>
      </c>
      <c r="T2179" s="11" t="n">
        <f aca="false">S2179-J2179</f>
        <v>30.8977272727273</v>
      </c>
      <c r="U2179" s="12" t="n">
        <f aca="false">IFERROR(S2179/J2179-1,0)</f>
        <v>0.374608720571378</v>
      </c>
      <c r="V2179" s="2" t="str">
        <f aca="false">IF(S2179&lt;J2179,"SIM","NÃO")</f>
        <v>NÃO</v>
      </c>
      <c r="W2179" s="2" t="n">
        <v>5</v>
      </c>
      <c r="X2179" s="2" t="s">
        <v>156</v>
      </c>
    </row>
    <row r="2180" customFormat="false" ht="15" hidden="false" customHeight="false" outlineLevel="0" collapsed="false">
      <c r="A2180" s="2" t="n">
        <v>400862729</v>
      </c>
      <c r="B2180" s="29" t="n">
        <v>46294.5751736111</v>
      </c>
      <c r="C2180" s="2" t="s">
        <v>153</v>
      </c>
      <c r="D2180" s="2" t="s">
        <v>2153</v>
      </c>
      <c r="E2180" s="2" t="s">
        <v>78</v>
      </c>
      <c r="F2180" s="2" t="s">
        <v>107</v>
      </c>
      <c r="G2180" s="30" t="n">
        <v>36.8</v>
      </c>
      <c r="H2180" s="11" t="n">
        <v>389.63</v>
      </c>
      <c r="I2180" s="11" t="s">
        <v>155</v>
      </c>
      <c r="J2180" s="11" t="n">
        <v>91.73</v>
      </c>
      <c r="K2180" s="11" t="n">
        <v>93.97</v>
      </c>
      <c r="L2180" s="11" t="n">
        <v>0.3896</v>
      </c>
      <c r="M2180" s="11" t="n">
        <v>0.7793</v>
      </c>
      <c r="N2180" s="11" t="n">
        <v>1</v>
      </c>
      <c r="O2180" s="11" t="n">
        <v>4.5</v>
      </c>
      <c r="P2180" s="11" t="n">
        <v>2.22</v>
      </c>
      <c r="Q2180" s="11" t="n">
        <v>16.65</v>
      </c>
      <c r="R2180" s="11" t="n">
        <f aca="false">SUM(K2180:Q2180)</f>
        <v>119.5089</v>
      </c>
      <c r="S2180" s="11" t="n">
        <f aca="false">R2180/(1-Resumo!$C$6)</f>
        <v>135.805568181818</v>
      </c>
      <c r="T2180" s="11" t="n">
        <f aca="false">S2180-J2180</f>
        <v>44.0755681818182</v>
      </c>
      <c r="U2180" s="12" t="n">
        <f aca="false">IFERROR(S2180/J2180-1,0)</f>
        <v>0.480492403595532</v>
      </c>
      <c r="V2180" s="2" t="str">
        <f aca="false">IF(S2180&lt;J2180,"SIM","NÃO")</f>
        <v>NÃO</v>
      </c>
      <c r="W2180" s="2" t="n">
        <v>5</v>
      </c>
      <c r="X2180" s="2" t="s">
        <v>156</v>
      </c>
    </row>
    <row r="2181" customFormat="false" ht="15" hidden="false" customHeight="false" outlineLevel="0" collapsed="false">
      <c r="A2181" s="2" t="n">
        <v>400871792</v>
      </c>
      <c r="B2181" s="29" t="n">
        <v>46294.5875694445</v>
      </c>
      <c r="C2181" s="2" t="s">
        <v>153</v>
      </c>
      <c r="D2181" s="2" t="s">
        <v>2154</v>
      </c>
      <c r="E2181" s="2" t="s">
        <v>813</v>
      </c>
      <c r="F2181" s="2" t="s">
        <v>110</v>
      </c>
      <c r="G2181" s="30" t="n">
        <v>66.8</v>
      </c>
      <c r="H2181" s="11" t="n">
        <v>719.99</v>
      </c>
      <c r="I2181" s="11" t="s">
        <v>155</v>
      </c>
      <c r="J2181" s="11" t="n">
        <v>155.47</v>
      </c>
      <c r="K2181" s="11" t="n">
        <v>166.05</v>
      </c>
      <c r="L2181" s="11" t="n">
        <v>0.72</v>
      </c>
      <c r="M2181" s="11" t="n">
        <v>1.44</v>
      </c>
      <c r="N2181" s="11" t="n">
        <v>1</v>
      </c>
      <c r="O2181" s="11" t="n">
        <v>4.5</v>
      </c>
      <c r="P2181" s="11" t="n">
        <v>4.02</v>
      </c>
      <c r="Q2181" s="11" t="n">
        <v>30.15</v>
      </c>
      <c r="R2181" s="11" t="n">
        <f aca="false">SUM(K2181:Q2181)</f>
        <v>207.88</v>
      </c>
      <c r="S2181" s="11" t="n">
        <f aca="false">R2181/(1-Resumo!$C$6)</f>
        <v>236.227272727273</v>
      </c>
      <c r="T2181" s="11" t="n">
        <f aca="false">S2181-J2181</f>
        <v>80.7572727272728</v>
      </c>
      <c r="U2181" s="12" t="n">
        <f aca="false">IFERROR(S2181/J2181-1,0)</f>
        <v>0.519439587877229</v>
      </c>
      <c r="V2181" s="2" t="str">
        <f aca="false">IF(S2181&lt;J2181,"SIM","NÃO")</f>
        <v>NÃO</v>
      </c>
      <c r="W2181" s="2" t="n">
        <v>10</v>
      </c>
      <c r="X2181" s="2" t="s">
        <v>161</v>
      </c>
    </row>
    <row r="2182" customFormat="false" ht="15" hidden="false" customHeight="false" outlineLevel="0" collapsed="false">
      <c r="A2182" s="2" t="n">
        <v>400872300</v>
      </c>
      <c r="B2182" s="29" t="n">
        <v>46294.5880671296</v>
      </c>
      <c r="C2182" s="2" t="s">
        <v>153</v>
      </c>
      <c r="D2182" s="2" t="s">
        <v>1475</v>
      </c>
      <c r="E2182" s="2" t="s">
        <v>78</v>
      </c>
      <c r="F2182" s="2" t="s">
        <v>107</v>
      </c>
      <c r="G2182" s="30" t="n">
        <v>36.8</v>
      </c>
      <c r="H2182" s="11" t="n">
        <v>464.95</v>
      </c>
      <c r="I2182" s="11" t="s">
        <v>155</v>
      </c>
      <c r="J2182" s="11" t="n">
        <v>92.08</v>
      </c>
      <c r="K2182" s="11" t="n">
        <v>93.97</v>
      </c>
      <c r="L2182" s="11" t="n">
        <v>0.465</v>
      </c>
      <c r="M2182" s="11" t="n">
        <v>0.9299</v>
      </c>
      <c r="N2182" s="11" t="n">
        <v>1</v>
      </c>
      <c r="O2182" s="11" t="n">
        <v>4.5</v>
      </c>
      <c r="P2182" s="11" t="n">
        <v>2.22</v>
      </c>
      <c r="Q2182" s="11" t="n">
        <v>16.65</v>
      </c>
      <c r="R2182" s="11" t="n">
        <f aca="false">SUM(K2182:Q2182)</f>
        <v>119.7349</v>
      </c>
      <c r="S2182" s="11" t="n">
        <f aca="false">R2182/(1-Resumo!$C$6)</f>
        <v>136.062386363636</v>
      </c>
      <c r="T2182" s="11" t="n">
        <f aca="false">S2182-J2182</f>
        <v>43.9823863636364</v>
      </c>
      <c r="U2182" s="12" t="n">
        <f aca="false">IFERROR(S2182/J2182-1,0)</f>
        <v>0.477654065634626</v>
      </c>
      <c r="V2182" s="2" t="str">
        <f aca="false">IF(S2182&lt;J2182,"SIM","NÃO")</f>
        <v>NÃO</v>
      </c>
      <c r="W2182" s="2" t="n">
        <v>5</v>
      </c>
      <c r="X2182" s="2" t="s">
        <v>156</v>
      </c>
    </row>
    <row r="2183" customFormat="false" ht="15" hidden="false" customHeight="false" outlineLevel="0" collapsed="false">
      <c r="A2183" s="2" t="n">
        <v>400887669</v>
      </c>
      <c r="B2183" s="29" t="n">
        <v>46294.6063310185</v>
      </c>
      <c r="C2183" s="2" t="s">
        <v>158</v>
      </c>
      <c r="D2183" s="2" t="s">
        <v>2155</v>
      </c>
      <c r="E2183" s="2" t="s">
        <v>78</v>
      </c>
      <c r="F2183" s="2" t="s">
        <v>107</v>
      </c>
      <c r="G2183" s="30" t="n">
        <v>36</v>
      </c>
      <c r="H2183" s="11" t="n">
        <v>382</v>
      </c>
      <c r="I2183" s="11" t="s">
        <v>155</v>
      </c>
      <c r="J2183" s="11" t="n">
        <v>91.68</v>
      </c>
      <c r="K2183" s="11" t="n">
        <v>93.97</v>
      </c>
      <c r="L2183" s="11" t="n">
        <v>0.382</v>
      </c>
      <c r="M2183" s="11" t="n">
        <v>0.764</v>
      </c>
      <c r="N2183" s="11" t="n">
        <v>1</v>
      </c>
      <c r="O2183" s="11" t="n">
        <v>4.5</v>
      </c>
      <c r="P2183" s="11" t="n">
        <v>2.16</v>
      </c>
      <c r="Q2183" s="11" t="n">
        <v>16.2</v>
      </c>
      <c r="R2183" s="11" t="n">
        <f aca="false">SUM(K2183:Q2183)</f>
        <v>118.976</v>
      </c>
      <c r="S2183" s="11" t="n">
        <f aca="false">R2183/(1-Resumo!$C$6)</f>
        <v>135.2</v>
      </c>
      <c r="T2183" s="11" t="n">
        <f aca="false">S2183-J2183</f>
        <v>43.52</v>
      </c>
      <c r="U2183" s="12" t="n">
        <f aca="false">IFERROR(S2183/J2183-1,0)</f>
        <v>0.474694589877836</v>
      </c>
      <c r="V2183" s="2" t="str">
        <f aca="false">IF(S2183&lt;J2183,"SIM","NÃO")</f>
        <v>NÃO</v>
      </c>
      <c r="W2183" s="2" t="n">
        <v>5</v>
      </c>
      <c r="X2183" s="2" t="s">
        <v>156</v>
      </c>
    </row>
    <row r="2184" customFormat="false" ht="15" hidden="false" customHeight="false" outlineLevel="0" collapsed="false">
      <c r="A2184" s="2" t="n">
        <v>400908995</v>
      </c>
      <c r="B2184" s="29" t="n">
        <v>46294.6357060185</v>
      </c>
      <c r="C2184" s="2" t="s">
        <v>191</v>
      </c>
      <c r="D2184" s="2" t="s">
        <v>2156</v>
      </c>
      <c r="E2184" s="2" t="s">
        <v>78</v>
      </c>
      <c r="F2184" s="2" t="s">
        <v>110</v>
      </c>
      <c r="G2184" s="30" t="n">
        <v>60.1</v>
      </c>
      <c r="H2184" s="11" t="n">
        <v>1169.99</v>
      </c>
      <c r="I2184" s="11" t="s">
        <v>155</v>
      </c>
      <c r="J2184" s="11" t="n">
        <v>126.82</v>
      </c>
      <c r="K2184" s="11" t="n">
        <v>131.02</v>
      </c>
      <c r="L2184" s="11" t="n">
        <v>1.17</v>
      </c>
      <c r="M2184" s="11" t="n">
        <v>2.34</v>
      </c>
      <c r="N2184" s="11" t="n">
        <v>1</v>
      </c>
      <c r="O2184" s="11" t="n">
        <v>4.5</v>
      </c>
      <c r="P2184" s="11" t="n">
        <v>3.66</v>
      </c>
      <c r="Q2184" s="11" t="n">
        <v>27.45</v>
      </c>
      <c r="R2184" s="11" t="n">
        <f aca="false">SUM(K2184:Q2184)</f>
        <v>171.14</v>
      </c>
      <c r="S2184" s="11" t="n">
        <f aca="false">R2184/(1-Resumo!$C$6)</f>
        <v>194.477272727273</v>
      </c>
      <c r="T2184" s="11" t="n">
        <f aca="false">S2184-J2184</f>
        <v>67.6572727272727</v>
      </c>
      <c r="U2184" s="12" t="n">
        <f aca="false">IFERROR(S2184/J2184-1,0)</f>
        <v>0.533490559275136</v>
      </c>
      <c r="V2184" s="2" t="str">
        <f aca="false">IF(S2184&lt;J2184,"SIM","NÃO")</f>
        <v>NÃO</v>
      </c>
      <c r="W2184" s="2" t="n">
        <v>5</v>
      </c>
      <c r="X2184" s="2" t="s">
        <v>156</v>
      </c>
    </row>
    <row r="2185" customFormat="false" ht="15" hidden="false" customHeight="false" outlineLevel="0" collapsed="false">
      <c r="A2185" s="2" t="n">
        <v>400919086</v>
      </c>
      <c r="B2185" s="29" t="n">
        <v>46294.6453703704</v>
      </c>
      <c r="C2185" s="2" t="s">
        <v>153</v>
      </c>
      <c r="D2185" s="2" t="s">
        <v>2157</v>
      </c>
      <c r="E2185" s="2" t="s">
        <v>78</v>
      </c>
      <c r="F2185" s="2" t="s">
        <v>106</v>
      </c>
      <c r="G2185" s="30" t="n">
        <v>29.2</v>
      </c>
      <c r="H2185" s="11" t="n">
        <v>429.99</v>
      </c>
      <c r="I2185" s="11" t="s">
        <v>155</v>
      </c>
      <c r="J2185" s="11" t="n">
        <v>82.39</v>
      </c>
      <c r="K2185" s="11" t="n">
        <v>82.21</v>
      </c>
      <c r="L2185" s="11" t="n">
        <v>0.43</v>
      </c>
      <c r="M2185" s="11" t="n">
        <v>0.86</v>
      </c>
      <c r="N2185" s="11" t="n">
        <v>1</v>
      </c>
      <c r="O2185" s="11" t="n">
        <v>4.5</v>
      </c>
      <c r="P2185" s="11" t="n">
        <v>1.8</v>
      </c>
      <c r="Q2185" s="11" t="n">
        <v>13.5</v>
      </c>
      <c r="R2185" s="11" t="n">
        <f aca="false">SUM(K2185:Q2185)</f>
        <v>104.3</v>
      </c>
      <c r="S2185" s="11" t="n">
        <f aca="false">R2185/(1-Resumo!$C$6)</f>
        <v>118.522727272727</v>
      </c>
      <c r="T2185" s="11" t="n">
        <f aca="false">S2185-J2185</f>
        <v>36.1327272727273</v>
      </c>
      <c r="U2185" s="12" t="n">
        <f aca="false">IFERROR(S2185/J2185-1,0)</f>
        <v>0.438557194716923</v>
      </c>
      <c r="V2185" s="2" t="str">
        <f aca="false">IF(S2185&lt;J2185,"SIM","NÃO")</f>
        <v>NÃO</v>
      </c>
      <c r="W2185" s="2" t="n">
        <v>5</v>
      </c>
      <c r="X2185" s="2" t="s">
        <v>156</v>
      </c>
    </row>
    <row r="2186" customFormat="false" ht="15" hidden="false" customHeight="false" outlineLevel="0" collapsed="false">
      <c r="A2186" s="2" t="n">
        <v>400923309</v>
      </c>
      <c r="B2186" s="29" t="n">
        <v>46294.653125</v>
      </c>
      <c r="C2186" s="2" t="s">
        <v>153</v>
      </c>
      <c r="D2186" s="2" t="s">
        <v>2158</v>
      </c>
      <c r="E2186" s="2" t="s">
        <v>78</v>
      </c>
      <c r="F2186" s="2" t="s">
        <v>106</v>
      </c>
      <c r="G2186" s="30" t="n">
        <v>27</v>
      </c>
      <c r="H2186" s="11" t="n">
        <v>270.99</v>
      </c>
      <c r="I2186" s="11" t="s">
        <v>155</v>
      </c>
      <c r="J2186" s="11" t="n">
        <v>81.61</v>
      </c>
      <c r="K2186" s="11" t="n">
        <v>82.21</v>
      </c>
      <c r="L2186" s="11" t="n">
        <v>0.271</v>
      </c>
      <c r="M2186" s="11" t="n">
        <v>0.542</v>
      </c>
      <c r="N2186" s="11" t="n">
        <v>1</v>
      </c>
      <c r="O2186" s="11" t="n">
        <v>4.5</v>
      </c>
      <c r="P2186" s="11" t="n">
        <v>1.62</v>
      </c>
      <c r="Q2186" s="11" t="n">
        <v>12.15</v>
      </c>
      <c r="R2186" s="11" t="n">
        <f aca="false">SUM(K2186:Q2186)</f>
        <v>102.293</v>
      </c>
      <c r="S2186" s="11" t="n">
        <f aca="false">R2186/(1-Resumo!$C$6)</f>
        <v>116.242045454545</v>
      </c>
      <c r="T2186" s="11" t="n">
        <f aca="false">S2186-J2186</f>
        <v>34.6320454545455</v>
      </c>
      <c r="U2186" s="12" t="n">
        <f aca="false">IFERROR(S2186/J2186-1,0)</f>
        <v>0.424360316806096</v>
      </c>
      <c r="V2186" s="2" t="str">
        <f aca="false">IF(S2186&lt;J2186,"SIM","NÃO")</f>
        <v>NÃO</v>
      </c>
      <c r="W2186" s="2" t="n">
        <v>5</v>
      </c>
      <c r="X2186" s="2" t="s">
        <v>156</v>
      </c>
    </row>
    <row r="2187" customFormat="false" ht="15" hidden="false" customHeight="false" outlineLevel="0" collapsed="false">
      <c r="A2187" s="2" t="n">
        <v>400953656</v>
      </c>
      <c r="B2187" s="29" t="n">
        <v>46294.6936458333</v>
      </c>
      <c r="C2187" s="2" t="s">
        <v>153</v>
      </c>
      <c r="D2187" s="2" t="s">
        <v>2159</v>
      </c>
      <c r="E2187" s="2" t="s">
        <v>78</v>
      </c>
      <c r="F2187" s="2" t="s">
        <v>107</v>
      </c>
      <c r="G2187" s="30" t="n">
        <v>35.4</v>
      </c>
      <c r="H2187" s="11" t="n">
        <v>499.99</v>
      </c>
      <c r="I2187" s="11" t="s">
        <v>155</v>
      </c>
      <c r="J2187" s="11" t="n">
        <v>92.25</v>
      </c>
      <c r="K2187" s="11" t="n">
        <v>93.97</v>
      </c>
      <c r="L2187" s="11" t="n">
        <v>0.5</v>
      </c>
      <c r="M2187" s="11" t="n">
        <v>1</v>
      </c>
      <c r="N2187" s="11" t="n">
        <v>1</v>
      </c>
      <c r="O2187" s="11" t="n">
        <v>4.5</v>
      </c>
      <c r="P2187" s="11" t="n">
        <v>2.16</v>
      </c>
      <c r="Q2187" s="11" t="n">
        <v>16.2</v>
      </c>
      <c r="R2187" s="11" t="n">
        <f aca="false">SUM(K2187:Q2187)</f>
        <v>119.33</v>
      </c>
      <c r="S2187" s="11" t="n">
        <f aca="false">R2187/(1-Resumo!$C$6)</f>
        <v>135.602272727273</v>
      </c>
      <c r="T2187" s="11" t="n">
        <f aca="false">S2187-J2187</f>
        <v>43.3522727272727</v>
      </c>
      <c r="U2187" s="12" t="n">
        <f aca="false">IFERROR(S2187/J2187-1,0)</f>
        <v>0.469943335796994</v>
      </c>
      <c r="V2187" s="2" t="str">
        <f aca="false">IF(S2187&lt;J2187,"SIM","NÃO")</f>
        <v>NÃO</v>
      </c>
      <c r="W2187" s="2" t="n">
        <v>5</v>
      </c>
      <c r="X2187" s="2" t="s">
        <v>156</v>
      </c>
    </row>
    <row r="2188" customFormat="false" ht="15" hidden="false" customHeight="false" outlineLevel="0" collapsed="false">
      <c r="A2188" s="2" t="n">
        <v>400956221</v>
      </c>
      <c r="B2188" s="29" t="n">
        <v>46294.6962268519</v>
      </c>
      <c r="C2188" s="2" t="s">
        <v>158</v>
      </c>
      <c r="D2188" s="2" t="s">
        <v>2160</v>
      </c>
      <c r="E2188" s="2" t="s">
        <v>78</v>
      </c>
      <c r="F2188" s="2" t="s">
        <v>108</v>
      </c>
      <c r="G2188" s="30" t="n">
        <v>46.8</v>
      </c>
      <c r="H2188" s="11" t="n">
        <v>569.99</v>
      </c>
      <c r="I2188" s="11" t="s">
        <v>155</v>
      </c>
      <c r="J2188" s="11" t="n">
        <v>103.32</v>
      </c>
      <c r="K2188" s="11" t="n">
        <v>93.97</v>
      </c>
      <c r="L2188" s="11" t="n">
        <v>0.57</v>
      </c>
      <c r="M2188" s="11" t="n">
        <v>1.14</v>
      </c>
      <c r="N2188" s="11" t="n">
        <v>1</v>
      </c>
      <c r="O2188" s="11" t="n">
        <v>4.5</v>
      </c>
      <c r="P2188" s="11" t="n">
        <v>2.82</v>
      </c>
      <c r="Q2188" s="11" t="n">
        <v>21.15</v>
      </c>
      <c r="R2188" s="11" t="n">
        <f aca="false">SUM(K2188:Q2188)</f>
        <v>125.15</v>
      </c>
      <c r="S2188" s="11" t="n">
        <f aca="false">R2188/(1-Resumo!$C$6)</f>
        <v>142.215909090909</v>
      </c>
      <c r="T2188" s="11" t="n">
        <f aca="false">S2188-J2188</f>
        <v>38.8959090909091</v>
      </c>
      <c r="U2188" s="12" t="n">
        <f aca="false">IFERROR(S2188/J2188-1,0)</f>
        <v>0.376460599021575</v>
      </c>
      <c r="V2188" s="2" t="str">
        <f aca="false">IF(S2188&lt;J2188,"SIM","NÃO")</f>
        <v>NÃO</v>
      </c>
      <c r="W2188" s="2" t="n">
        <v>5</v>
      </c>
      <c r="X2188" s="2" t="s">
        <v>156</v>
      </c>
    </row>
    <row r="2189" customFormat="false" ht="15" hidden="false" customHeight="false" outlineLevel="0" collapsed="false">
      <c r="A2189" s="2" t="n">
        <v>400965800</v>
      </c>
      <c r="B2189" s="29" t="n">
        <v>46294.7074189815</v>
      </c>
      <c r="C2189" s="2" t="s">
        <v>153</v>
      </c>
      <c r="D2189" s="2" t="s">
        <v>2161</v>
      </c>
      <c r="E2189" s="2" t="s">
        <v>78</v>
      </c>
      <c r="F2189" s="2" t="s">
        <v>113</v>
      </c>
      <c r="G2189" s="30" t="n">
        <v>117</v>
      </c>
      <c r="H2189" s="11" t="n">
        <v>1399.99</v>
      </c>
      <c r="I2189" s="11" t="s">
        <v>155</v>
      </c>
      <c r="J2189" s="11" t="n">
        <v>186.35</v>
      </c>
      <c r="K2189" s="11" t="n">
        <v>201.59</v>
      </c>
      <c r="L2189" s="11" t="n">
        <v>1.4</v>
      </c>
      <c r="M2189" s="11" t="n">
        <v>2.8</v>
      </c>
      <c r="N2189" s="11" t="n">
        <v>1</v>
      </c>
      <c r="O2189" s="11" t="n">
        <v>9</v>
      </c>
      <c r="P2189" s="11" t="n">
        <v>7.02</v>
      </c>
      <c r="Q2189" s="11" t="n">
        <v>52.65</v>
      </c>
      <c r="R2189" s="11" t="n">
        <f aca="false">SUM(K2189:Q2189)</f>
        <v>275.46</v>
      </c>
      <c r="S2189" s="11" t="n">
        <f aca="false">R2189/(1-Resumo!$C$6)</f>
        <v>313.022727272727</v>
      </c>
      <c r="T2189" s="11" t="n">
        <f aca="false">S2189-J2189</f>
        <v>126.672727272727</v>
      </c>
      <c r="U2189" s="12" t="n">
        <f aca="false">IFERROR(S2189/J2189-1,0)</f>
        <v>0.679757055394297</v>
      </c>
      <c r="V2189" s="2" t="str">
        <f aca="false">IF(S2189&lt;J2189,"SIM","NÃO")</f>
        <v>NÃO</v>
      </c>
      <c r="W2189" s="2" t="n">
        <v>5</v>
      </c>
      <c r="X2189" s="2" t="s">
        <v>156</v>
      </c>
    </row>
    <row r="2190" customFormat="false" ht="15" hidden="false" customHeight="false" outlineLevel="0" collapsed="false">
      <c r="A2190" s="2" t="n">
        <v>400994581</v>
      </c>
      <c r="B2190" s="29" t="n">
        <v>46294.7329513889</v>
      </c>
      <c r="C2190" s="2" t="s">
        <v>369</v>
      </c>
      <c r="D2190" s="2" t="s">
        <v>2162</v>
      </c>
      <c r="E2190" s="2" t="s">
        <v>93</v>
      </c>
      <c r="F2190" s="2" t="s">
        <v>106</v>
      </c>
      <c r="G2190" s="30" t="n">
        <v>29.2</v>
      </c>
      <c r="H2190" s="11" t="n">
        <v>395.99</v>
      </c>
      <c r="I2190" s="11" t="s">
        <v>155</v>
      </c>
      <c r="J2190" s="11" t="n">
        <v>109.07</v>
      </c>
      <c r="K2190" s="11" t="n">
        <v>100.58</v>
      </c>
      <c r="L2190" s="11" t="n">
        <v>0.396</v>
      </c>
      <c r="M2190" s="11" t="n">
        <v>0.792</v>
      </c>
      <c r="N2190" s="11" t="n">
        <v>1</v>
      </c>
      <c r="O2190" s="11" t="n">
        <v>4.5</v>
      </c>
      <c r="P2190" s="11" t="n">
        <v>1.8</v>
      </c>
      <c r="Q2190" s="11" t="n">
        <v>13.5</v>
      </c>
      <c r="R2190" s="11" t="n">
        <f aca="false">SUM(K2190:Q2190)</f>
        <v>122.568</v>
      </c>
      <c r="S2190" s="11" t="n">
        <f aca="false">R2190/(1-Resumo!$C$6)</f>
        <v>139.281818181818</v>
      </c>
      <c r="T2190" s="11" t="n">
        <f aca="false">S2190-J2190</f>
        <v>30.2118181818182</v>
      </c>
      <c r="U2190" s="12" t="n">
        <f aca="false">IFERROR(S2190/J2190-1,0)</f>
        <v>0.276994757328488</v>
      </c>
      <c r="V2190" s="2" t="str">
        <f aca="false">IF(S2190&lt;J2190,"SIM","NÃO")</f>
        <v>NÃO</v>
      </c>
      <c r="W2190" s="2" t="n">
        <v>7</v>
      </c>
      <c r="X2190" s="2" t="s">
        <v>156</v>
      </c>
    </row>
    <row r="2191" customFormat="false" ht="15" hidden="false" customHeight="false" outlineLevel="0" collapsed="false">
      <c r="A2191" s="2" t="n">
        <v>400982772</v>
      </c>
      <c r="B2191" s="29" t="n">
        <v>46294.7338541667</v>
      </c>
      <c r="C2191" s="2" t="s">
        <v>158</v>
      </c>
      <c r="D2191" s="2" t="s">
        <v>2163</v>
      </c>
      <c r="E2191" s="2" t="s">
        <v>172</v>
      </c>
      <c r="F2191" s="2" t="s">
        <v>109</v>
      </c>
      <c r="G2191" s="30" t="n">
        <v>55</v>
      </c>
      <c r="H2191" s="11" t="n">
        <v>698</v>
      </c>
      <c r="I2191" s="11" t="s">
        <v>155</v>
      </c>
      <c r="J2191" s="11" t="n">
        <v>143.02</v>
      </c>
      <c r="K2191" s="11" t="n">
        <v>142.32</v>
      </c>
      <c r="L2191" s="11" t="n">
        <v>0.698</v>
      </c>
      <c r="M2191" s="11" t="n">
        <v>1.396</v>
      </c>
      <c r="N2191" s="11" t="n">
        <v>1</v>
      </c>
      <c r="O2191" s="11" t="n">
        <v>4.5</v>
      </c>
      <c r="P2191" s="11" t="n">
        <v>3.3</v>
      </c>
      <c r="Q2191" s="11" t="n">
        <v>24.75</v>
      </c>
      <c r="R2191" s="11" t="n">
        <f aca="false">SUM(K2191:Q2191)</f>
        <v>177.964</v>
      </c>
      <c r="S2191" s="11" t="n">
        <f aca="false">R2191/(1-Resumo!$C$6)</f>
        <v>202.231818181818</v>
      </c>
      <c r="T2191" s="11" t="n">
        <f aca="false">S2191-J2191</f>
        <v>59.2118181818182</v>
      </c>
      <c r="U2191" s="12" t="n">
        <f aca="false">IFERROR(S2191/J2191-1,0)</f>
        <v>0.414010755012013</v>
      </c>
      <c r="V2191" s="2" t="str">
        <f aca="false">IF(S2191&lt;J2191,"SIM","NÃO")</f>
        <v>NÃO</v>
      </c>
      <c r="W2191" s="2" t="n">
        <v>8</v>
      </c>
      <c r="X2191" s="2" t="s">
        <v>161</v>
      </c>
    </row>
    <row r="2192" customFormat="false" ht="15" hidden="false" customHeight="false" outlineLevel="0" collapsed="false">
      <c r="A2192" s="2" t="n">
        <v>400983277</v>
      </c>
      <c r="B2192" s="29" t="n">
        <v>46294.7359375</v>
      </c>
      <c r="C2192" s="2" t="s">
        <v>194</v>
      </c>
      <c r="D2192" s="2" t="s">
        <v>2164</v>
      </c>
      <c r="E2192" s="2" t="s">
        <v>78</v>
      </c>
      <c r="F2192" s="2" t="s">
        <v>106</v>
      </c>
      <c r="G2192" s="30" t="n">
        <v>27.6</v>
      </c>
      <c r="H2192" s="11" t="n">
        <v>360.99</v>
      </c>
      <c r="I2192" s="11" t="s">
        <v>155</v>
      </c>
      <c r="J2192" s="11" t="n">
        <v>82.05</v>
      </c>
      <c r="K2192" s="11" t="n">
        <v>82.21</v>
      </c>
      <c r="L2192" s="11" t="n">
        <v>0.361</v>
      </c>
      <c r="M2192" s="11" t="n">
        <v>0.722</v>
      </c>
      <c r="N2192" s="11" t="n">
        <v>1</v>
      </c>
      <c r="O2192" s="11" t="n">
        <v>4.5</v>
      </c>
      <c r="P2192" s="11" t="n">
        <v>1.68</v>
      </c>
      <c r="Q2192" s="11" t="n">
        <v>12.6</v>
      </c>
      <c r="R2192" s="11" t="n">
        <f aca="false">SUM(K2192:Q2192)</f>
        <v>103.073</v>
      </c>
      <c r="S2192" s="11" t="n">
        <f aca="false">R2192/(1-Resumo!$C$6)</f>
        <v>117.128409090909</v>
      </c>
      <c r="T2192" s="11" t="n">
        <f aca="false">S2192-J2192</f>
        <v>35.0784090909091</v>
      </c>
      <c r="U2192" s="12" t="n">
        <f aca="false">IFERROR(S2192/J2192-1,0)</f>
        <v>0.427524790870312</v>
      </c>
      <c r="V2192" s="2" t="str">
        <f aca="false">IF(S2192&lt;J2192,"SIM","NÃO")</f>
        <v>NÃO</v>
      </c>
      <c r="W2192" s="2" t="n">
        <v>5</v>
      </c>
      <c r="X2192" s="2" t="s">
        <v>156</v>
      </c>
    </row>
    <row r="2193" customFormat="false" ht="15" hidden="false" customHeight="false" outlineLevel="0" collapsed="false">
      <c r="A2193" s="2" t="n">
        <v>400973615</v>
      </c>
      <c r="B2193" s="29" t="n">
        <v>46294.736875</v>
      </c>
      <c r="C2193" s="2" t="s">
        <v>194</v>
      </c>
      <c r="D2193" s="2" t="s">
        <v>2165</v>
      </c>
      <c r="E2193" s="2" t="s">
        <v>95</v>
      </c>
      <c r="F2193" s="2" t="s">
        <v>106</v>
      </c>
      <c r="G2193" s="30" t="n">
        <v>31.2</v>
      </c>
      <c r="H2193" s="11" t="n">
        <v>336.25</v>
      </c>
      <c r="I2193" s="11" t="s">
        <v>155</v>
      </c>
      <c r="J2193" s="11" t="n">
        <v>108.78</v>
      </c>
      <c r="K2193" s="11" t="n">
        <v>103.28</v>
      </c>
      <c r="L2193" s="11" t="n">
        <v>0.3362</v>
      </c>
      <c r="M2193" s="11" t="n">
        <v>0.6725</v>
      </c>
      <c r="N2193" s="11" t="n">
        <v>1</v>
      </c>
      <c r="O2193" s="11" t="n">
        <v>4.5</v>
      </c>
      <c r="P2193" s="11" t="n">
        <v>1.92</v>
      </c>
      <c r="Q2193" s="11" t="n">
        <v>14.4</v>
      </c>
      <c r="R2193" s="11" t="n">
        <f aca="false">SUM(K2193:Q2193)</f>
        <v>126.1087</v>
      </c>
      <c r="S2193" s="11" t="n">
        <f aca="false">R2193/(1-Resumo!$C$6)</f>
        <v>143.305340909091</v>
      </c>
      <c r="T2193" s="11" t="n">
        <f aca="false">S2193-J2193</f>
        <v>34.5253409090909</v>
      </c>
      <c r="U2193" s="12" t="n">
        <f aca="false">IFERROR(S2193/J2193-1,0)</f>
        <v>0.317386844172558</v>
      </c>
      <c r="V2193" s="2" t="str">
        <f aca="false">IF(S2193&lt;J2193,"SIM","NÃO")</f>
        <v>NÃO</v>
      </c>
      <c r="W2193" s="2" t="n">
        <v>6</v>
      </c>
      <c r="X2193" s="2" t="s">
        <v>156</v>
      </c>
    </row>
    <row r="2194" customFormat="false" ht="15" hidden="false" customHeight="false" outlineLevel="0" collapsed="false">
      <c r="A2194" s="2" t="n">
        <v>401003240</v>
      </c>
      <c r="B2194" s="29" t="n">
        <v>46294.7653703704</v>
      </c>
      <c r="C2194" s="2" t="s">
        <v>153</v>
      </c>
      <c r="D2194" s="2" t="s">
        <v>2166</v>
      </c>
      <c r="E2194" s="2" t="s">
        <v>78</v>
      </c>
      <c r="F2194" s="2" t="s">
        <v>107</v>
      </c>
      <c r="G2194" s="30" t="n">
        <v>36</v>
      </c>
      <c r="H2194" s="11" t="n">
        <v>449.99</v>
      </c>
      <c r="I2194" s="11" t="s">
        <v>155</v>
      </c>
      <c r="J2194" s="11" t="n">
        <v>92.01</v>
      </c>
      <c r="K2194" s="11" t="n">
        <v>93.97</v>
      </c>
      <c r="L2194" s="11" t="n">
        <v>0.45</v>
      </c>
      <c r="M2194" s="11" t="n">
        <v>0.9</v>
      </c>
      <c r="N2194" s="11" t="n">
        <v>1</v>
      </c>
      <c r="O2194" s="11" t="n">
        <v>4.5</v>
      </c>
      <c r="P2194" s="11" t="n">
        <v>2.16</v>
      </c>
      <c r="Q2194" s="11" t="n">
        <v>16.2</v>
      </c>
      <c r="R2194" s="11" t="n">
        <f aca="false">SUM(K2194:Q2194)</f>
        <v>119.18</v>
      </c>
      <c r="S2194" s="11" t="n">
        <f aca="false">R2194/(1-Resumo!$C$6)</f>
        <v>135.431818181818</v>
      </c>
      <c r="T2194" s="11" t="n">
        <f aca="false">S2194-J2194</f>
        <v>43.4218181818182</v>
      </c>
      <c r="U2194" s="12" t="n">
        <f aca="false">IFERROR(S2194/J2194-1,0)</f>
        <v>0.47192498839059</v>
      </c>
      <c r="V2194" s="2" t="str">
        <f aca="false">IF(S2194&lt;J2194,"SIM","NÃO")</f>
        <v>NÃO</v>
      </c>
      <c r="W2194" s="2" t="n">
        <v>5</v>
      </c>
      <c r="X2194" s="2" t="s">
        <v>156</v>
      </c>
    </row>
    <row r="2195" customFormat="false" ht="15" hidden="false" customHeight="false" outlineLevel="0" collapsed="false">
      <c r="A2195" s="2" t="n">
        <v>401027439</v>
      </c>
      <c r="B2195" s="29" t="n">
        <v>46294.782037037</v>
      </c>
      <c r="C2195" s="2" t="s">
        <v>369</v>
      </c>
      <c r="D2195" s="2" t="s">
        <v>2167</v>
      </c>
      <c r="E2195" s="2" t="s">
        <v>78</v>
      </c>
      <c r="F2195" s="2" t="s">
        <v>108</v>
      </c>
      <c r="G2195" s="30" t="n">
        <v>41.4</v>
      </c>
      <c r="H2195" s="11" t="n">
        <v>365.49</v>
      </c>
      <c r="I2195" s="11" t="s">
        <v>155</v>
      </c>
      <c r="J2195" s="11" t="n">
        <v>102.33</v>
      </c>
      <c r="K2195" s="11" t="n">
        <v>93.97</v>
      </c>
      <c r="L2195" s="11" t="n">
        <v>0.3655</v>
      </c>
      <c r="M2195" s="11" t="n">
        <v>0.731</v>
      </c>
      <c r="N2195" s="11" t="n">
        <v>1</v>
      </c>
      <c r="O2195" s="11" t="n">
        <v>4.5</v>
      </c>
      <c r="P2195" s="11" t="n">
        <v>2.52</v>
      </c>
      <c r="Q2195" s="11" t="n">
        <v>18.9</v>
      </c>
      <c r="R2195" s="11" t="n">
        <f aca="false">SUM(K2195:Q2195)</f>
        <v>121.9865</v>
      </c>
      <c r="S2195" s="11" t="n">
        <f aca="false">R2195/(1-Resumo!$C$6)</f>
        <v>138.621022727273</v>
      </c>
      <c r="T2195" s="11" t="n">
        <f aca="false">S2195-J2195</f>
        <v>36.2910227272727</v>
      </c>
      <c r="U2195" s="12" t="n">
        <f aca="false">IFERROR(S2195/J2195-1,0)</f>
        <v>0.354646953261729</v>
      </c>
      <c r="V2195" s="2" t="str">
        <f aca="false">IF(S2195&lt;J2195,"SIM","NÃO")</f>
        <v>NÃO</v>
      </c>
      <c r="W2195" s="2" t="n">
        <v>5</v>
      </c>
      <c r="X2195" s="2" t="s">
        <v>156</v>
      </c>
    </row>
    <row r="2196" customFormat="false" ht="15" hidden="false" customHeight="false" outlineLevel="0" collapsed="false">
      <c r="A2196" s="2" t="n">
        <v>401068234</v>
      </c>
      <c r="B2196" s="29" t="n">
        <v>46294.8552893519</v>
      </c>
      <c r="C2196" s="2" t="s">
        <v>158</v>
      </c>
      <c r="D2196" s="2" t="s">
        <v>1732</v>
      </c>
      <c r="E2196" s="2" t="s">
        <v>78</v>
      </c>
      <c r="F2196" s="2" t="s">
        <v>110</v>
      </c>
      <c r="G2196" s="30" t="n">
        <v>69.45</v>
      </c>
      <c r="H2196" s="11" t="n">
        <v>746.95</v>
      </c>
      <c r="I2196" s="11" t="s">
        <v>155</v>
      </c>
      <c r="J2196" s="11" t="n">
        <v>124.77</v>
      </c>
      <c r="K2196" s="11" t="n">
        <v>131.02</v>
      </c>
      <c r="L2196" s="11" t="n">
        <v>0.747</v>
      </c>
      <c r="M2196" s="11" t="n">
        <v>1.4939</v>
      </c>
      <c r="N2196" s="11" t="n">
        <v>1</v>
      </c>
      <c r="O2196" s="11" t="n">
        <v>4.5</v>
      </c>
      <c r="P2196" s="11" t="n">
        <v>4.2</v>
      </c>
      <c r="Q2196" s="11" t="n">
        <v>31.5</v>
      </c>
      <c r="R2196" s="11" t="n">
        <f aca="false">SUM(K2196:Q2196)</f>
        <v>174.4609</v>
      </c>
      <c r="S2196" s="11" t="n">
        <f aca="false">R2196/(1-Resumo!$C$6)</f>
        <v>198.251022727273</v>
      </c>
      <c r="T2196" s="11" t="n">
        <f aca="false">S2196-J2196</f>
        <v>73.4810227272727</v>
      </c>
      <c r="U2196" s="12" t="n">
        <f aca="false">IFERROR(S2196/J2196-1,0)</f>
        <v>0.588931816360285</v>
      </c>
      <c r="V2196" s="2" t="str">
        <f aca="false">IF(S2196&lt;J2196,"SIM","NÃO")</f>
        <v>NÃO</v>
      </c>
      <c r="W2196" s="2" t="n">
        <v>5</v>
      </c>
      <c r="X2196" s="2" t="s">
        <v>156</v>
      </c>
    </row>
    <row r="2197" customFormat="false" ht="15" hidden="false" customHeight="false" outlineLevel="0" collapsed="false">
      <c r="A2197" s="2" t="n">
        <v>401089775</v>
      </c>
      <c r="B2197" s="29" t="n">
        <v>46294.8849189815</v>
      </c>
      <c r="C2197" s="2" t="s">
        <v>153</v>
      </c>
      <c r="D2197" s="2" t="s">
        <v>2168</v>
      </c>
      <c r="E2197" s="2" t="s">
        <v>78</v>
      </c>
      <c r="F2197" s="2" t="s">
        <v>106</v>
      </c>
      <c r="G2197" s="30" t="n">
        <v>21</v>
      </c>
      <c r="H2197" s="11" t="n">
        <v>379.99</v>
      </c>
      <c r="I2197" s="11" t="s">
        <v>155</v>
      </c>
      <c r="J2197" s="11" t="n">
        <v>82.15</v>
      </c>
      <c r="K2197" s="11" t="n">
        <v>82.21</v>
      </c>
      <c r="L2197" s="11" t="n">
        <v>0.38</v>
      </c>
      <c r="M2197" s="11" t="n">
        <v>0.76</v>
      </c>
      <c r="N2197" s="11" t="n">
        <v>1</v>
      </c>
      <c r="O2197" s="11" t="n">
        <v>4.5</v>
      </c>
      <c r="P2197" s="11" t="n">
        <v>1.26</v>
      </c>
      <c r="Q2197" s="11" t="n">
        <v>9.45</v>
      </c>
      <c r="R2197" s="11" t="n">
        <f aca="false">SUM(K2197:Q2197)</f>
        <v>99.56</v>
      </c>
      <c r="S2197" s="11" t="n">
        <f aca="false">R2197/(1-Resumo!$C$6)</f>
        <v>113.136363636364</v>
      </c>
      <c r="T2197" s="11" t="n">
        <f aca="false">S2197-J2197</f>
        <v>30.9863636363636</v>
      </c>
      <c r="U2197" s="12" t="n">
        <f aca="false">IFERROR(S2197/J2197-1,0)</f>
        <v>0.377192497095114</v>
      </c>
      <c r="V2197" s="2" t="str">
        <f aca="false">IF(S2197&lt;J2197,"SIM","NÃO")</f>
        <v>NÃO</v>
      </c>
      <c r="W2197" s="2" t="n">
        <v>5</v>
      </c>
      <c r="X2197" s="2" t="s">
        <v>156</v>
      </c>
    </row>
    <row r="2198" customFormat="false" ht="15" hidden="false" customHeight="false" outlineLevel="0" collapsed="false">
      <c r="A2198" s="2" t="n">
        <v>401115211</v>
      </c>
      <c r="B2198" s="29" t="n">
        <v>46294.9183101852</v>
      </c>
      <c r="C2198" s="2" t="s">
        <v>153</v>
      </c>
      <c r="D2198" s="2" t="s">
        <v>2169</v>
      </c>
      <c r="E2198" s="2" t="s">
        <v>78</v>
      </c>
      <c r="F2198" s="2" t="s">
        <v>113</v>
      </c>
      <c r="G2198" s="30" t="n">
        <v>117</v>
      </c>
      <c r="H2198" s="11" t="n">
        <v>1163.99</v>
      </c>
      <c r="I2198" s="11" t="s">
        <v>155</v>
      </c>
      <c r="J2198" s="11" t="n">
        <v>185.23</v>
      </c>
      <c r="K2198" s="11" t="n">
        <v>201.59</v>
      </c>
      <c r="L2198" s="11" t="n">
        <v>1.164</v>
      </c>
      <c r="M2198" s="11" t="n">
        <v>2.328</v>
      </c>
      <c r="N2198" s="11" t="n">
        <v>1</v>
      </c>
      <c r="O2198" s="11" t="n">
        <v>9</v>
      </c>
      <c r="P2198" s="11" t="n">
        <v>7.02</v>
      </c>
      <c r="Q2198" s="11" t="n">
        <v>52.65</v>
      </c>
      <c r="R2198" s="11" t="n">
        <f aca="false">SUM(K2198:Q2198)</f>
        <v>274.752</v>
      </c>
      <c r="S2198" s="11" t="n">
        <f aca="false">R2198/(1-Resumo!$C$6)</f>
        <v>312.218181818182</v>
      </c>
      <c r="T2198" s="11" t="n">
        <f aca="false">S2198-J2198</f>
        <v>126.988181818182</v>
      </c>
      <c r="U2198" s="12" t="n">
        <f aca="false">IFERROR(S2198/J2198-1,0)</f>
        <v>0.68557027381192</v>
      </c>
      <c r="V2198" s="2" t="str">
        <f aca="false">IF(S2198&lt;J2198,"SIM","NÃO")</f>
        <v>NÃO</v>
      </c>
      <c r="W2198" s="2" t="n">
        <v>5</v>
      </c>
      <c r="X2198" s="2" t="s">
        <v>156</v>
      </c>
    </row>
    <row r="2199" customFormat="false" ht="15" hidden="false" customHeight="false" outlineLevel="0" collapsed="false">
      <c r="A2199" s="2" t="n">
        <v>401121692</v>
      </c>
      <c r="B2199" s="29" t="n">
        <v>46294.9272800926</v>
      </c>
      <c r="C2199" s="2" t="s">
        <v>153</v>
      </c>
      <c r="D2199" s="2" t="s">
        <v>2170</v>
      </c>
      <c r="E2199" s="2" t="s">
        <v>78</v>
      </c>
      <c r="F2199" s="2" t="s">
        <v>106</v>
      </c>
      <c r="G2199" s="30" t="n">
        <v>33</v>
      </c>
      <c r="H2199" s="11" t="n">
        <v>348.23</v>
      </c>
      <c r="I2199" s="11" t="s">
        <v>155</v>
      </c>
      <c r="J2199" s="11" t="n">
        <v>82</v>
      </c>
      <c r="K2199" s="11" t="n">
        <v>82.21</v>
      </c>
      <c r="L2199" s="11" t="n">
        <v>0.3482</v>
      </c>
      <c r="M2199" s="11" t="n">
        <v>0.6965</v>
      </c>
      <c r="N2199" s="11" t="n">
        <v>1</v>
      </c>
      <c r="O2199" s="11" t="n">
        <v>4.5</v>
      </c>
      <c r="P2199" s="11" t="n">
        <v>1.98</v>
      </c>
      <c r="Q2199" s="11" t="n">
        <v>14.85</v>
      </c>
      <c r="R2199" s="11" t="n">
        <f aca="false">SUM(K2199:Q2199)</f>
        <v>105.5847</v>
      </c>
      <c r="S2199" s="11" t="n">
        <f aca="false">R2199/(1-Resumo!$C$6)</f>
        <v>119.982613636364</v>
      </c>
      <c r="T2199" s="11" t="n">
        <f aca="false">S2199-J2199</f>
        <v>37.9826136363636</v>
      </c>
      <c r="U2199" s="12" t="n">
        <f aca="false">IFERROR(S2199/J2199-1,0)</f>
        <v>0.463202605321508</v>
      </c>
      <c r="V2199" s="2" t="str">
        <f aca="false">IF(S2199&lt;J2199,"SIM","NÃO")</f>
        <v>NÃO</v>
      </c>
      <c r="W2199" s="2" t="n">
        <v>5</v>
      </c>
      <c r="X2199" s="2" t="s">
        <v>156</v>
      </c>
    </row>
    <row r="2200" customFormat="false" ht="15" hidden="false" customHeight="false" outlineLevel="0" collapsed="false">
      <c r="A2200" s="2" t="n">
        <v>401199175</v>
      </c>
      <c r="B2200" s="29" t="n">
        <v>46295.0512847222</v>
      </c>
      <c r="C2200" s="2" t="s">
        <v>158</v>
      </c>
      <c r="D2200" s="2" t="s">
        <v>2171</v>
      </c>
      <c r="E2200" s="2" t="s">
        <v>78</v>
      </c>
      <c r="F2200" s="2" t="s">
        <v>108</v>
      </c>
      <c r="G2200" s="30" t="n">
        <v>46.8</v>
      </c>
      <c r="H2200" s="11" t="n">
        <v>541.49</v>
      </c>
      <c r="I2200" s="11" t="s">
        <v>155</v>
      </c>
      <c r="J2200" s="11" t="n">
        <v>103.17</v>
      </c>
      <c r="K2200" s="11" t="n">
        <v>93.97</v>
      </c>
      <c r="L2200" s="11" t="n">
        <v>0.5415</v>
      </c>
      <c r="M2200" s="11" t="n">
        <v>1.083</v>
      </c>
      <c r="N2200" s="11" t="n">
        <v>1</v>
      </c>
      <c r="O2200" s="11" t="n">
        <v>4.5</v>
      </c>
      <c r="P2200" s="11" t="n">
        <v>2.82</v>
      </c>
      <c r="Q2200" s="11" t="n">
        <v>21.15</v>
      </c>
      <c r="R2200" s="11" t="n">
        <f aca="false">SUM(K2200:Q2200)</f>
        <v>125.0645</v>
      </c>
      <c r="S2200" s="11" t="n">
        <f aca="false">R2200/(1-Resumo!$C$6)</f>
        <v>142.11875</v>
      </c>
      <c r="T2200" s="11" t="n">
        <f aca="false">S2200-J2200</f>
        <v>38.94875</v>
      </c>
      <c r="U2200" s="12" t="n">
        <f aca="false">IFERROR(S2200/J2200-1,0)</f>
        <v>0.377520112435786</v>
      </c>
      <c r="V2200" s="2" t="str">
        <f aca="false">IF(S2200&lt;J2200,"SIM","NÃO")</f>
        <v>NÃO</v>
      </c>
      <c r="W2200" s="2" t="n">
        <v>5</v>
      </c>
      <c r="X2200" s="2" t="s">
        <v>156</v>
      </c>
    </row>
    <row r="2201" customFormat="false" ht="15" hidden="false" customHeight="false" outlineLevel="0" collapsed="false">
      <c r="A2201" s="2" t="n">
        <v>401359146</v>
      </c>
      <c r="B2201" s="29" t="n">
        <v>46295.309224537</v>
      </c>
      <c r="C2201" s="2" t="s">
        <v>369</v>
      </c>
      <c r="D2201" s="2" t="s">
        <v>2172</v>
      </c>
      <c r="E2201" s="2" t="s">
        <v>78</v>
      </c>
      <c r="F2201" s="2" t="s">
        <v>106</v>
      </c>
      <c r="G2201" s="30" t="n">
        <v>23.8</v>
      </c>
      <c r="H2201" s="11" t="n">
        <v>1971.99</v>
      </c>
      <c r="I2201" s="11" t="s">
        <v>155</v>
      </c>
      <c r="J2201" s="11" t="n">
        <v>89.77</v>
      </c>
      <c r="K2201" s="11" t="n">
        <v>82.21</v>
      </c>
      <c r="L2201" s="11" t="n">
        <v>1.972</v>
      </c>
      <c r="M2201" s="11" t="n">
        <v>3.944</v>
      </c>
      <c r="N2201" s="11" t="n">
        <v>1</v>
      </c>
      <c r="O2201" s="11" t="n">
        <v>4.5</v>
      </c>
      <c r="P2201" s="11" t="n">
        <v>1.44</v>
      </c>
      <c r="Q2201" s="11" t="n">
        <v>10.8</v>
      </c>
      <c r="R2201" s="11" t="n">
        <f aca="false">SUM(K2201:Q2201)</f>
        <v>105.866</v>
      </c>
      <c r="S2201" s="11" t="n">
        <f aca="false">R2201/(1-Resumo!$C$6)</f>
        <v>120.302272727273</v>
      </c>
      <c r="T2201" s="11" t="n">
        <f aca="false">S2201-J2201</f>
        <v>30.5322727272727</v>
      </c>
      <c r="U2201" s="12" t="n">
        <f aca="false">IFERROR(S2201/J2201-1,0)</f>
        <v>0.340116661772003</v>
      </c>
      <c r="V2201" s="2" t="str">
        <f aca="false">IF(S2201&lt;J2201,"SIM","NÃO")</f>
        <v>NÃO</v>
      </c>
      <c r="W2201" s="2" t="n">
        <v>5</v>
      </c>
      <c r="X2201" s="2" t="s">
        <v>156</v>
      </c>
    </row>
    <row r="2202" customFormat="false" ht="15" hidden="false" customHeight="false" outlineLevel="0" collapsed="false">
      <c r="A2202" s="2" t="n">
        <v>401347735</v>
      </c>
      <c r="B2202" s="29" t="n">
        <v>46295.3110300926</v>
      </c>
      <c r="C2202" s="2" t="s">
        <v>158</v>
      </c>
      <c r="D2202" s="2" t="s">
        <v>2173</v>
      </c>
      <c r="E2202" s="2" t="s">
        <v>78</v>
      </c>
      <c r="F2202" s="2" t="s">
        <v>110</v>
      </c>
      <c r="G2202" s="30" t="n">
        <v>69.15</v>
      </c>
      <c r="H2202" s="11" t="n">
        <v>717.6</v>
      </c>
      <c r="I2202" s="11" t="s">
        <v>155</v>
      </c>
      <c r="J2202" s="11" t="n">
        <v>124.66</v>
      </c>
      <c r="K2202" s="11" t="n">
        <v>131.02</v>
      </c>
      <c r="L2202" s="11" t="n">
        <v>0.7176</v>
      </c>
      <c r="M2202" s="11" t="n">
        <v>1.4352</v>
      </c>
      <c r="N2202" s="11" t="n">
        <v>1</v>
      </c>
      <c r="O2202" s="11" t="n">
        <v>4.5</v>
      </c>
      <c r="P2202" s="11" t="n">
        <v>4.2</v>
      </c>
      <c r="Q2202" s="11" t="n">
        <v>31.5</v>
      </c>
      <c r="R2202" s="11" t="n">
        <f aca="false">SUM(K2202:Q2202)</f>
        <v>174.3728</v>
      </c>
      <c r="S2202" s="11" t="n">
        <f aca="false">R2202/(1-Resumo!$C$6)</f>
        <v>198.150909090909</v>
      </c>
      <c r="T2202" s="11" t="n">
        <f aca="false">S2202-J2202</f>
        <v>73.4909090909091</v>
      </c>
      <c r="U2202" s="12" t="n">
        <f aca="false">IFERROR(S2202/J2202-1,0)</f>
        <v>0.589530796493736</v>
      </c>
      <c r="V2202" s="2" t="str">
        <f aca="false">IF(S2202&lt;J2202,"SIM","NÃO")</f>
        <v>NÃO</v>
      </c>
      <c r="W2202" s="2" t="n">
        <v>5</v>
      </c>
      <c r="X2202" s="2" t="s">
        <v>156</v>
      </c>
    </row>
    <row r="2203" customFormat="false" ht="15" hidden="false" customHeight="false" outlineLevel="0" collapsed="false">
      <c r="A2203" s="2" t="n">
        <v>401358466</v>
      </c>
      <c r="B2203" s="29" t="n">
        <v>46295.311400463</v>
      </c>
      <c r="C2203" s="2" t="s">
        <v>369</v>
      </c>
      <c r="D2203" s="2" t="s">
        <v>2174</v>
      </c>
      <c r="E2203" s="2" t="s">
        <v>78</v>
      </c>
      <c r="F2203" s="2" t="s">
        <v>107</v>
      </c>
      <c r="G2203" s="30" t="n">
        <v>36.8</v>
      </c>
      <c r="H2203" s="11" t="n">
        <v>449.99</v>
      </c>
      <c r="I2203" s="11" t="s">
        <v>155</v>
      </c>
      <c r="J2203" s="11" t="n">
        <v>92.01</v>
      </c>
      <c r="K2203" s="11" t="n">
        <v>93.97</v>
      </c>
      <c r="L2203" s="11" t="n">
        <v>0.45</v>
      </c>
      <c r="M2203" s="11" t="n">
        <v>0.9</v>
      </c>
      <c r="N2203" s="11" t="n">
        <v>1</v>
      </c>
      <c r="O2203" s="11" t="n">
        <v>4.5</v>
      </c>
      <c r="P2203" s="11" t="n">
        <v>2.22</v>
      </c>
      <c r="Q2203" s="11" t="n">
        <v>16.65</v>
      </c>
      <c r="R2203" s="11" t="n">
        <f aca="false">SUM(K2203:Q2203)</f>
        <v>119.69</v>
      </c>
      <c r="S2203" s="11" t="n">
        <f aca="false">R2203/(1-Resumo!$C$6)</f>
        <v>136.011363636364</v>
      </c>
      <c r="T2203" s="11" t="n">
        <f aca="false">S2203-J2203</f>
        <v>44.0013636363636</v>
      </c>
      <c r="U2203" s="12" t="n">
        <f aca="false">IFERROR(S2203/J2203-1,0)</f>
        <v>0.478223710861468</v>
      </c>
      <c r="V2203" s="2" t="str">
        <f aca="false">IF(S2203&lt;J2203,"SIM","NÃO")</f>
        <v>NÃO</v>
      </c>
      <c r="W2203" s="2" t="n">
        <v>5</v>
      </c>
      <c r="X2203" s="2" t="s">
        <v>156</v>
      </c>
    </row>
    <row r="2204" customFormat="false" ht="15" hidden="false" customHeight="false" outlineLevel="0" collapsed="false">
      <c r="A2204" s="2" t="n">
        <v>401351650</v>
      </c>
      <c r="B2204" s="29" t="n">
        <v>46295.3174074074</v>
      </c>
      <c r="C2204" s="2" t="s">
        <v>153</v>
      </c>
      <c r="D2204" s="2" t="s">
        <v>2175</v>
      </c>
      <c r="E2204" s="2" t="s">
        <v>83</v>
      </c>
      <c r="F2204" s="2" t="s">
        <v>110</v>
      </c>
      <c r="G2204" s="30" t="n">
        <v>66.8</v>
      </c>
      <c r="H2204" s="11" t="n">
        <v>719.99</v>
      </c>
      <c r="I2204" s="11" t="s">
        <v>155</v>
      </c>
      <c r="J2204" s="11" t="n">
        <v>155.47</v>
      </c>
      <c r="K2204" s="11" t="n">
        <v>171.54</v>
      </c>
      <c r="L2204" s="11" t="n">
        <v>0.72</v>
      </c>
      <c r="M2204" s="11" t="n">
        <v>1.44</v>
      </c>
      <c r="N2204" s="11" t="n">
        <v>1</v>
      </c>
      <c r="O2204" s="11" t="n">
        <v>4.5</v>
      </c>
      <c r="P2204" s="11" t="n">
        <v>4.02</v>
      </c>
      <c r="Q2204" s="11" t="n">
        <v>30.15</v>
      </c>
      <c r="R2204" s="11" t="n">
        <f aca="false">SUM(K2204:Q2204)</f>
        <v>213.37</v>
      </c>
      <c r="S2204" s="11" t="n">
        <f aca="false">R2204/(1-Resumo!$C$6)</f>
        <v>242.465909090909</v>
      </c>
      <c r="T2204" s="11" t="n">
        <f aca="false">S2204-J2204</f>
        <v>86.9959090909091</v>
      </c>
      <c r="U2204" s="12" t="n">
        <f aca="false">IFERROR(S2204/J2204-1,0)</f>
        <v>0.559567177532058</v>
      </c>
      <c r="V2204" s="2" t="str">
        <f aca="false">IF(S2204&lt;J2204,"SIM","NÃO")</f>
        <v>NÃO</v>
      </c>
      <c r="W2204" s="2" t="n">
        <v>11</v>
      </c>
      <c r="X2204" s="2" t="s">
        <v>156</v>
      </c>
    </row>
    <row r="2205" customFormat="false" ht="15" hidden="false" customHeight="false" outlineLevel="0" collapsed="false">
      <c r="A2205" s="2" t="n">
        <v>401383452</v>
      </c>
      <c r="B2205" s="29" t="n">
        <v>46295.3723032407</v>
      </c>
      <c r="C2205" s="2" t="s">
        <v>178</v>
      </c>
      <c r="D2205" s="2" t="s">
        <v>2176</v>
      </c>
      <c r="E2205" s="2" t="s">
        <v>80</v>
      </c>
      <c r="F2205" s="2" t="s">
        <v>108</v>
      </c>
      <c r="G2205" s="30" t="n">
        <v>41.4</v>
      </c>
      <c r="H2205" s="11" t="n">
        <v>499.99</v>
      </c>
      <c r="I2205" s="11" t="s">
        <v>155</v>
      </c>
      <c r="J2205" s="11" t="n">
        <v>116.47</v>
      </c>
      <c r="K2205" s="11" t="n">
        <v>93.97</v>
      </c>
      <c r="L2205" s="11" t="n">
        <v>0.5</v>
      </c>
      <c r="M2205" s="11" t="n">
        <v>1</v>
      </c>
      <c r="N2205" s="11" t="n">
        <v>1</v>
      </c>
      <c r="O2205" s="11" t="n">
        <v>4.5</v>
      </c>
      <c r="P2205" s="11" t="n">
        <v>2.52</v>
      </c>
      <c r="Q2205" s="11" t="n">
        <v>18.9</v>
      </c>
      <c r="R2205" s="11" t="n">
        <f aca="false">SUM(K2205:Q2205)</f>
        <v>122.39</v>
      </c>
      <c r="S2205" s="11" t="n">
        <f aca="false">R2205/(1-Resumo!$C$6)</f>
        <v>139.079545454545</v>
      </c>
      <c r="T2205" s="11" t="n">
        <f aca="false">S2205-J2205</f>
        <v>22.6095454545454</v>
      </c>
      <c r="U2205" s="12" t="n">
        <f aca="false">IFERROR(S2205/J2205-1,0)</f>
        <v>0.19412334038418</v>
      </c>
      <c r="V2205" s="2" t="str">
        <f aca="false">IF(S2205&lt;J2205,"SIM","NÃO")</f>
        <v>NÃO</v>
      </c>
      <c r="W2205" s="2" t="n">
        <v>5</v>
      </c>
      <c r="X2205" s="2" t="s">
        <v>156</v>
      </c>
    </row>
    <row r="2206" customFormat="false" ht="15" hidden="false" customHeight="false" outlineLevel="0" collapsed="false">
      <c r="A2206" s="2" t="n">
        <v>401416024</v>
      </c>
      <c r="B2206" s="29" t="n">
        <v>46295.3983101852</v>
      </c>
      <c r="C2206" s="2" t="s">
        <v>369</v>
      </c>
      <c r="D2206" s="2" t="s">
        <v>2177</v>
      </c>
      <c r="E2206" s="2" t="s">
        <v>164</v>
      </c>
      <c r="F2206" s="2" t="s">
        <v>108</v>
      </c>
      <c r="G2206" s="30" t="n">
        <v>46.8</v>
      </c>
      <c r="H2206" s="11" t="n">
        <v>539.99</v>
      </c>
      <c r="I2206" s="11" t="s">
        <v>155</v>
      </c>
      <c r="J2206" s="11" t="n">
        <v>116.66</v>
      </c>
      <c r="K2206" s="11" t="n">
        <v>93.97</v>
      </c>
      <c r="L2206" s="11" t="n">
        <v>0.54</v>
      </c>
      <c r="M2206" s="11" t="n">
        <v>1.08</v>
      </c>
      <c r="N2206" s="11" t="n">
        <v>1</v>
      </c>
      <c r="O2206" s="11" t="n">
        <v>4.5</v>
      </c>
      <c r="P2206" s="11" t="n">
        <v>2.82</v>
      </c>
      <c r="Q2206" s="11" t="n">
        <v>21.15</v>
      </c>
      <c r="R2206" s="11" t="n">
        <f aca="false">SUM(K2206:Q2206)</f>
        <v>125.06</v>
      </c>
      <c r="S2206" s="11" t="n">
        <f aca="false">R2206/(1-Resumo!$C$6)</f>
        <v>142.113636363636</v>
      </c>
      <c r="T2206" s="11" t="n">
        <f aca="false">S2206-J2206</f>
        <v>25.4536363636364</v>
      </c>
      <c r="U2206" s="12" t="n">
        <f aca="false">IFERROR(S2206/J2206-1,0)</f>
        <v>0.21818649377367</v>
      </c>
      <c r="V2206" s="2" t="str">
        <f aca="false">IF(S2206&lt;J2206,"SIM","NÃO")</f>
        <v>NÃO</v>
      </c>
      <c r="W2206" s="2" t="n">
        <v>5</v>
      </c>
      <c r="X2206" s="2" t="s">
        <v>161</v>
      </c>
    </row>
    <row r="2207" customFormat="false" ht="15" hidden="false" customHeight="false" outlineLevel="0" collapsed="false">
      <c r="A2207" s="2" t="n">
        <v>401416782</v>
      </c>
      <c r="B2207" s="29" t="n">
        <v>46295.4149189815</v>
      </c>
      <c r="C2207" s="2" t="s">
        <v>153</v>
      </c>
      <c r="D2207" s="2" t="s">
        <v>2178</v>
      </c>
      <c r="E2207" s="2" t="s">
        <v>78</v>
      </c>
      <c r="F2207" s="2" t="s">
        <v>106</v>
      </c>
      <c r="G2207" s="30" t="n">
        <v>31</v>
      </c>
      <c r="H2207" s="11" t="n">
        <v>323.94</v>
      </c>
      <c r="I2207" s="11" t="s">
        <v>155</v>
      </c>
      <c r="J2207" s="11" t="n">
        <v>81.89</v>
      </c>
      <c r="K2207" s="11" t="n">
        <v>82.21</v>
      </c>
      <c r="L2207" s="11" t="n">
        <v>0.3239</v>
      </c>
      <c r="M2207" s="11" t="n">
        <v>0.6479</v>
      </c>
      <c r="N2207" s="11" t="n">
        <v>1</v>
      </c>
      <c r="O2207" s="11" t="n">
        <v>4.5</v>
      </c>
      <c r="P2207" s="11" t="n">
        <v>1.86</v>
      </c>
      <c r="Q2207" s="11" t="n">
        <v>13.95</v>
      </c>
      <c r="R2207" s="11" t="n">
        <f aca="false">SUM(K2207:Q2207)</f>
        <v>104.4918</v>
      </c>
      <c r="S2207" s="11" t="n">
        <f aca="false">R2207/(1-Resumo!$C$6)</f>
        <v>118.740681818182</v>
      </c>
      <c r="T2207" s="11" t="n">
        <f aca="false">S2207-J2207</f>
        <v>36.8506818181818</v>
      </c>
      <c r="U2207" s="12" t="n">
        <f aca="false">IFERROR(S2207/J2207-1,0)</f>
        <v>0.450002220273316</v>
      </c>
      <c r="V2207" s="2" t="str">
        <f aca="false">IF(S2207&lt;J2207,"SIM","NÃO")</f>
        <v>NÃO</v>
      </c>
      <c r="W2207" s="2" t="n">
        <v>5</v>
      </c>
      <c r="X2207" s="2" t="s">
        <v>156</v>
      </c>
    </row>
    <row r="2208" customFormat="false" ht="15" hidden="false" customHeight="false" outlineLevel="0" collapsed="false">
      <c r="A2208" s="2" t="n">
        <v>401490832</v>
      </c>
      <c r="B2208" s="29" t="n">
        <v>46295.4878472222</v>
      </c>
      <c r="C2208" s="2" t="s">
        <v>369</v>
      </c>
      <c r="D2208" s="2" t="s">
        <v>2179</v>
      </c>
      <c r="E2208" s="2" t="s">
        <v>78</v>
      </c>
      <c r="F2208" s="2" t="s">
        <v>108</v>
      </c>
      <c r="G2208" s="30" t="n">
        <v>48.3</v>
      </c>
      <c r="H2208" s="11" t="n">
        <v>449.99</v>
      </c>
      <c r="I2208" s="11" t="s">
        <v>155</v>
      </c>
      <c r="J2208" s="11" t="n">
        <v>102.74</v>
      </c>
      <c r="K2208" s="11" t="n">
        <v>93.97</v>
      </c>
      <c r="L2208" s="11" t="n">
        <v>0.45</v>
      </c>
      <c r="M2208" s="11" t="n">
        <v>0.9</v>
      </c>
      <c r="N2208" s="11" t="n">
        <v>1</v>
      </c>
      <c r="O2208" s="11" t="n">
        <v>4.5</v>
      </c>
      <c r="P2208" s="11" t="n">
        <v>2.94</v>
      </c>
      <c r="Q2208" s="11" t="n">
        <v>22.05</v>
      </c>
      <c r="R2208" s="11" t="n">
        <f aca="false">SUM(K2208:Q2208)</f>
        <v>125.81</v>
      </c>
      <c r="S2208" s="11" t="n">
        <f aca="false">R2208/(1-Resumo!$C$6)</f>
        <v>142.965909090909</v>
      </c>
      <c r="T2208" s="11" t="n">
        <f aca="false">S2208-J2208</f>
        <v>40.2259090909091</v>
      </c>
      <c r="U2208" s="12" t="n">
        <f aca="false">IFERROR(S2208/J2208-1,0)</f>
        <v>0.391531137735148</v>
      </c>
      <c r="V2208" s="2" t="str">
        <f aca="false">IF(S2208&lt;J2208,"SIM","NÃO")</f>
        <v>NÃO</v>
      </c>
      <c r="W2208" s="2" t="n">
        <v>5</v>
      </c>
      <c r="X2208" s="2" t="s">
        <v>156</v>
      </c>
    </row>
    <row r="2209" customFormat="false" ht="15" hidden="false" customHeight="false" outlineLevel="0" collapsed="false">
      <c r="A2209" s="2" t="n">
        <v>401474120</v>
      </c>
      <c r="B2209" s="29" t="n">
        <v>46295.4897916667</v>
      </c>
      <c r="C2209" s="2" t="s">
        <v>158</v>
      </c>
      <c r="D2209" s="2" t="s">
        <v>2180</v>
      </c>
      <c r="E2209" s="2" t="s">
        <v>164</v>
      </c>
      <c r="F2209" s="2" t="s">
        <v>108</v>
      </c>
      <c r="G2209" s="30" t="n">
        <v>49.6</v>
      </c>
      <c r="H2209" s="11" t="n">
        <v>759.99</v>
      </c>
      <c r="I2209" s="11" t="s">
        <v>155</v>
      </c>
      <c r="J2209" s="11" t="n">
        <v>117.72</v>
      </c>
      <c r="K2209" s="11" t="n">
        <v>93.97</v>
      </c>
      <c r="L2209" s="11" t="n">
        <v>0.76</v>
      </c>
      <c r="M2209" s="11" t="n">
        <v>1.52</v>
      </c>
      <c r="N2209" s="11" t="n">
        <v>1</v>
      </c>
      <c r="O2209" s="11" t="n">
        <v>4.5</v>
      </c>
      <c r="P2209" s="11" t="n">
        <v>3</v>
      </c>
      <c r="Q2209" s="11" t="n">
        <v>22.5</v>
      </c>
      <c r="R2209" s="11" t="n">
        <f aca="false">SUM(K2209:Q2209)</f>
        <v>127.25</v>
      </c>
      <c r="S2209" s="11" t="n">
        <f aca="false">R2209/(1-Resumo!$C$6)</f>
        <v>144.602272727273</v>
      </c>
      <c r="T2209" s="11" t="n">
        <f aca="false">S2209-J2209</f>
        <v>26.8822727272727</v>
      </c>
      <c r="U2209" s="12" t="n">
        <f aca="false">IFERROR(S2209/J2209-1,0)</f>
        <v>0.228357736385259</v>
      </c>
      <c r="V2209" s="2" t="str">
        <f aca="false">IF(S2209&lt;J2209,"SIM","NÃO")</f>
        <v>NÃO</v>
      </c>
      <c r="W2209" s="2" t="n">
        <v>5</v>
      </c>
      <c r="X2209" s="2" t="s">
        <v>161</v>
      </c>
    </row>
    <row r="2210" customFormat="false" ht="15" hidden="false" customHeight="false" outlineLevel="0" collapsed="false">
      <c r="A2210" s="2" t="n">
        <v>401475040</v>
      </c>
      <c r="B2210" s="29" t="n">
        <v>46295.4906712963</v>
      </c>
      <c r="C2210" s="2" t="s">
        <v>153</v>
      </c>
      <c r="D2210" s="2" t="s">
        <v>2181</v>
      </c>
      <c r="E2210" s="2" t="s">
        <v>91</v>
      </c>
      <c r="F2210" s="2" t="s">
        <v>107</v>
      </c>
      <c r="G2210" s="30" t="n">
        <v>37.2</v>
      </c>
      <c r="H2210" s="11" t="n">
        <v>378.99</v>
      </c>
      <c r="I2210" s="11" t="s">
        <v>155</v>
      </c>
      <c r="J2210" s="11" t="n">
        <v>122.07</v>
      </c>
      <c r="K2210" s="11" t="n">
        <v>124.38</v>
      </c>
      <c r="L2210" s="11" t="n">
        <v>0.379</v>
      </c>
      <c r="M2210" s="11" t="n">
        <v>0.758</v>
      </c>
      <c r="N2210" s="11" t="n">
        <v>1</v>
      </c>
      <c r="O2210" s="11" t="n">
        <v>4.5</v>
      </c>
      <c r="P2210" s="11" t="n">
        <v>2.28</v>
      </c>
      <c r="Q2210" s="11" t="n">
        <v>17.1</v>
      </c>
      <c r="R2210" s="11" t="n">
        <f aca="false">SUM(K2210:Q2210)</f>
        <v>150.397</v>
      </c>
      <c r="S2210" s="11" t="n">
        <f aca="false">R2210/(1-Resumo!$C$6)</f>
        <v>170.905681818182</v>
      </c>
      <c r="T2210" s="11" t="n">
        <f aca="false">S2210-J2210</f>
        <v>48.8356818181818</v>
      </c>
      <c r="U2210" s="12" t="n">
        <f aca="false">IFERROR(S2210/J2210-1,0)</f>
        <v>0.400062929615645</v>
      </c>
      <c r="V2210" s="2" t="str">
        <f aca="false">IF(S2210&lt;J2210,"SIM","NÃO")</f>
        <v>NÃO</v>
      </c>
      <c r="W2210" s="2" t="n">
        <v>10</v>
      </c>
      <c r="X2210" s="2" t="s">
        <v>156</v>
      </c>
    </row>
    <row r="2211" customFormat="false" ht="15" hidden="false" customHeight="false" outlineLevel="0" collapsed="false">
      <c r="A2211" s="2" t="n">
        <v>401501864</v>
      </c>
      <c r="B2211" s="29" t="n">
        <v>46295.5240162037</v>
      </c>
      <c r="C2211" s="2" t="s">
        <v>158</v>
      </c>
      <c r="D2211" s="2" t="s">
        <v>2182</v>
      </c>
      <c r="E2211" s="2" t="s">
        <v>85</v>
      </c>
      <c r="F2211" s="2" t="s">
        <v>116</v>
      </c>
      <c r="G2211" s="30" t="n">
        <v>188.4</v>
      </c>
      <c r="H2211" s="11" t="n">
        <v>1994</v>
      </c>
      <c r="I2211" s="11" t="s">
        <v>155</v>
      </c>
      <c r="J2211" s="11" t="n">
        <v>198.28</v>
      </c>
      <c r="K2211" s="11" t="n">
        <v>353.17</v>
      </c>
      <c r="L2211" s="11" t="n">
        <v>1.994</v>
      </c>
      <c r="M2211" s="11" t="n">
        <v>3.988</v>
      </c>
      <c r="N2211" s="11" t="n">
        <v>1</v>
      </c>
      <c r="O2211" s="11" t="n">
        <v>9</v>
      </c>
      <c r="P2211" s="11" t="n">
        <v>11.34</v>
      </c>
      <c r="Q2211" s="11" t="n">
        <v>85.05</v>
      </c>
      <c r="R2211" s="11" t="n">
        <f aca="false">SUM(K2211:Q2211)</f>
        <v>465.542</v>
      </c>
      <c r="S2211" s="11" t="n">
        <f aca="false">R2211/(1-Resumo!$C$6)</f>
        <v>529.025</v>
      </c>
      <c r="T2211" s="11" t="n">
        <f aca="false">S2211-J2211</f>
        <v>330.745</v>
      </c>
      <c r="U2211" s="12" t="n">
        <f aca="false">IFERROR(S2211/J2211-1,0)</f>
        <v>1.66807040548719</v>
      </c>
      <c r="V2211" s="2" t="str">
        <f aca="false">IF(S2211&lt;J2211,"SIM","NÃO")</f>
        <v>NÃO</v>
      </c>
      <c r="W2211" s="2" t="n">
        <v>11</v>
      </c>
      <c r="X2211" s="2" t="s">
        <v>156</v>
      </c>
    </row>
    <row r="2212" customFormat="false" ht="15" hidden="false" customHeight="false" outlineLevel="0" collapsed="false">
      <c r="A2212" s="2" t="n">
        <v>401521124</v>
      </c>
      <c r="B2212" s="29" t="n">
        <v>46295.5491898148</v>
      </c>
      <c r="C2212" s="2" t="s">
        <v>153</v>
      </c>
      <c r="D2212" s="2" t="s">
        <v>2183</v>
      </c>
      <c r="E2212" s="2" t="s">
        <v>79</v>
      </c>
      <c r="F2212" s="2" t="s">
        <v>108</v>
      </c>
      <c r="G2212" s="30" t="n">
        <v>48.3</v>
      </c>
      <c r="H2212" s="11" t="n">
        <v>450.99</v>
      </c>
      <c r="I2212" s="11" t="s">
        <v>155</v>
      </c>
      <c r="J2212" s="11" t="n">
        <v>116.23</v>
      </c>
      <c r="K2212" s="11" t="n">
        <v>114.95</v>
      </c>
      <c r="L2212" s="11" t="n">
        <v>0.451</v>
      </c>
      <c r="M2212" s="11" t="n">
        <v>0.902</v>
      </c>
      <c r="N2212" s="11" t="n">
        <v>1</v>
      </c>
      <c r="O2212" s="11" t="n">
        <v>4.5</v>
      </c>
      <c r="P2212" s="11" t="n">
        <v>2.94</v>
      </c>
      <c r="Q2212" s="11" t="n">
        <v>22.05</v>
      </c>
      <c r="R2212" s="11" t="n">
        <f aca="false">SUM(K2212:Q2212)</f>
        <v>146.793</v>
      </c>
      <c r="S2212" s="11" t="n">
        <f aca="false">R2212/(1-Resumo!$C$6)</f>
        <v>166.810227272727</v>
      </c>
      <c r="T2212" s="11" t="n">
        <f aca="false">S2212-J2212</f>
        <v>50.5802272727273</v>
      </c>
      <c r="U2212" s="12" t="n">
        <f aca="false">IFERROR(S2212/J2212-1,0)</f>
        <v>0.435173597803728</v>
      </c>
      <c r="V2212" s="2" t="str">
        <f aca="false">IF(S2212&lt;J2212,"SIM","NÃO")</f>
        <v>NÃO</v>
      </c>
      <c r="W2212" s="2" t="n">
        <v>7</v>
      </c>
      <c r="X2212" s="2" t="s">
        <v>156</v>
      </c>
    </row>
    <row r="2213" customFormat="false" ht="15" hidden="false" customHeight="false" outlineLevel="0" collapsed="false">
      <c r="A2213" s="2" t="n">
        <v>401561453</v>
      </c>
      <c r="B2213" s="29" t="n">
        <v>46295.6031134259</v>
      </c>
      <c r="C2213" s="2" t="s">
        <v>158</v>
      </c>
      <c r="D2213" s="2" t="s">
        <v>2184</v>
      </c>
      <c r="E2213" s="2" t="s">
        <v>2185</v>
      </c>
      <c r="F2213" s="2" t="s">
        <v>106</v>
      </c>
      <c r="G2213" s="30" t="n">
        <v>31.9</v>
      </c>
      <c r="H2213" s="11" t="n">
        <v>483.99</v>
      </c>
      <c r="I2213" s="11" t="s">
        <v>155</v>
      </c>
      <c r="J2213" s="11" t="n">
        <v>109.5</v>
      </c>
      <c r="K2213" s="11" t="n">
        <v>138.29</v>
      </c>
      <c r="L2213" s="11" t="n">
        <v>0.484</v>
      </c>
      <c r="M2213" s="11" t="n">
        <v>0.968</v>
      </c>
      <c r="N2213" s="11" t="n">
        <v>1</v>
      </c>
      <c r="O2213" s="11" t="n">
        <v>4.5</v>
      </c>
      <c r="P2213" s="11" t="n">
        <v>1.92</v>
      </c>
      <c r="Q2213" s="11" t="n">
        <v>14.4</v>
      </c>
      <c r="R2213" s="11" t="n">
        <f aca="false">SUM(K2213:Q2213)</f>
        <v>161.562</v>
      </c>
      <c r="S2213" s="11" t="n">
        <f aca="false">R2213/(1-Resumo!$C$6)</f>
        <v>183.593181818182</v>
      </c>
      <c r="T2213" s="11" t="n">
        <f aca="false">S2213-J2213</f>
        <v>74.0931818181818</v>
      </c>
      <c r="U2213" s="12" t="n">
        <f aca="false">IFERROR(S2213/J2213-1,0)</f>
        <v>0.6766500622665</v>
      </c>
      <c r="V2213" s="2" t="str">
        <f aca="false">IF(S2213&lt;J2213,"SIM","NÃO")</f>
        <v>NÃO</v>
      </c>
      <c r="W2213" s="2" t="n">
        <v>11</v>
      </c>
      <c r="X2213" s="2" t="s">
        <v>161</v>
      </c>
    </row>
    <row r="2214" customFormat="false" ht="15" hidden="false" customHeight="false" outlineLevel="0" collapsed="false">
      <c r="A2214" s="2" t="n">
        <v>401605148</v>
      </c>
      <c r="B2214" s="29" t="n">
        <v>46295.6584953704</v>
      </c>
      <c r="C2214" s="2" t="s">
        <v>153</v>
      </c>
      <c r="D2214" s="2" t="s">
        <v>2186</v>
      </c>
      <c r="E2214" s="2" t="s">
        <v>239</v>
      </c>
      <c r="F2214" s="2" t="s">
        <v>106</v>
      </c>
      <c r="G2214" s="30" t="n">
        <v>27.5</v>
      </c>
      <c r="H2214" s="11" t="n">
        <v>399.99</v>
      </c>
      <c r="I2214" s="11" t="s">
        <v>155</v>
      </c>
      <c r="J2214" s="11" t="n">
        <v>109.1</v>
      </c>
      <c r="K2214" s="11" t="n">
        <v>120.78</v>
      </c>
      <c r="L2214" s="11" t="n">
        <v>0.4</v>
      </c>
      <c r="M2214" s="11" t="n">
        <v>0.8</v>
      </c>
      <c r="N2214" s="11" t="n">
        <v>1</v>
      </c>
      <c r="O2214" s="11" t="n">
        <v>4.5</v>
      </c>
      <c r="P2214" s="11" t="n">
        <v>1.68</v>
      </c>
      <c r="Q2214" s="11" t="n">
        <v>12.6</v>
      </c>
      <c r="R2214" s="11" t="n">
        <f aca="false">SUM(K2214:Q2214)</f>
        <v>141.76</v>
      </c>
      <c r="S2214" s="11" t="n">
        <f aca="false">R2214/(1-Resumo!$C$6)</f>
        <v>161.090909090909</v>
      </c>
      <c r="T2214" s="11" t="n">
        <f aca="false">S2214-J2214</f>
        <v>51.9909090909091</v>
      </c>
      <c r="U2214" s="12" t="n">
        <f aca="false">IFERROR(S2214/J2214-1,0)</f>
        <v>0.476543621364886</v>
      </c>
      <c r="V2214" s="2" t="str">
        <f aca="false">IF(S2214&lt;J2214,"SIM","NÃO")</f>
        <v>NÃO</v>
      </c>
      <c r="W2214" s="2" t="n">
        <v>10</v>
      </c>
      <c r="X2214" s="2" t="s">
        <v>161</v>
      </c>
    </row>
    <row r="2215" customFormat="false" ht="15" hidden="false" customHeight="false" outlineLevel="0" collapsed="false">
      <c r="A2215" s="2" t="n">
        <v>401619163</v>
      </c>
      <c r="B2215" s="29" t="n">
        <v>46295.6761226852</v>
      </c>
      <c r="C2215" s="2" t="s">
        <v>153</v>
      </c>
      <c r="D2215" s="2" t="s">
        <v>2187</v>
      </c>
      <c r="E2215" s="2" t="s">
        <v>79</v>
      </c>
      <c r="F2215" s="2" t="s">
        <v>107</v>
      </c>
      <c r="G2215" s="30" t="n">
        <v>37.2</v>
      </c>
      <c r="H2215" s="11" t="n">
        <v>360.99</v>
      </c>
      <c r="I2215" s="11" t="s">
        <v>155</v>
      </c>
      <c r="J2215" s="11" t="n">
        <v>112.68</v>
      </c>
      <c r="K2215" s="11" t="n">
        <v>114.95</v>
      </c>
      <c r="L2215" s="11" t="n">
        <v>0.361</v>
      </c>
      <c r="M2215" s="11" t="n">
        <v>0.722</v>
      </c>
      <c r="N2215" s="11" t="n">
        <v>1</v>
      </c>
      <c r="O2215" s="11" t="n">
        <v>4.5</v>
      </c>
      <c r="P2215" s="11" t="n">
        <v>2.28</v>
      </c>
      <c r="Q2215" s="11" t="n">
        <v>17.1</v>
      </c>
      <c r="R2215" s="11" t="n">
        <f aca="false">SUM(K2215:Q2215)</f>
        <v>140.913</v>
      </c>
      <c r="S2215" s="11" t="n">
        <f aca="false">R2215/(1-Resumo!$C$6)</f>
        <v>160.128409090909</v>
      </c>
      <c r="T2215" s="11" t="n">
        <f aca="false">S2215-J2215</f>
        <v>47.4484090909091</v>
      </c>
      <c r="U2215" s="12" t="n">
        <f aca="false">IFERROR(S2215/J2215-1,0)</f>
        <v>0.42108989253558</v>
      </c>
      <c r="V2215" s="2" t="str">
        <f aca="false">IF(S2215&lt;J2215,"SIM","NÃO")</f>
        <v>NÃO</v>
      </c>
      <c r="W2215" s="2" t="n">
        <v>7</v>
      </c>
      <c r="X2215" s="2" t="s">
        <v>156</v>
      </c>
    </row>
    <row r="2216" customFormat="false" ht="15" hidden="false" customHeight="false" outlineLevel="0" collapsed="false">
      <c r="A2216" s="2" t="n">
        <v>401637633</v>
      </c>
      <c r="B2216" s="29" t="n">
        <v>46295.6982986111</v>
      </c>
      <c r="C2216" s="2" t="s">
        <v>158</v>
      </c>
      <c r="D2216" s="2" t="s">
        <v>2188</v>
      </c>
      <c r="E2216" s="2" t="s">
        <v>78</v>
      </c>
      <c r="F2216" s="2" t="s">
        <v>110</v>
      </c>
      <c r="G2216" s="30" t="n">
        <v>63</v>
      </c>
      <c r="H2216" s="11" t="n">
        <v>848.38</v>
      </c>
      <c r="I2216" s="11" t="s">
        <v>155</v>
      </c>
      <c r="J2216" s="11" t="n">
        <v>125.28</v>
      </c>
      <c r="K2216" s="11" t="n">
        <v>131.02</v>
      </c>
      <c r="L2216" s="11" t="n">
        <v>0.8484</v>
      </c>
      <c r="M2216" s="11" t="n">
        <v>1.6968</v>
      </c>
      <c r="N2216" s="11" t="n">
        <v>1</v>
      </c>
      <c r="O2216" s="11" t="n">
        <v>4.5</v>
      </c>
      <c r="P2216" s="11" t="n">
        <v>3.78</v>
      </c>
      <c r="Q2216" s="11" t="n">
        <v>28.35</v>
      </c>
      <c r="R2216" s="11" t="n">
        <f aca="false">SUM(K2216:Q2216)</f>
        <v>171.1952</v>
      </c>
      <c r="S2216" s="11" t="n">
        <f aca="false">R2216/(1-Resumo!$C$6)</f>
        <v>194.54</v>
      </c>
      <c r="T2216" s="11" t="n">
        <f aca="false">S2216-J2216</f>
        <v>69.26</v>
      </c>
      <c r="U2216" s="12" t="n">
        <f aca="false">IFERROR(S2216/J2216-1,0)</f>
        <v>0.552841634738186</v>
      </c>
      <c r="V2216" s="2" t="str">
        <f aca="false">IF(S2216&lt;J2216,"SIM","NÃO")</f>
        <v>NÃO</v>
      </c>
      <c r="W2216" s="2" t="n">
        <v>5</v>
      </c>
      <c r="X2216" s="2" t="s">
        <v>156</v>
      </c>
    </row>
    <row r="2217" customFormat="false" ht="15" hidden="false" customHeight="false" outlineLevel="0" collapsed="false">
      <c r="A2217" s="2" t="n">
        <v>401680125</v>
      </c>
      <c r="B2217" s="29" t="n">
        <v>46295.7563657407</v>
      </c>
      <c r="C2217" s="2" t="s">
        <v>198</v>
      </c>
      <c r="D2217" s="2" t="s">
        <v>2189</v>
      </c>
      <c r="E2217" s="2" t="s">
        <v>90</v>
      </c>
      <c r="F2217" s="2" t="s">
        <v>106</v>
      </c>
      <c r="G2217" s="30" t="n">
        <v>24.4</v>
      </c>
      <c r="H2217" s="11" t="n">
        <v>349.99</v>
      </c>
      <c r="I2217" s="11" t="s">
        <v>155</v>
      </c>
      <c r="J2217" s="11" t="n">
        <v>108.85</v>
      </c>
      <c r="K2217" s="11" t="n">
        <v>100.58</v>
      </c>
      <c r="L2217" s="11" t="n">
        <v>0.35</v>
      </c>
      <c r="M2217" s="11" t="n">
        <v>0.7</v>
      </c>
      <c r="N2217" s="11" t="n">
        <v>1</v>
      </c>
      <c r="O2217" s="11" t="n">
        <v>4.5</v>
      </c>
      <c r="P2217" s="11" t="n">
        <v>1.5</v>
      </c>
      <c r="Q2217" s="11" t="n">
        <v>11.25</v>
      </c>
      <c r="R2217" s="11" t="n">
        <f aca="false">SUM(K2217:Q2217)</f>
        <v>119.88</v>
      </c>
      <c r="S2217" s="11" t="n">
        <f aca="false">R2217/(1-Resumo!$C$6)</f>
        <v>136.227272727273</v>
      </c>
      <c r="T2217" s="11" t="n">
        <f aca="false">S2217-J2217</f>
        <v>27.3772727272727</v>
      </c>
      <c r="U2217" s="12" t="n">
        <f aca="false">IFERROR(S2217/J2217-1,0)</f>
        <v>0.251513759552345</v>
      </c>
      <c r="V2217" s="2" t="str">
        <f aca="false">IF(S2217&lt;J2217,"SIM","NÃO")</f>
        <v>NÃO</v>
      </c>
      <c r="W2217" s="2" t="n">
        <v>7</v>
      </c>
      <c r="X2217" s="2" t="s">
        <v>156</v>
      </c>
    </row>
    <row r="2218" customFormat="false" ht="15" hidden="false" customHeight="false" outlineLevel="0" collapsed="false">
      <c r="A2218" s="2" t="n">
        <v>401761929</v>
      </c>
      <c r="B2218" s="29" t="n">
        <v>46295.847349537</v>
      </c>
      <c r="C2218" s="2" t="s">
        <v>158</v>
      </c>
      <c r="D2218" s="2" t="s">
        <v>2190</v>
      </c>
      <c r="E2218" s="2" t="s">
        <v>88</v>
      </c>
      <c r="F2218" s="2" t="s">
        <v>109</v>
      </c>
      <c r="G2218" s="30" t="n">
        <v>56.7</v>
      </c>
      <c r="H2218" s="11" t="n">
        <v>705.81</v>
      </c>
      <c r="I2218" s="11" t="s">
        <v>155</v>
      </c>
      <c r="J2218" s="11" t="n">
        <v>143.05</v>
      </c>
      <c r="K2218" s="11" t="n">
        <v>142.32</v>
      </c>
      <c r="L2218" s="11" t="n">
        <v>0.7058</v>
      </c>
      <c r="M2218" s="11" t="n">
        <v>1.4116</v>
      </c>
      <c r="N2218" s="11" t="n">
        <v>1</v>
      </c>
      <c r="O2218" s="11" t="n">
        <v>4.5</v>
      </c>
      <c r="P2218" s="11" t="n">
        <v>3.42</v>
      </c>
      <c r="Q2218" s="11" t="n">
        <v>25.65</v>
      </c>
      <c r="R2218" s="11" t="n">
        <f aca="false">SUM(K2218:Q2218)</f>
        <v>179.0074</v>
      </c>
      <c r="S2218" s="11" t="n">
        <f aca="false">R2218/(1-Resumo!$C$6)</f>
        <v>203.4175</v>
      </c>
      <c r="T2218" s="11" t="n">
        <f aca="false">S2218-J2218</f>
        <v>60.3675</v>
      </c>
      <c r="U2218" s="12" t="n">
        <f aca="false">IFERROR(S2218/J2218-1,0)</f>
        <v>0.422002796225096</v>
      </c>
      <c r="V2218" s="2" t="str">
        <f aca="false">IF(S2218&lt;J2218,"SIM","NÃO")</f>
        <v>NÃO</v>
      </c>
      <c r="W2218" s="2" t="n">
        <v>10</v>
      </c>
      <c r="X2218" s="2" t="s">
        <v>156</v>
      </c>
    </row>
    <row r="2219" customFormat="false" ht="15" hidden="false" customHeight="false" outlineLevel="0" collapsed="false">
      <c r="A2219" s="2" t="n">
        <v>401791560</v>
      </c>
      <c r="B2219" s="29" t="n">
        <v>46295.8862731482</v>
      </c>
      <c r="C2219" s="2" t="s">
        <v>1883</v>
      </c>
      <c r="D2219" s="2" t="s">
        <v>282</v>
      </c>
      <c r="E2219" s="2" t="s">
        <v>283</v>
      </c>
      <c r="F2219" s="2" t="s">
        <v>107</v>
      </c>
      <c r="G2219" s="30" t="n">
        <v>39</v>
      </c>
      <c r="H2219" s="11" t="n">
        <v>619.99</v>
      </c>
      <c r="I2219" s="11" t="s">
        <v>155</v>
      </c>
      <c r="J2219" s="11" t="n">
        <v>123.22</v>
      </c>
      <c r="K2219" s="11" t="n">
        <v>143.04</v>
      </c>
      <c r="L2219" s="11" t="n">
        <v>0.62</v>
      </c>
      <c r="M2219" s="11" t="n">
        <v>1.24</v>
      </c>
      <c r="N2219" s="11" t="n">
        <v>1</v>
      </c>
      <c r="O2219" s="11" t="n">
        <v>4.5</v>
      </c>
      <c r="P2219" s="11" t="n">
        <v>2.34</v>
      </c>
      <c r="Q2219" s="11" t="n">
        <v>17.55</v>
      </c>
      <c r="R2219" s="11" t="n">
        <f aca="false">SUM(K2219:Q2219)</f>
        <v>170.29</v>
      </c>
      <c r="S2219" s="11" t="n">
        <f aca="false">R2219/(1-Resumo!$C$6)</f>
        <v>193.511363636364</v>
      </c>
      <c r="T2219" s="11" t="n">
        <f aca="false">S2219-J2219</f>
        <v>70.2913636363636</v>
      </c>
      <c r="U2219" s="12" t="n">
        <f aca="false">IFERROR(S2219/J2219-1,0)</f>
        <v>0.570454176565197</v>
      </c>
      <c r="V2219" s="2" t="str">
        <f aca="false">IF(S2219&lt;J2219,"SIM","NÃO")</f>
        <v>NÃO</v>
      </c>
      <c r="W2219" s="2" t="n">
        <v>11</v>
      </c>
      <c r="X2219" s="2" t="s">
        <v>161</v>
      </c>
    </row>
    <row r="2220" customFormat="false" ht="15" hidden="false" customHeight="false" outlineLevel="0" collapsed="false">
      <c r="A2220" s="2" t="n">
        <v>401794913</v>
      </c>
      <c r="B2220" s="29" t="n">
        <v>46295.8905439815</v>
      </c>
      <c r="C2220" s="2" t="s">
        <v>153</v>
      </c>
      <c r="D2220" s="2" t="s">
        <v>2155</v>
      </c>
      <c r="E2220" s="2" t="s">
        <v>78</v>
      </c>
      <c r="F2220" s="2" t="s">
        <v>107</v>
      </c>
      <c r="G2220" s="30" t="n">
        <v>39</v>
      </c>
      <c r="H2220" s="11" t="n">
        <v>549.99</v>
      </c>
      <c r="I2220" s="11" t="s">
        <v>155</v>
      </c>
      <c r="J2220" s="11" t="n">
        <v>92.49</v>
      </c>
      <c r="K2220" s="11" t="n">
        <v>93.97</v>
      </c>
      <c r="L2220" s="11" t="n">
        <v>0.55</v>
      </c>
      <c r="M2220" s="11" t="n">
        <v>1.1</v>
      </c>
      <c r="N2220" s="11" t="n">
        <v>1</v>
      </c>
      <c r="O2220" s="11" t="n">
        <v>4.5</v>
      </c>
      <c r="P2220" s="11" t="n">
        <v>2.34</v>
      </c>
      <c r="Q2220" s="11" t="n">
        <v>17.55</v>
      </c>
      <c r="R2220" s="11" t="n">
        <f aca="false">SUM(K2220:Q2220)</f>
        <v>121.01</v>
      </c>
      <c r="S2220" s="11" t="n">
        <f aca="false">R2220/(1-Resumo!$C$6)</f>
        <v>137.511363636364</v>
      </c>
      <c r="T2220" s="11" t="n">
        <f aca="false">S2220-J2220</f>
        <v>45.0213636363636</v>
      </c>
      <c r="U2220" s="12" t="n">
        <f aca="false">IFERROR(S2220/J2220-1,0)</f>
        <v>0.486770068508635</v>
      </c>
      <c r="V2220" s="2" t="str">
        <f aca="false">IF(S2220&lt;J2220,"SIM","NÃO")</f>
        <v>NÃO</v>
      </c>
      <c r="W2220" s="2" t="n">
        <v>5</v>
      </c>
      <c r="X2220" s="2" t="s">
        <v>156</v>
      </c>
    </row>
    <row r="2221" customFormat="false" ht="15" hidden="false" customHeight="false" outlineLevel="0" collapsed="false">
      <c r="A2221" s="2" t="n">
        <v>401804176</v>
      </c>
      <c r="B2221" s="29" t="n">
        <v>46295.9039814815</v>
      </c>
      <c r="C2221" s="2" t="s">
        <v>153</v>
      </c>
      <c r="D2221" s="2" t="s">
        <v>2191</v>
      </c>
      <c r="E2221" s="2" t="s">
        <v>78</v>
      </c>
      <c r="F2221" s="2" t="s">
        <v>106</v>
      </c>
      <c r="G2221" s="30" t="n">
        <v>30.5</v>
      </c>
      <c r="H2221" s="11" t="n">
        <v>406.6</v>
      </c>
      <c r="I2221" s="11" t="s">
        <v>155</v>
      </c>
      <c r="J2221" s="11" t="n">
        <v>82.26</v>
      </c>
      <c r="K2221" s="11" t="n">
        <v>82.21</v>
      </c>
      <c r="L2221" s="11" t="n">
        <v>0.4066</v>
      </c>
      <c r="M2221" s="11" t="n">
        <v>0.8132</v>
      </c>
      <c r="N2221" s="11" t="n">
        <v>1</v>
      </c>
      <c r="O2221" s="11" t="n">
        <v>4.5</v>
      </c>
      <c r="P2221" s="11" t="n">
        <v>1.86</v>
      </c>
      <c r="Q2221" s="11" t="n">
        <v>13.95</v>
      </c>
      <c r="R2221" s="11" t="n">
        <f aca="false">SUM(K2221:Q2221)</f>
        <v>104.7398</v>
      </c>
      <c r="S2221" s="11" t="n">
        <f aca="false">R2221/(1-Resumo!$C$6)</f>
        <v>119.0225</v>
      </c>
      <c r="T2221" s="11" t="n">
        <f aca="false">S2221-J2221</f>
        <v>36.7625</v>
      </c>
      <c r="U2221" s="12" t="n">
        <f aca="false">IFERROR(S2221/J2221-1,0)</f>
        <v>0.446906151227814</v>
      </c>
      <c r="V2221" s="2" t="str">
        <f aca="false">IF(S2221&lt;J2221,"SIM","NÃO")</f>
        <v>NÃO</v>
      </c>
      <c r="W2221" s="2" t="n">
        <v>5</v>
      </c>
      <c r="X2221" s="2" t="s">
        <v>156</v>
      </c>
    </row>
    <row r="2222" customFormat="false" ht="15" hidden="false" customHeight="false" outlineLevel="0" collapsed="false">
      <c r="A2222" s="2" t="n">
        <v>401807919</v>
      </c>
      <c r="B2222" s="29" t="n">
        <v>46295.9091550926</v>
      </c>
      <c r="C2222" s="2" t="s">
        <v>158</v>
      </c>
      <c r="D2222" s="2" t="s">
        <v>2192</v>
      </c>
      <c r="E2222" s="2" t="s">
        <v>78</v>
      </c>
      <c r="F2222" s="2" t="s">
        <v>106</v>
      </c>
      <c r="G2222" s="30" t="n">
        <v>31.9</v>
      </c>
      <c r="H2222" s="11" t="n">
        <v>483.99</v>
      </c>
      <c r="I2222" s="11" t="s">
        <v>155</v>
      </c>
      <c r="J2222" s="11" t="n">
        <v>82.65</v>
      </c>
      <c r="K2222" s="11" t="n">
        <v>82.21</v>
      </c>
      <c r="L2222" s="11" t="n">
        <v>0.484</v>
      </c>
      <c r="M2222" s="11" t="n">
        <v>0.968</v>
      </c>
      <c r="N2222" s="11" t="n">
        <v>1</v>
      </c>
      <c r="O2222" s="11" t="n">
        <v>4.5</v>
      </c>
      <c r="P2222" s="11" t="n">
        <v>1.92</v>
      </c>
      <c r="Q2222" s="11" t="n">
        <v>14.4</v>
      </c>
      <c r="R2222" s="11" t="n">
        <f aca="false">SUM(K2222:Q2222)</f>
        <v>105.482</v>
      </c>
      <c r="S2222" s="11" t="n">
        <f aca="false">R2222/(1-Resumo!$C$6)</f>
        <v>119.865909090909</v>
      </c>
      <c r="T2222" s="11" t="n">
        <f aca="false">S2222-J2222</f>
        <v>37.2159090909091</v>
      </c>
      <c r="U2222" s="12" t="n">
        <f aca="false">IFERROR(S2222/J2222-1,0)</f>
        <v>0.450283231589947</v>
      </c>
      <c r="V2222" s="2" t="str">
        <f aca="false">IF(S2222&lt;J2222,"SIM","NÃO")</f>
        <v>NÃO</v>
      </c>
      <c r="W2222" s="2" t="n">
        <v>5</v>
      </c>
      <c r="X2222" s="2" t="s">
        <v>156</v>
      </c>
    </row>
    <row r="2223" customFormat="false" ht="15" hidden="false" customHeight="false" outlineLevel="0" collapsed="false">
      <c r="A2223" s="2" t="n">
        <v>401823478</v>
      </c>
      <c r="B2223" s="29" t="n">
        <v>46295.9291435185</v>
      </c>
      <c r="C2223" s="2" t="s">
        <v>158</v>
      </c>
      <c r="D2223" s="2" t="s">
        <v>2193</v>
      </c>
      <c r="E2223" s="2" t="s">
        <v>78</v>
      </c>
      <c r="F2223" s="2" t="s">
        <v>110</v>
      </c>
      <c r="G2223" s="30" t="n">
        <v>66.8</v>
      </c>
      <c r="H2223" s="11" t="n">
        <v>691.9</v>
      </c>
      <c r="I2223" s="11" t="s">
        <v>155</v>
      </c>
      <c r="J2223" s="11" t="n">
        <v>124.51</v>
      </c>
      <c r="K2223" s="11" t="n">
        <v>131.02</v>
      </c>
      <c r="L2223" s="11" t="n">
        <v>0.6919</v>
      </c>
      <c r="M2223" s="11" t="n">
        <v>1.3838</v>
      </c>
      <c r="N2223" s="11" t="n">
        <v>1</v>
      </c>
      <c r="O2223" s="11" t="n">
        <v>4.5</v>
      </c>
      <c r="P2223" s="11" t="n">
        <v>4.02</v>
      </c>
      <c r="Q2223" s="11" t="n">
        <v>30.15</v>
      </c>
      <c r="R2223" s="11" t="n">
        <f aca="false">SUM(K2223:Q2223)</f>
        <v>172.7657</v>
      </c>
      <c r="S2223" s="11" t="n">
        <f aca="false">R2223/(1-Resumo!$C$6)</f>
        <v>196.324659090909</v>
      </c>
      <c r="T2223" s="11" t="n">
        <f aca="false">S2223-J2223</f>
        <v>71.8146590909091</v>
      </c>
      <c r="U2223" s="12" t="n">
        <f aca="false">IFERROR(S2223/J2223-1,0)</f>
        <v>0.576778243441564</v>
      </c>
      <c r="V2223" s="2" t="str">
        <f aca="false">IF(S2223&lt;J2223,"SIM","NÃO")</f>
        <v>NÃO</v>
      </c>
      <c r="W2223" s="2" t="n">
        <v>5</v>
      </c>
      <c r="X2223" s="2" t="s">
        <v>156</v>
      </c>
    </row>
    <row r="2224" customFormat="false" ht="15" hidden="false" customHeight="false" outlineLevel="0" collapsed="false">
      <c r="A2224" s="2" t="n">
        <v>401847972</v>
      </c>
      <c r="B2224" s="29" t="n">
        <v>46295.9594328704</v>
      </c>
      <c r="C2224" s="2" t="s">
        <v>153</v>
      </c>
      <c r="D2224" s="2" t="s">
        <v>2194</v>
      </c>
      <c r="E2224" s="2" t="s">
        <v>188</v>
      </c>
      <c r="F2224" s="2" t="s">
        <v>109</v>
      </c>
      <c r="G2224" s="30" t="n">
        <v>51.5</v>
      </c>
      <c r="H2224" s="11" t="n">
        <v>478.99</v>
      </c>
      <c r="I2224" s="11" t="s">
        <v>155</v>
      </c>
      <c r="J2224" s="11" t="n">
        <v>141.97</v>
      </c>
      <c r="K2224" s="11" t="n">
        <v>142.32</v>
      </c>
      <c r="L2224" s="11" t="n">
        <v>0.479</v>
      </c>
      <c r="M2224" s="11" t="n">
        <v>0.958</v>
      </c>
      <c r="N2224" s="11" t="n">
        <v>1</v>
      </c>
      <c r="O2224" s="11" t="n">
        <v>4.5</v>
      </c>
      <c r="P2224" s="11" t="n">
        <v>3.12</v>
      </c>
      <c r="Q2224" s="11" t="n">
        <v>23.4</v>
      </c>
      <c r="R2224" s="11" t="n">
        <f aca="false">SUM(K2224:Q2224)</f>
        <v>175.777</v>
      </c>
      <c r="S2224" s="11" t="n">
        <f aca="false">R2224/(1-Resumo!$C$6)</f>
        <v>199.746590909091</v>
      </c>
      <c r="T2224" s="11" t="n">
        <f aca="false">S2224-J2224</f>
        <v>57.7765909090909</v>
      </c>
      <c r="U2224" s="12" t="n">
        <f aca="false">IFERROR(S2224/J2224-1,0)</f>
        <v>0.406963378946897</v>
      </c>
      <c r="V2224" s="2" t="str">
        <f aca="false">IF(S2224&lt;J2224,"SIM","NÃO")</f>
        <v>NÃO</v>
      </c>
      <c r="W2224" s="2" t="n">
        <v>10</v>
      </c>
      <c r="X2224" s="2" t="s">
        <v>161</v>
      </c>
    </row>
  </sheetData>
  <autoFilter ref="A1:X2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2026-10-29T18:43:57Z</dcterms:created>
  <dc:creator>openpyxl</dc:creator>
  <dc:description/>
  <dc:language>en-US</dc:language>
  <cp:lastModifiedBy/>
  <dcterms:modified xsi:type="dcterms:W3CDTF">2026-10-29T18:44:00Z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